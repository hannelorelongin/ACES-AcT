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autoCompressPictures="0"/>
  <mc:AlternateContent xmlns:mc="http://schemas.openxmlformats.org/markup-compatibility/2006">
    <mc:Choice Requires="x15">
      <x15ac:absPath xmlns:x15ac="http://schemas.microsoft.com/office/spreadsheetml/2010/11/ac" url="https://kuleuven-my.sharepoint.com/personal/hannelore_longin_student_kuleuven_be/Documents/PhD_papers/AcT/CellHostMicrobe_v1/supplementary/"/>
    </mc:Choice>
  </mc:AlternateContent>
  <xr:revisionPtr revIDLastSave="853" documentId="11_0D6E516EE92E032DD0C0FC8C7CF52D15215C2B08" xr6:coauthVersionLast="47" xr6:coauthVersionMax="47" xr10:uidLastSave="{C50AD744-3A6D-4058-85B7-826400412DB8}"/>
  <bookViews>
    <workbookView xWindow="-108" yWindow="-108" windowWidth="23256" windowHeight="12456" firstSheet="1" activeTab="1" xr2:uid="{00000000-000D-0000-FFFF-FFFF00000000}"/>
  </bookViews>
  <sheets>
    <sheet name="ReadMe" sheetId="10" r:id="rId1"/>
    <sheet name="Table S2 - full acetylome" sheetId="2" r:id="rId2"/>
    <sheet name="Table S2 - significant sites" sheetId="8" r:id="rId3"/>
    <sheet name="Table S2 - pathway coverage" sheetId="9" r:id="rId4"/>
    <sheet name="Table S2 - pathway enrichment" sheetId="7" r:id="rId5"/>
  </sheets>
  <definedNames>
    <definedName name="_xlnm._FilterDatabase" localSheetId="1" hidden="1">'Table S2 - full acetylome'!$A$1:$U$1</definedName>
    <definedName name="_xlnm._FilterDatabase" localSheetId="3" hidden="1">'Table S2 - pathway coverage'!$A$1:$G$110</definedName>
    <definedName name="_xlnm._FilterDatabase" localSheetId="2" hidden="1">'Table S2 - significant sites'!$A$1:$U$52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9" l="1"/>
  <c r="E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D122" i="7"/>
  <c r="C122" i="7"/>
  <c r="B122" i="7"/>
  <c r="D121" i="7"/>
  <c r="C121" i="7"/>
  <c r="B121" i="7"/>
  <c r="E121" i="7" s="1"/>
  <c r="D120" i="7"/>
  <c r="C120" i="7"/>
  <c r="E120" i="7" s="1"/>
  <c r="B120" i="7"/>
  <c r="D119" i="7"/>
  <c r="C119" i="7"/>
  <c r="B119" i="7"/>
  <c r="D118" i="7"/>
  <c r="C118" i="7"/>
  <c r="B118" i="7"/>
  <c r="D117" i="7"/>
  <c r="C117" i="7"/>
  <c r="B117" i="7"/>
  <c r="D116" i="7"/>
  <c r="C116" i="7"/>
  <c r="B116" i="7"/>
  <c r="D115" i="7"/>
  <c r="C115" i="7"/>
  <c r="B115" i="7"/>
  <c r="D114" i="7"/>
  <c r="E114" i="7" s="1"/>
  <c r="C114" i="7"/>
  <c r="B114" i="7"/>
  <c r="D113" i="7"/>
  <c r="C113" i="7"/>
  <c r="B113" i="7"/>
  <c r="D112" i="7"/>
  <c r="C112" i="7"/>
  <c r="E112" i="7" s="1"/>
  <c r="B112" i="7"/>
  <c r="D111" i="7"/>
  <c r="C111" i="7"/>
  <c r="B111" i="7"/>
  <c r="D110" i="7"/>
  <c r="C110" i="7"/>
  <c r="B110" i="7"/>
  <c r="D109" i="7"/>
  <c r="C109" i="7"/>
  <c r="B109" i="7"/>
  <c r="D108" i="7"/>
  <c r="C108" i="7"/>
  <c r="B108" i="7"/>
  <c r="D107" i="7"/>
  <c r="C107" i="7"/>
  <c r="B107" i="7"/>
  <c r="D106" i="7"/>
  <c r="C106" i="7"/>
  <c r="B106" i="7"/>
  <c r="D105" i="7"/>
  <c r="C105" i="7"/>
  <c r="B105" i="7"/>
  <c r="D104" i="7"/>
  <c r="C104" i="7"/>
  <c r="B104" i="7"/>
  <c r="D103" i="7"/>
  <c r="C103" i="7"/>
  <c r="B103" i="7"/>
  <c r="D102" i="7"/>
  <c r="C102" i="7"/>
  <c r="B102" i="7"/>
  <c r="D101" i="7"/>
  <c r="C101" i="7"/>
  <c r="B101" i="7"/>
  <c r="D100" i="7"/>
  <c r="C100" i="7"/>
  <c r="B100" i="7"/>
  <c r="E100" i="7" s="1"/>
  <c r="D99" i="7"/>
  <c r="C99" i="7"/>
  <c r="B99" i="7"/>
  <c r="D98" i="7"/>
  <c r="C98" i="7"/>
  <c r="B98" i="7"/>
  <c r="D97" i="7"/>
  <c r="C97" i="7"/>
  <c r="B97" i="7"/>
  <c r="D96" i="7"/>
  <c r="C96" i="7"/>
  <c r="B96" i="7"/>
  <c r="D95" i="7"/>
  <c r="C95" i="7"/>
  <c r="B95" i="7"/>
  <c r="D94" i="7"/>
  <c r="C94" i="7"/>
  <c r="B94" i="7"/>
  <c r="D93" i="7"/>
  <c r="C93" i="7"/>
  <c r="B93" i="7"/>
  <c r="D92" i="7"/>
  <c r="C92" i="7"/>
  <c r="B92" i="7"/>
  <c r="D91" i="7"/>
  <c r="C91" i="7"/>
  <c r="B91" i="7"/>
  <c r="D90" i="7"/>
  <c r="C90" i="7"/>
  <c r="B90" i="7"/>
  <c r="D89" i="7"/>
  <c r="C89" i="7"/>
  <c r="B89" i="7"/>
  <c r="E89" i="7" s="1"/>
  <c r="D88" i="7"/>
  <c r="C88" i="7"/>
  <c r="B88" i="7"/>
  <c r="D87" i="7"/>
  <c r="C87" i="7"/>
  <c r="B87" i="7"/>
  <c r="D86" i="7"/>
  <c r="C86" i="7"/>
  <c r="B86" i="7"/>
  <c r="D85" i="7"/>
  <c r="C85" i="7"/>
  <c r="B85" i="7"/>
  <c r="D84" i="7"/>
  <c r="C84" i="7"/>
  <c r="B84" i="7"/>
  <c r="D83" i="7"/>
  <c r="C83" i="7"/>
  <c r="B83" i="7"/>
  <c r="D82" i="7"/>
  <c r="C82" i="7"/>
  <c r="B82" i="7"/>
  <c r="D81" i="7"/>
  <c r="C81" i="7"/>
  <c r="B81" i="7"/>
  <c r="E81" i="7" s="1"/>
  <c r="D80" i="7"/>
  <c r="C80" i="7"/>
  <c r="B80" i="7"/>
  <c r="D79" i="7"/>
  <c r="C79" i="7"/>
  <c r="B79" i="7"/>
  <c r="D78" i="7"/>
  <c r="C78" i="7"/>
  <c r="B78" i="7"/>
  <c r="D77" i="7"/>
  <c r="E77" i="7" s="1"/>
  <c r="C77" i="7"/>
  <c r="B77" i="7"/>
  <c r="D76" i="7"/>
  <c r="C76" i="7"/>
  <c r="B76" i="7"/>
  <c r="D75" i="7"/>
  <c r="C75" i="7"/>
  <c r="B75" i="7"/>
  <c r="D74" i="7"/>
  <c r="C74" i="7"/>
  <c r="B74" i="7"/>
  <c r="D73" i="7"/>
  <c r="C73" i="7"/>
  <c r="B73" i="7"/>
  <c r="E73" i="7" s="1"/>
  <c r="D72" i="7"/>
  <c r="C72" i="7"/>
  <c r="B72" i="7"/>
  <c r="D71" i="7"/>
  <c r="C71" i="7"/>
  <c r="B71" i="7"/>
  <c r="D70" i="7"/>
  <c r="C70" i="7"/>
  <c r="B70" i="7"/>
  <c r="D69" i="7"/>
  <c r="C69" i="7"/>
  <c r="B69" i="7"/>
  <c r="D68" i="7"/>
  <c r="C68" i="7"/>
  <c r="B68" i="7"/>
  <c r="D67" i="7"/>
  <c r="C67" i="7"/>
  <c r="B67" i="7"/>
  <c r="D66" i="7"/>
  <c r="C66" i="7"/>
  <c r="B66" i="7"/>
  <c r="D65" i="7"/>
  <c r="C65" i="7"/>
  <c r="B65" i="7"/>
  <c r="D64" i="7"/>
  <c r="C64" i="7"/>
  <c r="B64" i="7"/>
  <c r="D63" i="7"/>
  <c r="C63" i="7"/>
  <c r="B63" i="7"/>
  <c r="D62" i="7"/>
  <c r="C62" i="7"/>
  <c r="E62" i="7" s="1"/>
  <c r="B62" i="7"/>
  <c r="D61" i="7"/>
  <c r="C61" i="7"/>
  <c r="B61" i="7"/>
  <c r="D60" i="7"/>
  <c r="C60" i="7"/>
  <c r="B60" i="7"/>
  <c r="E60" i="7" s="1"/>
  <c r="D59" i="7"/>
  <c r="C59" i="7"/>
  <c r="B59" i="7"/>
  <c r="D58" i="7"/>
  <c r="C58" i="7"/>
  <c r="B58" i="7"/>
  <c r="D57" i="7"/>
  <c r="C57" i="7"/>
  <c r="B57" i="7"/>
  <c r="D56" i="7"/>
  <c r="C56" i="7"/>
  <c r="B56" i="7"/>
  <c r="D55" i="7"/>
  <c r="C55" i="7"/>
  <c r="B55" i="7"/>
  <c r="D54" i="7"/>
  <c r="C54" i="7"/>
  <c r="B54" i="7"/>
  <c r="D53" i="7"/>
  <c r="C53" i="7"/>
  <c r="B53" i="7"/>
  <c r="D52" i="7"/>
  <c r="C52" i="7"/>
  <c r="B52" i="7"/>
  <c r="D51" i="7"/>
  <c r="C51" i="7"/>
  <c r="B51" i="7"/>
  <c r="D50" i="7"/>
  <c r="E50" i="7" s="1"/>
  <c r="C50" i="7"/>
  <c r="B50" i="7"/>
  <c r="D49" i="7"/>
  <c r="C49" i="7"/>
  <c r="B49" i="7"/>
  <c r="D48" i="7"/>
  <c r="C48" i="7"/>
  <c r="B48" i="7"/>
  <c r="D47" i="7"/>
  <c r="C47" i="7"/>
  <c r="B47" i="7"/>
  <c r="D46" i="7"/>
  <c r="C46" i="7"/>
  <c r="B46" i="7"/>
  <c r="D45" i="7"/>
  <c r="C45" i="7"/>
  <c r="B45" i="7"/>
  <c r="D44" i="7"/>
  <c r="C44" i="7"/>
  <c r="B44" i="7"/>
  <c r="D43" i="7"/>
  <c r="C43" i="7"/>
  <c r="B43" i="7"/>
  <c r="D42" i="7"/>
  <c r="C42" i="7"/>
  <c r="B42" i="7"/>
  <c r="D41" i="7"/>
  <c r="C41" i="7"/>
  <c r="B41" i="7"/>
  <c r="D40" i="7"/>
  <c r="C40" i="7"/>
  <c r="B40" i="7"/>
  <c r="D39" i="7"/>
  <c r="C39" i="7"/>
  <c r="B39" i="7"/>
  <c r="E39" i="7" s="1"/>
  <c r="D38" i="7"/>
  <c r="C38" i="7"/>
  <c r="B38" i="7"/>
  <c r="D37" i="7"/>
  <c r="C37" i="7"/>
  <c r="B37" i="7"/>
  <c r="D36" i="7"/>
  <c r="C36" i="7"/>
  <c r="B36" i="7"/>
  <c r="D35" i="7"/>
  <c r="C35" i="7"/>
  <c r="B35" i="7"/>
  <c r="D34" i="7"/>
  <c r="C34" i="7"/>
  <c r="B34" i="7"/>
  <c r="D33" i="7"/>
  <c r="C33" i="7"/>
  <c r="B33" i="7"/>
  <c r="D32" i="7"/>
  <c r="C32" i="7"/>
  <c r="B32" i="7"/>
  <c r="D31" i="7"/>
  <c r="C31" i="7"/>
  <c r="B31" i="7"/>
  <c r="D30" i="7"/>
  <c r="C30" i="7"/>
  <c r="B30" i="7"/>
  <c r="D29" i="7"/>
  <c r="C29" i="7"/>
  <c r="B29" i="7"/>
  <c r="D28" i="7"/>
  <c r="C28" i="7"/>
  <c r="B28" i="7"/>
  <c r="D27" i="7"/>
  <c r="C27" i="7"/>
  <c r="B27" i="7"/>
  <c r="D26" i="7"/>
  <c r="E26" i="7" s="1"/>
  <c r="C26" i="7"/>
  <c r="B26" i="7"/>
  <c r="D25" i="7"/>
  <c r="C25" i="7"/>
  <c r="B25" i="7"/>
  <c r="E25" i="7" s="1"/>
  <c r="D24" i="7"/>
  <c r="C24" i="7"/>
  <c r="B24" i="7"/>
  <c r="D23" i="7"/>
  <c r="C23" i="7"/>
  <c r="B23" i="7"/>
  <c r="D22" i="7"/>
  <c r="C22" i="7"/>
  <c r="B22" i="7"/>
  <c r="D21" i="7"/>
  <c r="C21" i="7"/>
  <c r="B21" i="7"/>
  <c r="D20" i="7"/>
  <c r="C20" i="7"/>
  <c r="B20" i="7"/>
  <c r="D19" i="7"/>
  <c r="C19" i="7"/>
  <c r="B19" i="7"/>
  <c r="E19" i="7" s="1"/>
  <c r="D18" i="7"/>
  <c r="C18" i="7"/>
  <c r="B18" i="7"/>
  <c r="D17" i="7"/>
  <c r="C17" i="7"/>
  <c r="B17" i="7"/>
  <c r="E17" i="7" s="1"/>
  <c r="D16" i="7"/>
  <c r="C16" i="7"/>
  <c r="B16" i="7"/>
  <c r="D15" i="7"/>
  <c r="C15" i="7"/>
  <c r="B15" i="7"/>
  <c r="D14" i="7"/>
  <c r="C14" i="7"/>
  <c r="B14" i="7"/>
  <c r="D13" i="7"/>
  <c r="C13" i="7"/>
  <c r="B13" i="7"/>
  <c r="D12" i="7"/>
  <c r="C12" i="7"/>
  <c r="B12" i="7"/>
  <c r="E12" i="7" s="1"/>
  <c r="D11" i="7"/>
  <c r="C11" i="7"/>
  <c r="B11" i="7"/>
  <c r="D10" i="7"/>
  <c r="C10" i="7"/>
  <c r="B10" i="7"/>
  <c r="D6" i="7"/>
  <c r="C6" i="7"/>
  <c r="D5" i="7"/>
  <c r="C5" i="7"/>
  <c r="D4" i="7"/>
  <c r="C4" i="7"/>
  <c r="D3" i="7"/>
  <c r="C3" i="7"/>
  <c r="D2" i="7"/>
  <c r="C2" i="7"/>
  <c r="D9" i="7"/>
  <c r="D8" i="7"/>
  <c r="D7" i="7"/>
  <c r="C9" i="7"/>
  <c r="C8" i="7"/>
  <c r="C7" i="7"/>
  <c r="B9" i="7"/>
  <c r="B8" i="7"/>
  <c r="B7" i="7"/>
  <c r="B6" i="7"/>
  <c r="B5" i="7"/>
  <c r="B4" i="7"/>
  <c r="B3" i="7"/>
  <c r="B2" i="7"/>
  <c r="E43" i="7" l="1"/>
  <c r="E51" i="7"/>
  <c r="E67" i="7"/>
  <c r="E75" i="7"/>
  <c r="E83" i="7"/>
  <c r="E91" i="7"/>
  <c r="E99" i="7"/>
  <c r="E115" i="7"/>
  <c r="E22" i="7"/>
  <c r="E30" i="7"/>
  <c r="E38" i="7"/>
  <c r="E46" i="7"/>
  <c r="E54" i="7"/>
  <c r="E78" i="7"/>
  <c r="E86" i="7"/>
  <c r="E94" i="7"/>
  <c r="E102" i="7"/>
  <c r="E110" i="7"/>
  <c r="E118" i="7"/>
  <c r="E6" i="7"/>
  <c r="E28" i="7"/>
  <c r="E44" i="7"/>
  <c r="E52" i="7"/>
  <c r="E68" i="7"/>
  <c r="E92" i="7"/>
  <c r="E10" i="7"/>
  <c r="E23" i="7"/>
  <c r="E34" i="7"/>
  <c r="E42" i="7"/>
  <c r="E47" i="7"/>
  <c r="E58" i="7"/>
  <c r="E79" i="7"/>
  <c r="E82" i="7"/>
  <c r="E87" i="7"/>
  <c r="E98" i="7"/>
  <c r="E106" i="7"/>
  <c r="E119" i="7"/>
  <c r="E122" i="7"/>
  <c r="E14" i="7"/>
  <c r="E7" i="7"/>
  <c r="E8" i="7"/>
  <c r="E9" i="7"/>
  <c r="E15" i="7"/>
  <c r="E33" i="7"/>
  <c r="E71" i="7"/>
  <c r="E97" i="7"/>
  <c r="E103" i="7"/>
  <c r="E105" i="7"/>
  <c r="E108" i="7"/>
  <c r="E113" i="7"/>
  <c r="E2" i="7"/>
  <c r="E41" i="7"/>
  <c r="E37" i="7"/>
  <c r="E45" i="7"/>
  <c r="E53" i="7"/>
  <c r="E61" i="7"/>
  <c r="E69" i="7"/>
  <c r="E93" i="7"/>
  <c r="E109" i="7"/>
  <c r="E117" i="7"/>
  <c r="E21" i="7"/>
  <c r="E29" i="7"/>
  <c r="E40" i="7"/>
  <c r="E56" i="7"/>
  <c r="E64" i="7"/>
  <c r="E80" i="7"/>
  <c r="E88" i="7"/>
  <c r="E96" i="7"/>
  <c r="E104" i="7"/>
  <c r="E4" i="7"/>
  <c r="E32" i="7"/>
  <c r="E5" i="7"/>
  <c r="E24" i="7"/>
  <c r="E59" i="7"/>
  <c r="E72" i="7"/>
  <c r="E57" i="7"/>
  <c r="E65" i="7"/>
  <c r="E90" i="7"/>
  <c r="E20" i="7"/>
  <c r="E3" i="7"/>
  <c r="E55" i="7"/>
  <c r="E116" i="7"/>
  <c r="E111" i="7"/>
  <c r="E107" i="7"/>
  <c r="E101" i="7"/>
  <c r="E95" i="7"/>
  <c r="E85" i="7"/>
  <c r="E84" i="7"/>
  <c r="E76" i="7"/>
  <c r="E74" i="7"/>
  <c r="E70" i="7"/>
  <c r="E66" i="7"/>
  <c r="E63" i="7"/>
  <c r="E49" i="7"/>
  <c r="E48" i="7"/>
  <c r="E36" i="7"/>
  <c r="E35" i="7"/>
  <c r="E31" i="7"/>
  <c r="E27" i="7"/>
  <c r="E18" i="7"/>
  <c r="E16" i="7"/>
  <c r="E13" i="7"/>
  <c r="E11" i="7"/>
  <c r="T3" i="8" l="1"/>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2" i="8"/>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alcChain>
</file>

<file path=xl/sharedStrings.xml><?xml version="1.0" encoding="utf-8"?>
<sst xmlns="http://schemas.openxmlformats.org/spreadsheetml/2006/main" count="9103" uniqueCount="5155">
  <si>
    <t>P57703</t>
  </si>
  <si>
    <t>&gt;sp|P57703|METE_PSEAE 5-methyltetrahydropteroyltriglutamate--homocysteine methyltransferase OS=Pseudomonas aeruginosa (strain ATCC 15692 / PAO1 / 1C / PRS 101 / LMG 12228) GN=metE PE=3 SV=1;&gt;tr|U5QV41|U5QV41_PSEAE 5-methyltetrahydropteroyltriglutamate--hom</t>
  </si>
  <si>
    <t>K</t>
  </si>
  <si>
    <t>_CDLEK(ac)ALEVVR_</t>
  </si>
  <si>
    <t>CDLEK(1)ALEVVR</t>
  </si>
  <si>
    <t>CDLEK(106.62)ALEVVR</t>
  </si>
  <si>
    <t>_LWVNPDCGLK(ac)TR_</t>
  </si>
  <si>
    <t>LWVNPDCGLK(1)TR</t>
  </si>
  <si>
    <t>LWVNPDCGLK(94.47)TR</t>
  </si>
  <si>
    <t>Q9HYE7</t>
  </si>
  <si>
    <t>&gt;tr|Q9HYE7|Q9HYE7_PSEAE Asparagine synthetase OS=Pseudomonas aeruginosa (strain ATCC 15692 / PAO1 / 1C / PRS 101 / LMG 12228) GN=PA3459 PE=4 SV=1;&gt;tr|U5R6A2|U5R6A2_PSEAE Asparagine synthetase OS=Pseudomonas aeruginosa PAO1-VE2 GN=asnB PE=4 SV=1;&gt;tr|U5R9L1|</t>
  </si>
  <si>
    <t>+</t>
  </si>
  <si>
    <t>_QVLK(ac)GAAR_</t>
  </si>
  <si>
    <t>QVLK(1)GAAR</t>
  </si>
  <si>
    <t>QVLK(62.88)GAAR</t>
  </si>
  <si>
    <t>Q59636</t>
  </si>
  <si>
    <t>&gt;sp|Q59636|NDK_PSEAE Nucleoside diphosphate kinase OS=Pseudomonas aeruginosa (strain ATCC 15692 / PAO1 / 1C / PRS 101 / LMG 12228) GN=ndk PE=3 SV=2;&gt;tr|U5QWK7|U5QWK7_PSEAE Nucleoside diphosphate kinase OS=Pseudomonas aeruginosa PAO1-VE2 GN=ndk PE=3 SV=1;&gt;t</t>
  </si>
  <si>
    <t>_EAGGFYAEHK(ac)ERPFFK_</t>
  </si>
  <si>
    <t>EAGGFYAEHK(1)ERPFFK</t>
  </si>
  <si>
    <t>EAGGFYAEHK(22.47)ERPFFK(-22.47)</t>
  </si>
  <si>
    <t>Q9I5Z0</t>
  </si>
  <si>
    <t>&gt;sp|Q9I5Z0|METK_PSEAE S-adenosylmethionine synthase OS=Pseudomonas aeruginosa (strain ATCC 15692 / PAO1 / 1C / PRS 101 / LMG 12228) GN=metK PE=3 SV=1;&gt;tr|U5R3E9|U5R3E9_PSEAE S-adenosylmethionine synthase OS=Pseudomonas aeruginosa PAO1-VE2 GN=metK PE=3 SV=1</t>
  </si>
  <si>
    <t>_YVAK(ac)NIVAAGLAER_</t>
  </si>
  <si>
    <t>YVAK(1)NIVAAGLAER</t>
  </si>
  <si>
    <t>YVAK(91.86)NIVAAGLAER</t>
  </si>
  <si>
    <t>Q9I3D5</t>
  </si>
  <si>
    <t>&gt;tr|Q9I3D5|Q9I3D5_PSEAE Succinate dehydrogenase (A subunit) OS=Pseudomonas aeruginosa (strain ATCC 15692 / PAO1 / 1C / PRS 101 / LMG 12228) GN=sdhA PE=4 SV=1;&gt;tr|U5QXW5|U5QXW5_PSEAE Succinate dehydrogenase, flavoprotein subunit OS=Pseudomonas aeruginosa PA</t>
  </si>
  <si>
    <t>_YAPNAK(ac)DLAGR_</t>
  </si>
  <si>
    <t>YAPNAK(1)DLAGR</t>
  </si>
  <si>
    <t>YAPNAK(85.96)DLAGR</t>
  </si>
  <si>
    <t>Q9HYG5</t>
  </si>
  <si>
    <t>&gt;tr|Q9HYG5|Q9HYG5_PSEAE Probable molybdopterin-binding protein OS=Pseudomonas aeruginosa (strain ATCC 15692 / PAO1 / 1C / PRS 101 / LMG 12228) GN=PA3441 PE=4 SV=1;&gt;tr|U5R401|U5R401_PSEAE Molybdenum-pterin binding domain protein OS=Pseudomonas aeruginosa PA</t>
  </si>
  <si>
    <t>_NQFK(ac)GTVK_</t>
  </si>
  <si>
    <t>NQFK(1)GTVK</t>
  </si>
  <si>
    <t>NQFK(42.6)GTVK(-42.6)</t>
  </si>
  <si>
    <t>Q51404</t>
  </si>
  <si>
    <t>&gt;sp|Q51404|FUMC1_PSEAE Fumarate hydratase class II 1 OS=Pseudomonas aeruginosa (strain ATCC 15692 / PAO1 / 1C / PRS 101 / LMG 12228) GN=fumC1 PE=3 SV=1;&gt;tr|U5QZG8|U5QZG8_PSEAE Fumarate hydratase class II OS=Pseudomonas aeruginosa PAO1-VE2 GN=fumC PE=3 SV=1</t>
  </si>
  <si>
    <t>_AAEIAK(ac)QAYR_</t>
  </si>
  <si>
    <t>AAEIAK(1)QAYR</t>
  </si>
  <si>
    <t>AAEIAK(86.62)QAYR</t>
  </si>
  <si>
    <t>_TDK(ac)AALLR_</t>
  </si>
  <si>
    <t>TDK(1)AALLR</t>
  </si>
  <si>
    <t>TDK(87.18)AALLR</t>
  </si>
  <si>
    <t>Q9HXB0</t>
  </si>
  <si>
    <t>&gt;sp|Q9HXB0|RF3_PSEAE Peptide chain release factor 3 OS=Pseudomonas aeruginosa (strain ATCC 15692 / PAO1 / 1C / PRS 101 / LMG 12228) GN=prfC PE=3 SV=1;&gt;tr|U5R3Q2|U5R3Q2_PSEAE Peptide chain release factor 3 OS=Pseudomonas aeruginosa PAO1-VE2 GN=prfC PE=3 SV=</t>
  </si>
  <si>
    <t>_AAPITWPIGCYK(ac)DFK_</t>
  </si>
  <si>
    <t>AAPITWPIGCYK(1)DFK</t>
  </si>
  <si>
    <t>AAPITWPIGCYK(68.03)DFK(-68.03)</t>
  </si>
  <si>
    <t>Q9HU15</t>
  </si>
  <si>
    <t>&gt;tr|Q9HU15|Q9HU15_PSEAE Probable beta-ketoacyl synthase OS=Pseudomonas aeruginosa (strain ATCC 15692 / PAO1 / 1C / PRS 101 / LMG 12228) GN=PA5174 PE=3 SV=1;&gt;tr|U5QUF8|U5QUF8_PSEAE Uncharacterized protein OS=Pseudomonas aeruginosa PAO1-VE2 GN=N296_5351 PE=3</t>
  </si>
  <si>
    <t>_QDK(ac)PLEVCFINSK_</t>
  </si>
  <si>
    <t>QDK(1)PLEVCFINSK</t>
  </si>
  <si>
    <t>QDK(118.87)PLEVCFINSK(-118.87)</t>
  </si>
  <si>
    <t>_IADQISDAVLDAIIAK(ac)DK_</t>
  </si>
  <si>
    <t>IADQISDAVLDAIIAK(1)DK</t>
  </si>
  <si>
    <t>IADQISDAVLDAIIAK(56.85)DK(-56.85)</t>
  </si>
  <si>
    <t>Q9I748</t>
  </si>
  <si>
    <t>&gt;tr|Q9I748|Q9I748_PSEAE Uncharacterized protein OS=Pseudomonas aeruginosa (strain ATCC 15692 / PAO1 / 1C / PRS 101 / LMG 12228) GN=PA0084 PE=4 SV=1;&gt;tr|U5QVS0|U5QVS0_PSEAE Uncharacterized protein OS=Pseudomonas aeruginosa PAO1-VE2 GN=N296_90 PE=4 SV=1;&gt;tr|</t>
  </si>
  <si>
    <t>_VLNISKPELHK(ac)TLK_</t>
  </si>
  <si>
    <t>VLNISK(0.019)PELHK(0.981)TLK</t>
  </si>
  <si>
    <t>VLNISK(-17.02)PELHK(17.02)TLK(-23.46)</t>
  </si>
  <si>
    <t>P05384</t>
  </si>
  <si>
    <t>&gt;sp|P05384|DBHB_PSEAE DNA-binding protein HU-beta OS=Pseudomonas aeruginosa (strain ATCC 15692 / PAO1 / 1C / PRS 101 / LMG 12228) GN=hupB PE=1 SV=3;&gt;tr|U5QSH4|U5QSH4_PSEAE DNA-binding protein HU-beta OS=Pseudomonas aeruginosa PAO1-VE2 GN=hupB PE=3 SV=1;&gt;tr</t>
  </si>
  <si>
    <t>_ALK(ac)DAVN_</t>
  </si>
  <si>
    <t>ALK(1)DAVN</t>
  </si>
  <si>
    <t>ALK(64.76)DAVN</t>
  </si>
  <si>
    <t>Q9HX05</t>
  </si>
  <si>
    <t>&gt;tr|Q9HX05|Q9HX05_PSEAE Probable aldehyde dehydrogenase OS=Pseudomonas aeruginosa (strain ATCC 15692 / PAO1 / 1C / PRS 101 / LMG 12228) GN=PA4022 PE=3 SV=1;&gt;tr|U5QRA1|U5QRA1_PSEAE Aldehyde dehydrogenase family protein OS=Pseudomonas aeruginosa PAO1-VE2 GN=</t>
  </si>
  <si>
    <t>_STAEDIDK(ac)ALDAAHAAADAWGR_</t>
  </si>
  <si>
    <t>STAEDIDK(1)ALDAAHAAADAWGR</t>
  </si>
  <si>
    <t>STAEDIDK(76.12)ALDAAHAAADAWGR</t>
  </si>
  <si>
    <t>Q9I2C4</t>
  </si>
  <si>
    <t>&gt;tr|Q9I2C4|Q9I2C4_PSEAE NAD+ dependent aldehyde dehydrogenase ExaC OS=Pseudomonas aeruginosa (strain ATCC 15692 / PAO1 / 1C / PRS 101 / LMG 12228) GN=exaC PE=3 SV=1;&gt;tr|U5QZ67|U5QZ67_PSEAE Aldehyde dehydrogenase family protein OS=Pseudomonas aeruginosa PAO</t>
  </si>
  <si>
    <t>_STAEDIDK(ac)ALDAAHAAAEAWGR_</t>
  </si>
  <si>
    <t>STAEDIDK(1)ALDAAHAAAEAWGR</t>
  </si>
  <si>
    <t>STAEDIDK(66.32)ALDAAHAAAEAWGR</t>
  </si>
  <si>
    <t>Q9HZ48</t>
  </si>
  <si>
    <t>&gt;tr|Q9HZ48|Q9HZ48_PSEAE Probable binding protein component of ABC sugar transporter OS=Pseudomonas aeruginosa (strain ATCC 15692 / PAO1 / 1C / PRS 101 / LMG 12228) GN=PA3190 PE=4 SV=1;&gt;tr|U5QY19|U5QY19_PSEAE Bacterial extracellular solute-binding family pr</t>
  </si>
  <si>
    <t>_VPGK(ac)DYQCLPFPGTQK_</t>
  </si>
  <si>
    <t>VPGK(1)DYQCLPFPGTQK</t>
  </si>
  <si>
    <t>VPGK(34.93)DYQCLPFPGTQK(-34.93)</t>
  </si>
  <si>
    <t>Q9I6H5</t>
  </si>
  <si>
    <t>&gt;tr|Q9I6H5|Q9I6H5_PSEAE D-3-phosphoglycerate dehydrogenase OS=Pseudomonas aeruginosa (strain ATCC 15692 / PAO1 / 1C / PRS 101 / LMG 12228) GN=serA PE=3 SV=1;&gt;tr|U5R050|U5R050_PSEAE D-isomer specific 2-hydroxyacid dehydrogenase, NAD binding domain protein O</t>
  </si>
  <si>
    <t>_GIPEK(ac)NASCHR_</t>
  </si>
  <si>
    <t>GIPEK(1)NASCHR</t>
  </si>
  <si>
    <t>GIPEK(64.82)NASCHR</t>
  </si>
  <si>
    <t>Q9I6E0</t>
  </si>
  <si>
    <t>&gt;sp|Q9I6E0|ILVD_PSEAE Dihydroxy-acid dehydratase OS=Pseudomonas aeruginosa (strain ATCC 15692 / PAO1 / 1C / PRS 101 / LMG 12228) GN=ilvD PE=3 SV=1;&gt;tr|U5R0Q5|U5R0Q5_PSEAE Dihydroxy-acid dehydratase OS=Pseudomonas aeruginosa PAO1-VE2 GN=ilvD PE=3 SV=1;&gt;tr|U</t>
  </si>
  <si>
    <t>_ATGMKDEDFK(ac)K_</t>
  </si>
  <si>
    <t>ATGMKDEDFK(1)K</t>
  </si>
  <si>
    <t>ATGMK(-49.14)DEDFK(49.14)K(-91.85)</t>
  </si>
  <si>
    <t>Q9I6J1</t>
  </si>
  <si>
    <t>&gt;tr|Q9I6J1|Q9I6J1_PSEAE Putrescine-binding periplasmic protein OS=Pseudomonas aeruginosa (strain ATCC 15692 / PAO1 / 1C / PRS 101 / LMG 12228) GN=spuD PE=1 SV=1;&gt;tr|U5QWL8|U5QWL8_PSEAE Putrescine-binding periplasmic protein OS=Pseudomonas aeruginosa PAO1-V</t>
  </si>
  <si>
    <t>_AAFGDNAPVDSWDLVFKPENIQK(ac)LK_</t>
  </si>
  <si>
    <t>AAFGDNAPVDSWDLVFK(0.004)PENIQK(0.996)LK</t>
  </si>
  <si>
    <t>AAFGDNAPVDSWDLVFK(-23.66)PENIQK(23.66)LK(-37.56)</t>
  </si>
  <si>
    <t>Q9HW11</t>
  </si>
  <si>
    <t>&gt;sp|Q9HW11|Y4395_PSEAE UPF0234 protein PA4395 OS=Pseudomonas aeruginosa (strain ATCC 15692 / PAO1 / 1C / PRS 101 / LMG 12228) GN=PA4395 PE=3 SV=1;&gt;tr|U5QXG2|U5QXG2_PSEAE UPF0234 protein N296_4540 OS=Pseudomonas aeruginosa PAO1-VE2 GN=N296_4540 PE=3 SV=1;&gt;t</t>
  </si>
  <si>
    <t>_RFDLK(ac)GK_</t>
  </si>
  <si>
    <t>RFDLK(1)GK</t>
  </si>
  <si>
    <t>RFDLK(47.57)GK(-47.57)</t>
  </si>
  <si>
    <t>_TALSGDELK(ac)ER_</t>
  </si>
  <si>
    <t>TALSGDELK(1)ER</t>
  </si>
  <si>
    <t>TALSGDELK(116.23)ER</t>
  </si>
  <si>
    <t>_LVK(ac)YSDNGTSVSSVNFPEVALPSHPGK_</t>
  </si>
  <si>
    <t>LVK(1)YSDNGTSVSSVNFPEVALPSHPGK</t>
  </si>
  <si>
    <t>LVK(50.83)YSDNGTSVSSVNFPEVALPSHPGK(-50.83)</t>
  </si>
  <si>
    <t>Q9I022</t>
  </si>
  <si>
    <t>&gt;tr|Q9I022|Q9I022_PSEAE Probable glutathione S-transferase OS=Pseudomonas aeruginosa (strain ATCC 15692 / PAO1 / 1C / PRS 101 / LMG 12228) GN=PA2821 PE=3 SV=1;&gt;tr|U5R0I4|U5R0I4_PSEAE Uncharacterized protein OS=Pseudomonas aeruginosa PAO1-VE2 GN=N296_2923 P</t>
  </si>
  <si>
    <t>_TLDK(ac)LAAK_</t>
  </si>
  <si>
    <t>TLDK(1)LAAK</t>
  </si>
  <si>
    <t>TLDK(26.38)LAAK(-26.38)</t>
  </si>
  <si>
    <t>_CEFK(ac)VDSYR_</t>
  </si>
  <si>
    <t>CEFK(1)VDSYR</t>
  </si>
  <si>
    <t>CEFK(138.1)VDSYR</t>
  </si>
  <si>
    <t>_YGILPGIK(ac)TIDK_</t>
  </si>
  <si>
    <t>YGILPGIK(1)TIDK</t>
  </si>
  <si>
    <t>YGILPGIK(44.3)TIDK(-44.3)</t>
  </si>
  <si>
    <t>_TQLTEEVFDCAK(ac)K_</t>
  </si>
  <si>
    <t>TQLTEEVFDCAK(1)K</t>
  </si>
  <si>
    <t>TQLTEEVFDCAK(59.8)K(-59.8)</t>
  </si>
  <si>
    <t>P37798</t>
  </si>
  <si>
    <t>&gt;sp|P37798|ACCC_PSEAE Biotin carboxylase OS=Pseudomonas aeruginosa (strain ATCC 15692 / PAO1 / 1C / PRS 101 / LMG 12228) GN=accC PE=1 SV=1;&gt;tr|U5R901|U5R901_PSEAE Biotin carboxylase OS=Pseudomonas aeruginosa PAO1-VE2 GN=accC PE=4 SV=1;&gt;tr|U5RGY8|U5RGY8_PSE</t>
  </si>
  <si>
    <t>_VIEEAPAPGIDEK(ac)AR_</t>
  </si>
  <si>
    <t>VIEEAPAPGIDEK(1)AR</t>
  </si>
  <si>
    <t>VIEEAPAPGIDEK(13.52)AR</t>
  </si>
  <si>
    <t>Q9HVI7</t>
  </si>
  <si>
    <t xml:space="preserve">&gt;sp|Q9HVI7|GLYA3_PSEAE Serine hydroxymethyltransferase 3 OS=Pseudomonas aeruginosa (strain ATCC 15692 / PAO1 / 1C / PRS 101 / LMG 12228) GN=glyA2 PE=3 SV=1;&gt;tr|U5R4R3|U5R4R3_PSEAE Serine hydroxymethyltransferase OS=Pseudomonas aeruginosa PAO1-VE2 GN=glyA2 </t>
  </si>
  <si>
    <t>_AVCFK(ac)EALQPEFK_</t>
  </si>
  <si>
    <t>AVCFK(1)EALQPEFK</t>
  </si>
  <si>
    <t>AVCFK(89.43)EALQPEFK(-89.43)</t>
  </si>
  <si>
    <t>_QVLPAELLHK(ac)DTQFHINPTGNFVIGGPVGDCGLTGR_</t>
  </si>
  <si>
    <t>QVLPAELLHK(1)DTQFHINPTGNFVIGGPVGDCGLTGR</t>
  </si>
  <si>
    <t>QVLPAELLHK(36.47)DTQFHINPTGNFVIGGPVGDCGLTGR</t>
  </si>
  <si>
    <t>_EALQPEFK(ac)TYQQQVLK_</t>
  </si>
  <si>
    <t>EALQPEFK(1)TYQQQVLK</t>
  </si>
  <si>
    <t>EALQPEFK(63.29)TYQQQVLK(-63.29)</t>
  </si>
  <si>
    <t>Q9HVA0</t>
  </si>
  <si>
    <t>&gt;tr|Q9HVA0|Q9HVA0_PSEAE Acetolactate synthase large subunit OS=Pseudomonas aeruginosa (strain ATCC 15692 / PAO1 / 1C / PRS 101 / LMG 12228) GN=ilvI PE=3 SV=1;&gt;tr|U5QX26|U5QX26_PSEAE Acetolactate synthase, large subunit, biosynthetic type OS=Pseudomonas aer</t>
  </si>
  <si>
    <t>_VINGAAK(ac)FCPNAK_</t>
  </si>
  <si>
    <t>VINGAAK(1)FCPNAK</t>
  </si>
  <si>
    <t>VINGAAK(48.51)FCPNAK(-48.51)</t>
  </si>
  <si>
    <t>Q9HXY7</t>
  </si>
  <si>
    <t>&gt;sp|Q9HXY7|FABZ_PSEAE 3-hydroxyacyl-[acyl-carrier-protein] dehydratase FabZ OS=Pseudomonas aeruginosa (strain ATCC 15692 / PAO1 / 1C / PRS 101 / LMG 12228) GN=fabZ PE=1 SV=1;&gt;tr|U5QW90|U5QW90_PSEAE 3-hydroxyacyl-[acyl-carrier-protein] dehydratase FabZ OS=P</t>
  </si>
  <si>
    <t>_FDCHATVDDK(ac)PVCSAEIICAER_</t>
  </si>
  <si>
    <t>FDCHATVDDK(1)PVCSAEIICAER</t>
  </si>
  <si>
    <t>FDCHATVDDK(104.89)PVCSAEIICAER</t>
  </si>
  <si>
    <t>Q9HVF1</t>
  </si>
  <si>
    <t>&gt;sp|Q9HVF1|MQO2_PSEAE Probable malate:quinone oxidoreductase 2 OS=Pseudomonas aeruginosa (strain ATCC 15692 / PAO1 / 1C / PRS 101 / LMG 12228) GN=mqo2 PE=3 SV=1;&gt;tr|U5QY69|U5QY69_PSEAE Probable malate:quinone oxidoreductase OS=Pseudomonas aeruginosa PAO1-V</t>
  </si>
  <si>
    <t>_CDNPEIVK(ac)QHQAK_</t>
  </si>
  <si>
    <t>CDNPEIVK(1)QHQAK</t>
  </si>
  <si>
    <t>CDNPEIVK(53.45)QHQAK(-53.45)</t>
  </si>
  <si>
    <t>_GGVNIHYLEK(ac)K_</t>
  </si>
  <si>
    <t>GGVNIHYLEK(1)K</t>
  </si>
  <si>
    <t>GGVNIHYLEK(39.92)K(-39.92)</t>
  </si>
  <si>
    <t>U5R033</t>
  </si>
  <si>
    <t>&gt;tr|U5R033|U5R033_PSEAE Polyphosphate kinase 2 OS=Pseudomonas aeruginosa PAO1-VE2 GN=ppk2 PE=4 SV=1;&gt;tr|U5RDJ3|U5RDJ3_PSEAE Polyphosphate kinase 2 OS=Pseudomonas aeruginosa PAO1-VE13 GN=ppk2 PE=4 SV=1;&gt;tr|Q9I6Z1|Q9I6Z1_PSEAE Uncharacterized protein OS=Pseu</t>
  </si>
  <si>
    <t>_WDDYTAAK(ac)QAMFFHTDTADAPWTVIK_</t>
  </si>
  <si>
    <t>WDDYTAAK(1)QAMFFHTDTADAPWTVIK</t>
  </si>
  <si>
    <t>WDDYTAAK(13.41)QAMFFHTDTADAPWTVIK(-13.41)</t>
  </si>
  <si>
    <t>Q9I6F1</t>
  </si>
  <si>
    <t>&gt;sp|Q9I6F1|TYSY_PSEAE Thymidylate synthase OS=Pseudomonas aeruginosa (strain ATCC 15692 / PAO1 / 1C / PRS 101 / LMG 12228) GN=thyA PE=3 SV=1;&gt;tr|U5QXI2|U5QXI2_PSEAE Thymidylate synthase OS=Pseudomonas aeruginosa PAO1-VE2 GN=thyA PE=3 SV=1;&gt;tr|U5RGU4|U5RGU4</t>
  </si>
  <si>
    <t>_FDLAAGFPLVTTK(ac)K_</t>
  </si>
  <si>
    <t>FDLAAGFPLVTTK(1)K</t>
  </si>
  <si>
    <t>FDLAAGFPLVTTK(40.02)K(-40.02)</t>
  </si>
  <si>
    <t>166;167</t>
  </si>
  <si>
    <t>_LAVEHK(ac)PK_</t>
  </si>
  <si>
    <t>LAVEHK(1)PK</t>
  </si>
  <si>
    <t>LAVEHK(51.06)PK(-51.06)</t>
  </si>
  <si>
    <t>P53652</t>
  </si>
  <si>
    <t>&gt;sp|P53652|SODM_PSEAE Superoxide dismutase [Mn] OS=Pseudomonas aeruginosa (strain ATCC 15692 / PAO1 / 1C / PRS 101 / LMG 12228) GN=sodA PE=3 SV=2;&gt;tr|U5R3C2|U5R3C2_PSEAE Superoxide dismutase OS=Pseudomonas aeruginosa PAO1-VE2 GN=sodB PE=3 SV=1;&gt;tr|U5RD92|U</t>
  </si>
  <si>
    <t>_QLAGLPEK(ac)LR_</t>
  </si>
  <si>
    <t>QLAGLPEK(1)LR</t>
  </si>
  <si>
    <t>QLAGLPEK(36.68)LR</t>
  </si>
  <si>
    <t>Q9HUQ0</t>
  </si>
  <si>
    <t>&gt;tr|Q9HUQ0|Q9HUQ0_PSEAE Probable binding protein component of ABC transporter OS=Pseudomonas aeruginosa (strain ATCC 15692 / PAO1 / 1C / PRS 101 / LMG 12228) GN=PA4913 PE=4 SV=1;&gt;tr|U5QZK5|U5QZK5_PSEAE Receptor ligand binding region family protein OS=Pseud</t>
  </si>
  <si>
    <t>_ADDACEPK(ac)QAVAVANR_</t>
  </si>
  <si>
    <t>ADDACEPK(1)QAVAVANR</t>
  </si>
  <si>
    <t>ADDACEPK(63.71)QAVAVANR</t>
  </si>
  <si>
    <t>Q9I6L0</t>
  </si>
  <si>
    <t>&gt;sp|Q9I6L0|CYSA_PSEAE Sulfate/thiosulfate import ATP-binding protein CysA OS=Pseudomonas aeruginosa (strain ATCC 15692 / PAO1 / 1C / PRS 101 / LMG 12228) GN=cysA PE=3 SV=1;&gt;tr|U5QY90|U5QY90_PSEAE Sulfate/thiosulfate import ATP-binding protein CysA OS=Pseud</t>
  </si>
  <si>
    <t>_ILLLDEPFGALDAK(ac)VR_</t>
  </si>
  <si>
    <t>ILLLDEPFGALDAK(1)VR</t>
  </si>
  <si>
    <t>ILLLDEPFGALDAK(65.09)VR</t>
  </si>
  <si>
    <t>_IAEK(ac)MLR_</t>
  </si>
  <si>
    <t>IAEK(1)MLR</t>
  </si>
  <si>
    <t>IAEK(90.99)MLR</t>
  </si>
  <si>
    <t>Q9I4J5</t>
  </si>
  <si>
    <t>&gt;tr|Q9I4J5|Q9I4J5_PSEAE Uncharacterized protein OS=Pseudomonas aeruginosa (strain ATCC 15692 / PAO1 / 1C / PRS 101 / LMG 12228) GN=PA1140 PE=1 SV=1;&gt;tr|U5R9R4|U5R9R4_PSEAE Cupin domain protein OS=Pseudomonas aeruginosa PAO1-VE2 GN=N296_1180 PE=4 SV=1;&gt;tr|U</t>
  </si>
  <si>
    <t>_YLLYK(ac)DVNR_</t>
  </si>
  <si>
    <t>YLLYK(1)DVNR</t>
  </si>
  <si>
    <t>YLLYK(93.14)DVNR</t>
  </si>
  <si>
    <t>Q9HTT8</t>
  </si>
  <si>
    <t>&gt;tr|Q9HTT8|Q9HTT8_PSEAE Uncharacterized protein OS=Pseudomonas aeruginosa (strain ATCC 15692 / PAO1 / 1C / PRS 101 / LMG 12228) GN=PA5257 PE=4 SV=1;&gt;tr|U5QU02|U5QU02_PSEAE TPR repeat family protein OS=Pseudomonas aeruginosa PAO1-VE2 GN=N296_5437 PE=4 SV=1;</t>
  </si>
  <si>
    <t>_LCLINK(ac)LWGK_</t>
  </si>
  <si>
    <t>LCLINK(1)LWGK</t>
  </si>
  <si>
    <t>LCLINK(101.11)LWGK(-101.11)</t>
  </si>
  <si>
    <t>_VLELSPAEGQALTFK(ac)ASPK_</t>
  </si>
  <si>
    <t>VLELSPAEGQALTFK(1)ASPK</t>
  </si>
  <si>
    <t>VLELSPAEGQALTFK(64.45)ASPK(-64.45)</t>
  </si>
  <si>
    <t>Q9I4H8</t>
  </si>
  <si>
    <t>&gt;tr|Q9I4H8|Q9I4H8_PSEAE Probable cold-shock protein OS=Pseudomonas aeruginosa (strain ATCC 15692 / PAO1 / 1C / PRS 101 / LMG 12228) GN=PA1159 PE=3 SV=1;&gt;tr|U5QWH4|U5QWH4_PSEAE 'Cold-shock' DNA-binding domain protein OS=Pseudomonas aeruginosa PAO1-VE2 GN=N2</t>
  </si>
  <si>
    <t>_GLQAEDVSK(ac)V_</t>
  </si>
  <si>
    <t>GLQAEDVSK(1)V</t>
  </si>
  <si>
    <t>GLQAEDVSK(54.54)V</t>
  </si>
  <si>
    <t>Q9HZ06</t>
  </si>
  <si>
    <t>&gt;tr|Q9HZ06|Q9HZ06_PSEAE Probable sodium:solute symporter OS=Pseudomonas aeruginosa (strain ATCC 15692 / PAO1 / 1C / PRS 101 / LMG 12228) GN=PA3234 PE=3 SV=1;&gt;tr|U5QY33|U5QY33_PSEAE Transporter, solute:sodium symporter family protein OS=Pseudomonas aerugino</t>
  </si>
  <si>
    <t>_NLGK(ac)YTFADVASYR_</t>
  </si>
  <si>
    <t>NLGK(1)YTFADVASYR</t>
  </si>
  <si>
    <t>NLGK(59.18)YTFADVASYR</t>
  </si>
  <si>
    <t>Q9HZE0</t>
  </si>
  <si>
    <t>&gt;sp|Q9HZE0|DHE2_PSEAE NAD-specific glutamate dehydrogenase OS=Pseudomonas aeruginosa (strain ATCC 15692 / PAO1 / 1C / PRS 101 / LMG 12228) GN=gdhB PE=1 SV=1;&gt;tr|U5QV12|U5QV12_PSEAE NAD-specific glutamate dehydrogenase OS=Pseudomonas aeruginosa PAO1-VE2 GN=</t>
  </si>
  <si>
    <t>_LTAEDLEDK(ac)QQK_</t>
  </si>
  <si>
    <t>LTAEDLEDK(1)QQK</t>
  </si>
  <si>
    <t>LTAEDLEDK(51.98)QQK(-51.98)</t>
  </si>
  <si>
    <t>Q9I2W9</t>
  </si>
  <si>
    <t>&gt;tr|Q9I2W9|Q9I2W9_PSEAE Phosphoenolpyruvate synthase OS=Pseudomonas aeruginosa (strain ATCC 15692 / PAO1 / 1C / PRS 101 / LMG 12228) GN=ppsA PE=3 SV=1;&gt;tr|U5QU23|U5QU23_PSEAE Phosphoenolpyruvate synthase OS=Pseudomonas aeruginosa PAO1-VE2 GN=ppsA PE=3 SV=1</t>
  </si>
  <si>
    <t>_TLGEASQVVELLAGNGLK(ac)R_</t>
  </si>
  <si>
    <t>TLGEASQVVELLAGNGLK(1)R</t>
  </si>
  <si>
    <t>TLGEASQVVELLAGNGLK(39.59)R</t>
  </si>
  <si>
    <t>O69077</t>
  </si>
  <si>
    <t>&gt;sp|O69077|AK_PSEAE Aspartokinase OS=Pseudomonas aeruginosa (strain ATCC 15692 / PAO1 / 1C / PRS 101 / LMG 12228) GN=lysC PE=3 SV=2;&gt;tr|U5R241|U5R241_PSEAE Aspartokinase OS=Pseudomonas aeruginosa PAO1-VE2 GN=N296_932 PE=3 SV=1;&gt;tr|U5RDH9|U5RDH9_PSEAE Aspar</t>
  </si>
  <si>
    <t>_AVEFAGK(ac)YNVPLR_</t>
  </si>
  <si>
    <t>AVEFAGK(1)YNVPLR</t>
  </si>
  <si>
    <t>AVEFAGK(107.85)YNVPLR</t>
  </si>
  <si>
    <t>Q9I5Y8</t>
  </si>
  <si>
    <t>&gt;tr|Q9I5Y8|Q9I5Y8_PSEAE Transketolase OS=Pseudomonas aeruginosa (strain ATCC 15692 / PAO1 / 1C / PRS 101 / LMG 12228) GN=tktA PE=3 SV=1;&gt;tr|U5QSZ1|U5QSZ1_PSEAE Transketolase OS=Pseudomonas aeruginosa PAO1-VE2 GN=tkt PE=3 SV=1;&gt;tr|U5RL53|U5RL53_PSEAE Transk</t>
  </si>
  <si>
    <t>_ETGAAQEAEWNK(ac)R_</t>
  </si>
  <si>
    <t>ETGAAQEAEWNK(1)R</t>
  </si>
  <si>
    <t>ETGAAQEAEWNK(128.28)R</t>
  </si>
  <si>
    <t>_AICAK(ac)FPVYGN_</t>
  </si>
  <si>
    <t>AICAK(1)FPVYGN</t>
  </si>
  <si>
    <t>AICAK(40.5)FPVYGN</t>
  </si>
  <si>
    <t>Q9HZP5</t>
  </si>
  <si>
    <t>&gt;sp|Q9HZP5|ETFD_PSEAE Electron transfer flavoprotein-ubiquinone oxidoreductase OS=Pseudomonas aeruginosa (strain ATCC 15692 / PAO1 / 1C / PRS 101 / LMG 12228) GN=PA2953 PE=1 SV=1;&gt;tr|U5R2V4|U5R2V4_PSEAE Electron transfer flavoprotein-ubiquinone oxidoreduct</t>
  </si>
  <si>
    <t>_AK(ac)YTLFAEGCR_</t>
  </si>
  <si>
    <t>AK(1)YTLFAEGCR</t>
  </si>
  <si>
    <t>AK(70.98)YTLFAEGCR</t>
  </si>
  <si>
    <t>Q9HVA3</t>
  </si>
  <si>
    <t>&gt;tr|Q9HVA3|Q9HVA3_PSEAE Phosphatidylserine synthase OS=Pseudomonas aeruginosa (strain ATCC 15692 / PAO1 / 1C / PRS 101 / LMG 12228) GN=pssA PE=3 SV=1;&gt;tr|U5R0T4|U5R0T4_PSEAE CDP-diacylglycerol-serine O-phosphatidyltransferase OS=Pseudomonas aeruginosa PAO1</t>
  </si>
  <si>
    <t>_YHSFK(ac)DLDLR_</t>
  </si>
  <si>
    <t>YHSFK(1)DLDLR</t>
  </si>
  <si>
    <t>YHSFK(74.16)DLDLR</t>
  </si>
  <si>
    <t>P53593</t>
  </si>
  <si>
    <t>&gt;sp|P53593|SUCC_PSEAE Succinyl-CoA ligase [ADP-forming] subunit beta OS=Pseudomonas aeruginosa (strain ATCC 15692 / PAO1 / 1C / PRS 101 / LMG 12228) GN=sucC PE=3 SV=2;&gt;tr|U5R557|U5R557_PSEAE Succinyl-CoA ligase [ADP-forming] subunit beta OS=Pseudomonas aer</t>
  </si>
  <si>
    <t>_QLFAEYGLPVSK(ac)GFAVDTPEEAAEACDK_</t>
  </si>
  <si>
    <t>QLFAEYGLPVSK(1)GFAVDTPEEAAEACDK</t>
  </si>
  <si>
    <t>QLFAEYGLPVSK(61.37)GFAVDTPEEAAEACDK(-61.37)</t>
  </si>
  <si>
    <t>Q9I6T9</t>
  </si>
  <si>
    <t>&gt;tr|Q9I6T9|Q9I6T9_PSEAE NAD(P) transhydrogenase subunit beta OS=Pseudomonas aeruginosa (strain ATCC 15692 / PAO1 / 1C / PRS 101 / LMG 12228) GN=pntB PE=3 SV=1;&gt;tr|U5R6Y1|U5R6Y1_PSEAE NAD(P) transhydrogenase subunit beta OS=Pseudomonas aeruginosa PAO1-VE2 G</t>
  </si>
  <si>
    <t>_SPIAGMPILEAYK(ac)AK_</t>
  </si>
  <si>
    <t>SPIAGMPILEAYK(1)AK</t>
  </si>
  <si>
    <t>SPIAGMPILEAYK(47.53)AK(-47.53)</t>
  </si>
  <si>
    <t>Q9I0J6</t>
  </si>
  <si>
    <t>&gt;sp|Q9I0J6|NUOG_PSEAE NADH-quinone oxidoreductase subunit G OS=Pseudomonas aeruginosa (strain ATCC 15692 / PAO1 / 1C / PRS 101 / LMG 12228) GN=nuoG PE=3 SV=1;&gt;tr|U5QWF5|U5QWF5_PSEAE NADH-quinone oxidoreductase OS=Pseudomonas aeruginosa PAO1-VE2 GN=nuoG PE=</t>
  </si>
  <si>
    <t>_RVDWTQLDHVTEAVAEAK(ac)PILAGIR_</t>
  </si>
  <si>
    <t>RVDWTQLDHVTEAVAEAK(1)PILAGIR</t>
  </si>
  <si>
    <t>RVDWTQLDHVTEAVAEAK(29.92)PILAGIR</t>
  </si>
  <si>
    <t>Q9HW15</t>
  </si>
  <si>
    <t>&gt;tr|Q9HW15|Q9HW15_PSEAE Probable short-chain dehydrogenase OS=Pseudomonas aeruginosa (strain ATCC 15692 / PAO1 / 1C / PRS 101 / LMG 12228) GN=speA PE=3 SV=1;&gt;tr|U5R229|U5R229_PSEAE Short chain dehydrogenase family protein OS=Pseudomonas aeruginosa PAO1-VE2</t>
  </si>
  <si>
    <t>_AMGEYLAGK(ac)GAR_</t>
  </si>
  <si>
    <t>AMGEYLAGK(1)GAR</t>
  </si>
  <si>
    <t>AMGEYLAGK(44.56)GAR</t>
  </si>
  <si>
    <t>Q9HT28</t>
  </si>
  <si>
    <t>&gt;tr|Q9HT28|Q9HT28_PSEAE Uncharacterized protein OS=Pseudomonas aeruginosa (strain ATCC 15692 / PAO1 / 1C / PRS 101 / LMG 12228) GN=PA5546 PE=4 SV=1;&gt;tr|U5R7L4|U5R7L4_PSEAE Methyltransferase domain protein OS=Pseudomonas aeruginosa PAO1-VE2 GN=N296_5733 PE=</t>
  </si>
  <si>
    <t>_VTLK(ac)LLDYR_</t>
  </si>
  <si>
    <t>VTLK(1)LLDYR</t>
  </si>
  <si>
    <t>VTLK(67.56)LLDYR</t>
  </si>
  <si>
    <t>Q51485</t>
  </si>
  <si>
    <t>&gt;sp|Q51485|PORB_PSEAE Porin B OS=Pseudomonas aeruginosa (strain ATCC 15692 / PAO1 / 1C / PRS 101 / LMG 12228) GN=oprB PE=1 SV=1;&gt;tr|U5QXK8|U5QXK8_PSEAE Porin B OS=Pseudomonas aeruginosa PAO1-VE2 GN=oprB PE=4 SV=1;&gt;tr|U5RD07|U5RD07_PSEAE Porin B OS=Pseudomo</t>
  </si>
  <si>
    <t>_WMLGDWGGK(ac)R_</t>
  </si>
  <si>
    <t>WMLGDWGGK(1)R</t>
  </si>
  <si>
    <t>WMLGDWGGK(103.55)R</t>
  </si>
  <si>
    <t>Q9I702</t>
  </si>
  <si>
    <t>&gt;sp|Q9I702|BAUC_PSEAE Putative 3-oxopropanoate dehydrogenase OS=Pseudomonas aeruginosa (strain ATCC 15692 / PAO1 / 1C / PRS 101 / LMG 12228) GN=bauC PE=2 SV=1;&gt;tr|U5QXN2|U5QXN2_PSEAE Methylmalonate-semialdehyde dehydrogenase OS=Pseudomonas aeruginosa PAO1-</t>
  </si>
  <si>
    <t>_LVPQIK(ac)ALK_</t>
  </si>
  <si>
    <t>LVPQIK(1)ALK</t>
  </si>
  <si>
    <t>LVPQIK(56.56)ALK(-56.56)</t>
  </si>
  <si>
    <t>Q9I5U9</t>
  </si>
  <si>
    <t>&gt;tr|Q9I5U9|Q9I5U9_PSEAE Uncharacterized protein OS=Pseudomonas aeruginosa (strain ATCC 15692 / PAO1 / 1C / PRS 101 / LMG 12228) GN=PA0588 PE=4 SV=1;&gt;tr|U5R1L6|U5R1L6_PSEAE Uncharacterized protein OS=Pseudomonas aeruginosa PAO1-VE2 GN=N296_603 PE=4 SV=1;&gt;tr</t>
  </si>
  <si>
    <t>_QLMEK(ac)VPFYAIK_</t>
  </si>
  <si>
    <t>QLMEK(1)VPFYAIK</t>
  </si>
  <si>
    <t>QLMEK(20.86)VPFYAIK(-20.86)</t>
  </si>
  <si>
    <t>Q9I696</t>
  </si>
  <si>
    <t>&gt;tr|Q9I696|Q9I696_PSEAE Component of chemotactic signal transduction system OS=Pseudomonas aeruginosa (strain ATCC 15692 / PAO1 / 1C / PRS 101 / LMG 12228) GN=chpA PE=4 SV=1;&gt;tr|U5R0A4|U5R0A4_PSEAE CheW-like domain protein OS=Pseudomonas aeruginosa PAO1-VE</t>
  </si>
  <si>
    <t>_DLHTLK(ac)GGAR_</t>
  </si>
  <si>
    <t>DLHTLK(1)GGAR</t>
  </si>
  <si>
    <t>DLHTLK(51.93)GGAR</t>
  </si>
  <si>
    <t>Q9HVC2</t>
  </si>
  <si>
    <t>&gt;tr|Q9HVC2|Q9HVC2_PSEAE Ribosome-binding ATPase YchF OS=Pseudomonas aeruginosa (strain ATCC 15692 / PAO1 / 1C / PRS 101 / LMG 12228) GN=ychF PE=3 SV=1;&gt;tr|U5R2S4|U5R2S4_PSEAE Ribosome-binding ATPase YchF OS=Pseudomonas aeruginosa PAO1-VE2 GN=ychF PE=3 SV=1</t>
  </si>
  <si>
    <t>_VGATAPQAAGVIHTDFEK(ac)GFIR_</t>
  </si>
  <si>
    <t>VGATAPQAAGVIHTDFEK(1)GFIR</t>
  </si>
  <si>
    <t>VGATAPQAAGVIHTDFEK(12.71)GFIR</t>
  </si>
  <si>
    <t>P08308</t>
  </si>
  <si>
    <t>&gt;sp|P08308|OTCC_PSEAE Ornithine carbamoyltransferase, catabolic OS=Pseudomonas aeruginosa (strain ATCC 15692 / PAO1 / 1C / PRS 101 / LMG 12228) GN=arcB PE=1 SV=3;&gt;tr|U5QT72|U5QT72_PSEAE Ornithine carbamoyltransferase OS=Pseudomonas aeruginosa PAO1-VE2 GN=a</t>
  </si>
  <si>
    <t>_LTLTEDPK(ac)EAVK_</t>
  </si>
  <si>
    <t>LTLTEDPK(1)EAVK</t>
  </si>
  <si>
    <t>LTLTEDPK(91.94)EAVK(-91.94)</t>
  </si>
  <si>
    <t>Q9I671</t>
  </si>
  <si>
    <t>&gt;tr|Q9I671|Q9I671_PSEAE Glutaryl-CoA dehydrogenase OS=Pseudomonas aeruginosa (strain ATCC 15692 / PAO1 / 1C / PRS 101 / LMG 12228) GN=gcdH PE=3 SV=1;&gt;tr|U5QY83|U5QY83_PSEAE Uncharacterized protein OS=Pseudomonas aeruginosa PAO1-VE2 GN=N296_457 PE=3 SV=1;&gt;t</t>
  </si>
  <si>
    <t>_VLEAFRHEQTDPK(ac)IFR_</t>
  </si>
  <si>
    <t>VLEAFRHEQTDPK(1)IFR</t>
  </si>
  <si>
    <t>VLEAFRHEQTDPK(68.75)IFR</t>
  </si>
  <si>
    <t>Q9I6Z3</t>
  </si>
  <si>
    <t>&gt;tr|Q9I6Z3|Q9I6Z3_PSEAE Alkyl hydroperoxide reductase subunit C OS=Pseudomonas aeruginosa (strain ATCC 15692 / PAO1 / 1C / PRS 101 / LMG 12228) GN=ahpC PE=4 SV=1;&gt;tr|U5R579|U5R579_PSEAE Peroxiredoxin OS=Pseudomonas aeruginosa PAO1-VE2 GN=ahpC PE=4 SV=1;&gt;tr</t>
  </si>
  <si>
    <t>_AAQYTAAHPGEVCPAK(ac)WK_</t>
  </si>
  <si>
    <t>AAQYTAAHPGEVCPAK(1)WK</t>
  </si>
  <si>
    <t>AAQYTAAHPGEVCPAK(56.21)WK(-56.21)</t>
  </si>
  <si>
    <t>Q9HXJ4</t>
  </si>
  <si>
    <t>&gt;sp|Q9HXJ4|ISPG_PSEAE 4-hydroxy-3-methylbut-2-en-1-yl diphosphate synthase OS=Pseudomonas aeruginosa (strain ATCC 15692 / PAO1 / 1C / PRS 101 / LMG 12228) GN=ispG PE=3 SV=1;&gt;tr|U5R6U0|U5R6U0_PSEAE 4-hydroxy-3-methylbut-2-en-1-yl diphosphate synthase OS=Pse</t>
  </si>
  <si>
    <t>_HVDHLDK(ac)LDFQNFK_</t>
  </si>
  <si>
    <t>HVDHLDK(1)LDFQNFK</t>
  </si>
  <si>
    <t>HVDHLDK(56.57)LDFQNFK(-56.57)</t>
  </si>
  <si>
    <t>Q9HUC5</t>
  </si>
  <si>
    <t xml:space="preserve">&gt;sp|Q9HUC5|HSLU_PSEAE ATP-dependent protease ATPase subunit HslU OS=Pseudomonas aeruginosa (strain ATCC 15692 / PAO1 / 1C / PRS 101 / LMG 12228) GN=hslU PE=3 SV=1;&gt;tr|U5R6D7|U5R6D7_PSEAE ATP-dependent protease ATPase subunit HslU OS=Pseudomonas aeruginosa </t>
  </si>
  <si>
    <t>_VK(ac)YRAEDAAEER_</t>
  </si>
  <si>
    <t>VK(1)YRAEDAAEER</t>
  </si>
  <si>
    <t>VK(36.85)YRAEDAAEER</t>
  </si>
  <si>
    <t>Q9I687</t>
  </si>
  <si>
    <t>&gt;tr|Q9I687|Q9I687_PSEAE Methylenetetrahydrofolate reductase OS=Pseudomonas aeruginosa (strain ATCC 15692 / PAO1 / 1C / PRS 101 / LMG 12228) GN=metF PE=3 SV=1;&gt;tr|U5R0L9|U5R0L9_PSEAE Methylenetetrahydrofolate reductase OS=Pseudomonas aeruginosa PAO1-VE2 GN=</t>
  </si>
  <si>
    <t>_VPTAPHLSCVGDSK(ac)AELR_</t>
  </si>
  <si>
    <t>VPTAPHLSCVGDSK(1)AELR</t>
  </si>
  <si>
    <t>VPTAPHLSCVGDSK(50.08)AELR</t>
  </si>
  <si>
    <t>Q9HWD2</t>
  </si>
  <si>
    <t>&gt;sp|Q9HWD2|EFG1_PSEAE Elongation factor G 1 OS=Pseudomonas aeruginosa (strain ATCC 15692 / PAO1 / 1C / PRS 101 / LMG 12228) GN=fusA PE=1 SV=1;&gt;tr|U5R6S9|U5R6S9_PSEAE Elongation factor G OS=Pseudomonas aeruginosa PAO1-VE2 GN=fusA PE=3 SV=1;&gt;tr|U5RJ89|U5RJ89</t>
  </si>
  <si>
    <t>_QANK(ac)YGVPR_</t>
  </si>
  <si>
    <t>QANK(1)YGVPR</t>
  </si>
  <si>
    <t>QANK(107.69)YGVPR</t>
  </si>
  <si>
    <t>_LGADIHGAVTDVFINADGFK(ac)K_</t>
  </si>
  <si>
    <t>LGADIHGAVTDVFINADGFK(1)K</t>
  </si>
  <si>
    <t>LGADIHGAVTDVFINADGFK(86.48)K(-86.48)</t>
  </si>
  <si>
    <t>P46384</t>
  </si>
  <si>
    <t>&gt;sp|P46384|PILG_PSEAE Protein PilG OS=Pseudomonas aeruginosa (strain ATCC 15692 / PAO1 / 1C / PRS 101 / LMG 12228) GN=pilG PE=3 SV=1;&gt;tr|U5RA01|U5RA01_PSEAE Response regulator OS=Pseudomonas aeruginosa PAO1-VE2 GN=N296_419 PE=4 SV=1;&gt;tr|U5RHT8|U5RHT8_PSEAE</t>
  </si>
  <si>
    <t>_PFSK(ac)EELLGAIK_</t>
  </si>
  <si>
    <t>PFSK(1)EELLGAIK</t>
  </si>
  <si>
    <t>PFSK(83.31)EELLGAIK(-83.31)</t>
  </si>
  <si>
    <t>U5R0T9</t>
  </si>
  <si>
    <t>&gt;tr|U5R0T9|U5R0T9_PSEAE Glycosyl transferases group 1 family protein OS=Pseudomonas aeruginosa PAO1-VE2 GN=N296_3261 PE=4 SV=1;&gt;tr|U5R9L4|U5R9L4_PSEAE Glycosyl transferases group 1 family protein OS=Pseudomonas aeruginosa PAO1-VE13 GN=N297_3261 PE=4 SV=1;&gt;</t>
  </si>
  <si>
    <t>_EVVK(ac)SLECLK_</t>
  </si>
  <si>
    <t>EVVK(1)SLECLK</t>
  </si>
  <si>
    <t>EVVK(74.16)SLECLK(-74.16)</t>
  </si>
  <si>
    <t>P57112</t>
  </si>
  <si>
    <t>&gt;sp|P57112|STHA_PSEAE Soluble pyridine nucleotide transhydrogenase OS=Pseudomonas aeruginosa (strain ATCC 15692 / PAO1 / 1C / PRS 101 / LMG 12228) GN=sthA PE=1 SV=2;&gt;tr|U5QYJ6|U5QYJ6_PSEAE Soluble pyridine nucleotide transhydrogenase OS=Pseudomonas aerugin</t>
  </si>
  <si>
    <t>_TGNTDK(ac)LGLENVGIK_</t>
  </si>
  <si>
    <t>TGNTDK(1)LGLENVGIK</t>
  </si>
  <si>
    <t>TGNTDK(81.7)LGLENVGIK(-81.7)</t>
  </si>
  <si>
    <t>_SLECLK(ac)SSAR_</t>
  </si>
  <si>
    <t>SLECLK(1)SSAR</t>
  </si>
  <si>
    <t>SLECLK(127.4)SSAR</t>
  </si>
  <si>
    <t>Q9I672</t>
  </si>
  <si>
    <t>&gt;tr|Q9I672|Q9I672_PSEAE Uncharacterized protein OS=Pseudomonas aeruginosa (strain ATCC 15692 / PAO1 / 1C / PRS 101 / LMG 12228) GN=PA0446 PE=4 SV=1;&gt;tr|U5R2K3|U5R2K3_PSEAE CoA-transferase III family protein OS=Pseudomonas aeruginosa PAO1-VE2 GN=N296_456 PE</t>
  </si>
  <si>
    <t>_ADILLENFK(ac)VGGLK_</t>
  </si>
  <si>
    <t>ADILLENFK(1)VGGLK</t>
  </si>
  <si>
    <t>ADILLENFK(77.91)VGGLK(-77.91)</t>
  </si>
  <si>
    <t>_GTTWDQSPIFK(ac)K_</t>
  </si>
  <si>
    <t>GTTWDQSPIFK(1)K</t>
  </si>
  <si>
    <t>GTTWDQSPIFK(28.33)K(-28.33)</t>
  </si>
  <si>
    <t>Q9HZU2</t>
  </si>
  <si>
    <t>&gt;sp|Q9HZU2|COBH_PSEAE Precorrin-8X methylmutase OS=Pseudomonas aeruginosa (strain ATCC 15692 / PAO1 / 1C / PRS 101 / LMG 12228) GN=cobH PE=3 SV=1;&gt;tr|U5QTP5|U5QTP5_PSEAE Precorrin-8X methylmutase family protein OS=Pseudomonas aeruginosa PAO1-VE2 GN=N296_30</t>
  </si>
  <si>
    <t>_AEANLAGIPADLEK(ac)LAVR_</t>
  </si>
  <si>
    <t>AEANLAGIPADLEK(1)LAVR</t>
  </si>
  <si>
    <t>AEANLAGIPADLEK(48.88)LAVR</t>
  </si>
  <si>
    <t>_IPVTLHDDK(ac)PDYACLK_</t>
  </si>
  <si>
    <t>IPVTLHDDK(1)PDYACLK</t>
  </si>
  <si>
    <t>IPVTLHDDK(76.76)PDYACLK(-76.76)</t>
  </si>
  <si>
    <t>_DVTTGDTLCSIEK(ac)PIILER_</t>
  </si>
  <si>
    <t>DVTTGDTLCSIEK(1)PIILER</t>
  </si>
  <si>
    <t>DVTTGDTLCSIEK(129.05)PIILER</t>
  </si>
  <si>
    <t>P31961</t>
  </si>
  <si>
    <t>&gt;sp|P31961|EDD_PSEAE Phosphogluconate dehydratase OS=Pseudomonas aeruginosa (strain ATCC 15692 / PAO1 / 1C / PRS 101 / LMG 12228) GN=edd PE=3 SV=3;&gt;tr|U5QT03|U5QT03_PSEAE Phosphogluconate dehydratase OS=Pseudomonas aeruginosa PAO1-VE2 GN=edd PE=4 SV=1;&gt;tr|</t>
  </si>
  <si>
    <t>_GTLPCGNLAHGVAACGESDK(ac)QTLR_</t>
  </si>
  <si>
    <t>GTLPCGNLAHGVAACGESDK(1)QTLR</t>
  </si>
  <si>
    <t>GTLPCGNLAHGVAACGESDK(50.05)QTLR</t>
  </si>
  <si>
    <t>_ICSGK(ac)YEK_</t>
  </si>
  <si>
    <t>ICSGK(1)YEK</t>
  </si>
  <si>
    <t>ICSGK(39.15)YEK(-39.15)</t>
  </si>
  <si>
    <t>Q9HVV5</t>
  </si>
  <si>
    <t xml:space="preserve">&gt;tr|Q9HVV5|Q9HVV5_PSEAE Uncharacterized protein OS=Pseudomonas aeruginosa (strain ATCC 15692 / PAO1 / 1C / PRS 101 / LMG 12228) GN=PA4463 PE=4 SV=1;&gt;tr|U5QSS0|U5QSS0_PSEAE Ribosomal subunit interface protein OS=Pseudomonas aeruginosa PAO1-VE2 GN=raiA PE=4 </t>
  </si>
  <si>
    <t>_DYVGEK(ac)LSR_</t>
  </si>
  <si>
    <t>DYVGEK(1)LSR</t>
  </si>
  <si>
    <t>DYVGEK(54.98)LSR</t>
  </si>
  <si>
    <t>Q9I2V5</t>
  </si>
  <si>
    <t>&gt;sp|Q9I2V5|ACON2_PSEAE Aconitate hydratase 2 OS=Pseudomonas aeruginosa (strain ATCC 15692 / PAO1 / 1C / PRS 101 / LMG 12228) GN=acnB PE=3 SV=1;&gt;tr|U5R4V2|U5R4V2_PSEAE Aconitate hydratase 2 OS=Pseudomonas aeruginosa PAO1-VE2 GN=acnB PE=3 SV=1;&gt;tr|U5RHE1|U5R</t>
  </si>
  <si>
    <t>_DLVHAIPYYAIQQGLLTVEK(ac)K_</t>
  </si>
  <si>
    <t>DLVHAIPYYAIQQGLLTVEK(1)K</t>
  </si>
  <si>
    <t>DLVHAIPYYAIQQGLLTVEK(112.74)K(-112.74)</t>
  </si>
  <si>
    <t>G3XD89</t>
  </si>
  <si>
    <t>&gt;tr|G3XD89|G3XD89_PSEAE Putative copper transport outer membrane porin OprC OS=Pseudomonas aeruginosa (strain ATCC 15692 / PAO1 / 1C / PRS 101 / LMG 12228) GN=oprC PE=3 SV=1;&gt;tr|U5R696|U5R696_PSEAE TonB-dependent copper receptor OS=Pseudomonas aeruginosa P</t>
  </si>
  <si>
    <t>_FDK(ac)VLDAAAGNR_</t>
  </si>
  <si>
    <t>FDK(1)VLDAAAGNR</t>
  </si>
  <si>
    <t>FDK(165.66)VLDAAAGNR</t>
  </si>
  <si>
    <t>_TLACEIVPAVCGSSFK(ac)NK_</t>
  </si>
  <si>
    <t>TLACEIVPAVCGSSFK(1)NK</t>
  </si>
  <si>
    <t>TLACEIVPAVCGSSFK(65.23)NK(-65.23)</t>
  </si>
  <si>
    <t>Q9HTD0</t>
  </si>
  <si>
    <t>&gt;tr|Q9HTD0|Q9HTD0_PSEAE Probable biotin carboxylase subunit of a transcarboxylase OS=Pseudomonas aeruginosa (strain ATCC 15692 / PAO1 / 1C / PRS 101 / LMG 12228) GN=PA5436 PE=4 SV=1;&gt;tr|U5QWD9|U5QWD9_PSEAE Biotin carboxylase OS=Pseudomonas aeruginosa PAO1-</t>
  </si>
  <si>
    <t>_INAEDPK(ac)NNFLPSFGK_</t>
  </si>
  <si>
    <t>INAEDPK(1)NNFLPSFGK</t>
  </si>
  <si>
    <t>INAEDPK(37.09)NNFLPSFGK(-37.09)</t>
  </si>
  <si>
    <t>Q9I4X2</t>
  </si>
  <si>
    <t xml:space="preserve">&gt;tr|Q9I4X2|Q9I4X2_PSEAE PqsB OS=Pseudomonas aeruginosa (strain ATCC 15692 / PAO1 / 1C / PRS 101 / LMG 12228) GN=pqsB PE=4 SV=1;&gt;tr|U5R2N4|U5R2N4_PSEAE Putative pqsB OS=Pseudomonas aeruginosa PAO1-VE2 GN=N296_1030 PE=4 SV=1;&gt;tr|U5RJB3|U5RJB3_PSEAE Putative </t>
  </si>
  <si>
    <t>_IGHPLQK(ac)VLGANR_</t>
  </si>
  <si>
    <t>IGHPLQK(1)VLGANR</t>
  </si>
  <si>
    <t>IGHPLQK(44.62)VLGANR</t>
  </si>
  <si>
    <t>_YAEGYPHK(ac)R_</t>
  </si>
  <si>
    <t>YAEGYPHK(1)R</t>
  </si>
  <si>
    <t>YAEGYPHK(66.69)R</t>
  </si>
  <si>
    <t>Q51561</t>
  </si>
  <si>
    <t>&gt;sp|Q51561|RPOB_PSEAE DNA-directed RNA polymerase subunit beta OS=Pseudomonas aeruginosa (strain ATCC 15692 / PAO1 / 1C / PRS 101 / LMG 12228) GN=rpoB PE=3 SV=2;&gt;tr|U5R4K8|U5R4K8_PSEAE DNA-directed RNA polymerase subunit beta OS=Pseudomonas aeruginosa PAO1</t>
  </si>
  <si>
    <t>_LNHLVDDK(ac)MHAR_</t>
  </si>
  <si>
    <t>LNHLVDDK(1)MHAR</t>
  </si>
  <si>
    <t>LNHLVDDK(56.23)MHAR</t>
  </si>
  <si>
    <t>Q9I5E3</t>
  </si>
  <si>
    <t>&gt;tr|Q9I5E3|Q9I5E3_PSEAE Citrate synthase OS=Pseudomonas aeruginosa (strain ATCC 15692 / PAO1 / 1C / PRS 101 / LMG 12228) GN=prpC PE=3 SV=1;&gt;tr|U5R8S1|U5R8S1_PSEAE Citrate synthase OS=Pseudomonas aeruginosa PAO1-VE2 GN=N296_822 PE=3 SV=1;&gt;tr|U5RBJ5|U5RBJ5_P</t>
  </si>
  <si>
    <t>_TMWEQK(ac)K_</t>
  </si>
  <si>
    <t>TMWEQK(1)K</t>
  </si>
  <si>
    <t>TMWEQK(59.21)K(-59.21)</t>
  </si>
  <si>
    <t>Q9HZJ2</t>
  </si>
  <si>
    <t xml:space="preserve">&gt;sp|Q9HZJ2|FADB_PSEAE Fatty acid oxidation complex subunit alpha OS=Pseudomonas aeruginosa (strain ATCC 15692 / PAO1 / 1C / PRS 101 / LMG 12228) GN=fadB PE=3 SV=1;&gt;tr|U5R9W2|U5R9W2_PSEAE Fatty acid oxidation complex subunit alpha OS=Pseudomonas aeruginosa </t>
  </si>
  <si>
    <t>_VGLPEVK(ac)LGIYPGFGGTVR_</t>
  </si>
  <si>
    <t>VGLPEVK(1)LGIYPGFGGTVR</t>
  </si>
  <si>
    <t>VGLPEVK(66.34)LGIYPGFGGTVR</t>
  </si>
  <si>
    <t>Q9HW72</t>
  </si>
  <si>
    <t>&gt;tr|Q9HW72|Q9HW72_PSEAE Pyruvate kinase OS=Pseudomonas aeruginosa (strain ATCC 15692 / PAO1 / 1C / PRS 101 / LMG 12228) GN=pykA PE=3 SV=1;&gt;tr|U5R162|U5R162_PSEAE Pyruvate kinase OS=Pseudomonas aeruginosa PAO1-VE2 GN=pyk PE=3 SV=1;&gt;tr|U5RM32|U5RM32_PSEAE Py</t>
  </si>
  <si>
    <t>_IAK(ac)FANK_</t>
  </si>
  <si>
    <t>IAK(1)FANK</t>
  </si>
  <si>
    <t>IAK(118.69)FANK(-118.69)</t>
  </si>
  <si>
    <t>Q9HVZ5</t>
  </si>
  <si>
    <t>&gt;sp|Q9HVZ5|RSMH_PSEAE Ribosomal RNA small subunit methyltransferase H OS=Pseudomonas aeruginosa (strain ATCC 15692 / PAO1 / 1C / PRS 101 / LMG 12228) GN=rsmH PE=3 SV=1;&gt;tr|U5R366|U5R366_PSEAE Ribosomal RNA small subunit methyltransferase H OS=Pseudomonas a</t>
  </si>
  <si>
    <t>_IVK(ac)LFMR_</t>
  </si>
  <si>
    <t>IVK(1)LFMR</t>
  </si>
  <si>
    <t>IVK(126.54)LFMR</t>
  </si>
  <si>
    <t>Q9I3D1</t>
  </si>
  <si>
    <t>&gt;sp|Q9I3D1|DLDH2_PSEAE Dihydrolipoyl dehydrogenase OS=Pseudomonas aeruginosa (strain ATCC 15692 / PAO1 / 1C / PRS 101 / LMG 12228) GN=lpdG PE=3 SV=1;&gt;tr|U5QV79|U5QV79_PSEAE Dihydrolipoyl dehydrogenase OS=Pseudomonas aeruginosa PAO1-VE2 GN=lpdA PE=3 SV=1;&gt;t</t>
  </si>
  <si>
    <t>_ANIVK(ac)NLTGGIATLFK_</t>
  </si>
  <si>
    <t>ANIVK(1)NLTGGIATLFK</t>
  </si>
  <si>
    <t>ANIVK(37.09)NLTGGIATLFK(-37.09)</t>
  </si>
  <si>
    <t>_YHEAK(ac)EAFK_</t>
  </si>
  <si>
    <t>YHEAK(1)EAFK</t>
  </si>
  <si>
    <t>YHEAK(93.11)EAFK(-93.11)</t>
  </si>
  <si>
    <t>Q9HV44</t>
  </si>
  <si>
    <t>&gt;sp|Q9HV44|DNAJ_PSEAE Chaperone protein DnaJ OS=Pseudomonas aeruginosa (strain ATCC 15692 / PAO1 / 1C / PRS 101 / LMG 12228) GN=dnaJ PE=3 SV=1;&gt;tr|U5QR48|U5QR48_PSEAE Chaperone protein DnaJ OS=Pseudomonas aeruginosa PAO1-VE2 GN=dnaJ PE=3 SV=1;&gt;tr|U5RHK8|U5</t>
  </si>
  <si>
    <t>_EAEDK(ac)FK_</t>
  </si>
  <si>
    <t>EAEDK(1)FK</t>
  </si>
  <si>
    <t>EAEDK(41.23)FK(-41.23)</t>
  </si>
  <si>
    <t>Q9I558</t>
  </si>
  <si>
    <t>&gt;sp|Q9I558|ACSA1_PSEAE Acetyl-coenzyme A synthetase 1 OS=Pseudomonas aeruginosa (strain ATCC 15692 / PAO1 / 1C / PRS 101 / LMG 12228) GN=acsA1 PE=3 SV=1;&gt;tr|U5QYI5|U5QYI5_PSEAE Acetyl-coenzyme A synthetase OS=Pseudomonas aeruginosa PAO1-VE2 GN=acs PE=3 SV=</t>
  </si>
  <si>
    <t>_VAGSTCAPK(ac)EMGAEDPLFILYTSGSTGKPK_</t>
  </si>
  <si>
    <t>VAGSTCAPK(1)EMGAEDPLFILYTSGSTGKPK</t>
  </si>
  <si>
    <t>VAGSTCAPK(41.82)EMGAEDPLFILYTSGSTGK(-41.82)PK(-43.73)</t>
  </si>
  <si>
    <t>_VDSQCMEIK(ac)DAYPSGK_</t>
  </si>
  <si>
    <t>VDSQCMEIK(1)DAYPSGK</t>
  </si>
  <si>
    <t>VDSQCMEIK(62.38)DAYPSGK(-62.38)</t>
  </si>
  <si>
    <t>U5QYG8</t>
  </si>
  <si>
    <t>&gt;tr|U5QYG8|U5QYG8_PSEAE Glyceraldehyde-3-phosphate dehydrogenase, type I OS=Pseudomonas aeruginosa PAO1-VE2 GN=gap PE=3 SV=1;&gt;tr|U5RG56|U5RG56_PSEAE Glyceraldehyde-3-phosphate dehydrogenase, type I OS=Pseudomonas aeruginosa PAO1-VE13 GN=gap PE=3 SV=1;&gt;tr|Q</t>
  </si>
  <si>
    <t>_SVIAIMK(ac)AHR_</t>
  </si>
  <si>
    <t>SVIAIMK(1)AHR</t>
  </si>
  <si>
    <t>SVIAIMK(86.9)AHR</t>
  </si>
  <si>
    <t>Q9I6J5</t>
  </si>
  <si>
    <t>&gt;tr|Q9I6J5|Q9I6J5_PSEAE Probable glutamine synthetase OS=Pseudomonas aeruginosa (strain ATCC 15692 / PAO1 / 1C / PRS 101 / LMG 12228) GN=spuI PE=3 SV=1;&gt;tr|U5QXL7|U5QXL7_PSEAE Glutamine synthetase, catalytic domain protein OS=Pseudomonas aeruginosa PAO1-VE</t>
  </si>
  <si>
    <t>_NSLNK(ac)VFEK_</t>
  </si>
  <si>
    <t>NSLNK(1)VFEK</t>
  </si>
  <si>
    <t>NSLNK(36.32)VFEK(-36.32)</t>
  </si>
  <si>
    <t>Q9HV50</t>
  </si>
  <si>
    <t>&gt;sp|Q9HV50|GLMM_PSEAE Phosphoglucosamine mutase OS=Pseudomonas aeruginosa (strain ATCC 15692 / PAO1 / 1C / PRS 101 / LMG 12228) GN=glmM PE=3 SV=1;&gt;tr|U5R0K4|U5R0K4_PSEAE Phosphoglucosamine mutase OS=Pseudomonas aeruginosa PAO1-VE2 GN=glmM PE=3 SV=1;&gt;tr|U5R</t>
  </si>
  <si>
    <t>_VVLDCANGATYK(ac)IAPSVFR_</t>
  </si>
  <si>
    <t>VVLDCANGATYK(1)IAPSVFR</t>
  </si>
  <si>
    <t>VVLDCANGATYK(83.42)IAPSVFR</t>
  </si>
  <si>
    <t>Q9HT80</t>
  </si>
  <si>
    <t>&gt;sp|Q9HT80|DPO1_PSEAE DNA polymerase I OS=Pseudomonas aeruginosa (strain ATCC 15692 / PAO1 / 1C / PRS 101 / LMG 12228) GN=polA PE=3 SV=1;&gt;tr|U5R8S6|U5R8S6_PSEAE DNA polymerase I OS=Pseudomonas aeruginosa PAO1-VE2 GN=polA PE=3 SV=1;&gt;tr|U5RLD3|U5RLD3_PSEAE D</t>
  </si>
  <si>
    <t>_HDMDSLALK(ac)YLGHSTIR_</t>
  </si>
  <si>
    <t>HDMDSLALK(1)YLGHSTIR</t>
  </si>
  <si>
    <t>HDMDSLALK(105.14)YLGHSTIR</t>
  </si>
  <si>
    <t>_TSGEEVAPLK(ac)R_</t>
  </si>
  <si>
    <t>TSGEEVAPLK(1)R</t>
  </si>
  <si>
    <t>TSGEEVAPLK(78.65)R</t>
  </si>
  <si>
    <t>Q9HTD1</t>
  </si>
  <si>
    <t>&gt;tr|Q9HTD1|Q9HTD1_PSEAE Probable transcarboxylase subunit OS=Pseudomonas aeruginosa (strain ATCC 15692 / PAO1 / 1C / PRS 101 / LMG 12228) GN=PA5435 PE=4 SV=1;&gt;tr|U5QZ64|U5QZ64_PSEAE Oxaloacetate decarboxylase alpha subunit OS=Pseudomonas aeruginosa PAO1-VE</t>
  </si>
  <si>
    <t>_TEDMLPICDK(ac)LDR_</t>
  </si>
  <si>
    <t>TEDMLPICDK(1)LDR</t>
  </si>
  <si>
    <t>TEDMLPICDK(69.82)LDR</t>
  </si>
  <si>
    <t>Q9HTL0</t>
  </si>
  <si>
    <t>&gt;sp|Q9HTL0|DBHA_PSEAE DNA-binding protein HU-alpha OS=Pseudomonas aeruginosa (strain ATCC 15692 / PAO1 / 1C / PRS 101 / LMG 12228) GN=hupA PE=3 SV=1;&gt;tr|U5QXD8|U5QXD8_PSEAE DNA-binding protein HU-beta OS=Pseudomonas aeruginosa PAO1-VE2 GN=hupB PE=3 SV=1;&gt;t</t>
  </si>
  <si>
    <t>_ASNTVAFK(ac)PGK_</t>
  </si>
  <si>
    <t>ASNTVAFK(1)PGK</t>
  </si>
  <si>
    <t>ASNTVAFK(36.85)PGK(-36.85)</t>
  </si>
  <si>
    <t>_PGPVVVDIPK(ac)DMGDPTQK_</t>
  </si>
  <si>
    <t>PGPVVVDIPK(1)DMGDPTQK</t>
  </si>
  <si>
    <t>PGPVVVDIPK(52.52)DMGDPTQK(-52.52)</t>
  </si>
  <si>
    <t>Q51344</t>
  </si>
  <si>
    <t>&gt;sp|Q51344|DHAS_PSEAE Aspartate-semialdehyde dehydrogenase OS=Pseudomonas aeruginosa (strain ATCC 15692 / PAO1 / 1C / PRS 101 / LMG 12228) GN=asd PE=1 SV=2;&gt;tr|U5QZ25|U5QZ25_PSEAE Aspartate-semialdehyde dehydrogenase OS=Pseudomonas aeruginosa PAO1-VE2 GN=a</t>
  </si>
  <si>
    <t>_K(ac)VAETLR_</t>
  </si>
  <si>
    <t>K(1)VAETLR</t>
  </si>
  <si>
    <t>K(63.31)VAETLR</t>
  </si>
  <si>
    <t>Q9I4W3</t>
  </si>
  <si>
    <t>&gt;sp|Q9I4W3|DAPA_PSEAE 4-hydroxy-tetrahydrodipicolinate synthase OS=Pseudomonas aeruginosa (strain ATCC 15692 / PAO1 / 1C / PRS 101 / LMG 12228) GN=dapA PE=1 SV=1;&gt;tr|U5QT28|U5QT28_PSEAE 4-hydroxy-tetrahydrodipicolinate synthase OS=Pseudomonas aeruginosa PA</t>
  </si>
  <si>
    <t>_LMPLHK(ac)ALFIESNPIPVK_</t>
  </si>
  <si>
    <t>LMPLHK(1)ALFIESNPIPVK</t>
  </si>
  <si>
    <t>LMPLHK(65.72)ALFIESNPIPVK(-65.72)</t>
  </si>
  <si>
    <t>_SLDK(ac)WDDYTAAK_</t>
  </si>
  <si>
    <t>SLDK(1)WDDYTAAK</t>
  </si>
  <si>
    <t>SLDK(45.92)WDDYTAAK(-45.92)</t>
  </si>
  <si>
    <t>_ALEEK(ac)LPAHFDYLENHLDGR_</t>
  </si>
  <si>
    <t>ALEEK(1)LPAHFDYLENHLDGR</t>
  </si>
  <si>
    <t>ALEEK(70.94)LPAHFDYLENHLDGR</t>
  </si>
  <si>
    <t>_AGNNGK(ac)NPSWLSYEK_</t>
  </si>
  <si>
    <t>AGNNGK(1)NPSWLSYEK</t>
  </si>
  <si>
    <t>AGNNGK(35.35)NPSWLSYEK(-35.35)</t>
  </si>
  <si>
    <t>P09591</t>
  </si>
  <si>
    <t>&gt;sp|P09591|EFTU_PSEAE Elongation factor Tu OS=Pseudomonas aeruginosa (strain ATCC 15692 / PAO1 / 1C / PRS 101 / LMG 12228) GN=tufA PE=3 SV=2;&gt;tr|U5R2Z3|U5R2Z3_PSEAE Elongation factor Tu OS=Pseudomonas aeruginosa PAO1-VE2 GN=tuf PE=3 SV=1;&gt;tr|U5R9Y1|U5R9Y1_</t>
  </si>
  <si>
    <t>_K(ac)LLDEGR_</t>
  </si>
  <si>
    <t>K(1)LLDEGR</t>
  </si>
  <si>
    <t>K(118.69)LLDEGR</t>
  </si>
  <si>
    <t>O52762</t>
  </si>
  <si>
    <t>&gt;sp|O52762|CATA_PSEAE Catalase OS=Pseudomonas aeruginosa (strain ATCC 15692 / PAO1 / 1C / PRS 101 / LMG 12228) GN=katA PE=1 SV=1;&gt;tr|U5QXV4|U5QXV4_PSEAE Catalase OS=Pseudomonas aeruginosa PAO1-VE2 GN=katA PE=3 SV=1;&gt;tr|U5RJN7|U5RJN7_PSEAE Catalase OS=Pseud</t>
  </si>
  <si>
    <t>_DLYESIEK(ac)GDFPR_</t>
  </si>
  <si>
    <t>DLYESIEK(1)GDFPR</t>
  </si>
  <si>
    <t>DLYESIEK(95.4)GDFPR</t>
  </si>
  <si>
    <t>P11221</t>
  </si>
  <si>
    <t>&gt;sp|P11221|OPRI_PSEAE Major outer membrane lipoprotein OS=Pseudomonas aeruginosa (strain ATCC 15692 / PAO1 / 1C / PRS 101 / LMG 12228) GN=oprI PE=3 SV=1</t>
  </si>
  <si>
    <t>_MLEK(ac)ASR_</t>
  </si>
  <si>
    <t>MLEK(1)ASR</t>
  </si>
  <si>
    <t>MLEK(90.99)ASR</t>
  </si>
  <si>
    <t>Q9HTU9</t>
  </si>
  <si>
    <t>&gt;tr|Q9HTU9|Q9HTU9_PSEAE Uncharacterized protein OS=Pseudomonas aeruginosa (strain ATCC 15692 / PAO1 / 1C / PRS 101 / LMG 12228) GN=PA5245 PE=4 SV=1;&gt;tr|U5R1W4|U5R1W4_PSEAE DJ-1/PfpI family protein OS=Pseudomonas aeruginosa PAO1-VE2 GN=N296_5424 PE=4 SV=1;&gt;</t>
  </si>
  <si>
    <t>_VLELVDQDK(ac)A_</t>
  </si>
  <si>
    <t>VLELVDQDK(1)A</t>
  </si>
  <si>
    <t>VLELVDQDK(35.22)A</t>
  </si>
  <si>
    <t>_TLAPSLDLVGK(ac)I_</t>
  </si>
  <si>
    <t>TLAPSLDLVGK(1)I</t>
  </si>
  <si>
    <t>TLAPSLDLVGK(83.86)I</t>
  </si>
  <si>
    <t>Q9I693</t>
  </si>
  <si>
    <t>&gt;tr|Q9I693|Q9I693_PSEAE Adenosylmethionine-8-amino-7-oxononanoate aminotransferase OS=Pseudomonas aeruginosa (strain ATCC 15692 / PAO1 / 1C / PRS 101 / LMG 12228) GN=bioA PE=3 SV=1;&gt;tr|U5QZE5|U5QZE5_PSEAE Adenosylmethionine-8-amino-7-oxononanoate aminotran</t>
  </si>
  <si>
    <t>_DLNVLWHPCTQMK(ac)DHER_</t>
  </si>
  <si>
    <t>DLNVLWHPCTQMK(1)DHER</t>
  </si>
  <si>
    <t>DLNVLWHPCTQMK(69.59)DHER</t>
  </si>
  <si>
    <t>Q9HWC8</t>
  </si>
  <si>
    <t>&gt;sp|Q9HWC8|RL7_PSEAE 50S ribosomal protein L7/L12 OS=Pseudomonas aeruginosa (strain ATCC 15692 / PAO1 / 1C / PRS 101 / LMG 12228) GN=rplL PE=3 SV=1;&gt;tr|U5R4U3|U5R4U3_PSEAE 50S ribosomal protein L7/L12 OS=Pseudomonas aeruginosa PAO1-VE2 GN=rplL PE=3 SV=1;&gt;t</t>
  </si>
  <si>
    <t>_EGASK(ac)EEAEAAKK_</t>
  </si>
  <si>
    <t>EGASK(1)EEAEAAKK</t>
  </si>
  <si>
    <t>EGASK(33.48)EEAEAAK(-33.48)K(-34.18)</t>
  </si>
  <si>
    <t>_YTGTEQQHLK(ac)R_</t>
  </si>
  <si>
    <t>YTGTEQQHLK(1)R</t>
  </si>
  <si>
    <t>YTGTEQQHLK(185.14)R</t>
  </si>
  <si>
    <t>P13794</t>
  </si>
  <si>
    <t>&gt;sp|P13794|PORF_PSEAE Outer membrane porin F OS=Pseudomonas aeruginosa (strain ATCC 15692 / PAO1 / 1C / PRS 101 / LMG 12228) GN=oprF PE=1 SV=1;&gt;tr|U5QRX4|U5QRX4_PSEAE Outer membrane porin F OS=Pseudomonas aeruginosa PAO1-VE2 GN=oprF PE=3 SV=1;&gt;tr|U5RAR5|U5</t>
  </si>
  <si>
    <t>_FDFDK(ac)SK_</t>
  </si>
  <si>
    <t>FDFDK(1)SK</t>
  </si>
  <si>
    <t>FDFDK(67.76)SK(-67.76)</t>
  </si>
  <si>
    <t>Q9HYC9</t>
  </si>
  <si>
    <t>&gt;sp|Q9HYC9|DCD_PSEAE Deoxycytidine triphosphate deaminase OS=Pseudomonas aeruginosa (strain ATCC 15692 / PAO1 / 1C / PRS 101 / LMG 12228) GN=dcd PE=1 SV=1;&gt;tr|U5R2Y9|U5R2Y9_PSEAE Deoxycytidine triphosphate deaminase OS=Pseudomonas aeruginosa PAO1-VE2 GN=dc</t>
  </si>
  <si>
    <t>_DRGGK(ac)YQGQR_</t>
  </si>
  <si>
    <t>DRGGK(1)YQGQR</t>
  </si>
  <si>
    <t>DRGGK(44.32)YQGQR</t>
  </si>
  <si>
    <t>Q9I020</t>
  </si>
  <si>
    <t>&gt;tr|Q9I020|Q9I020_PSEAE Uncharacterized protein OS=Pseudomonas aeruginosa (strain ATCC 15692 / PAO1 / 1C / PRS 101 / LMG 12228) GN=PA2823 PE=4 SV=1;&gt;tr|U5R1U0|U5R1U0_PSEAE ATPase associated with various cellular activities family protein OS=Pseudomonas aer</t>
  </si>
  <si>
    <t>_YWVGK(ac)QLLER_</t>
  </si>
  <si>
    <t>YWVGK(1)QLLER</t>
  </si>
  <si>
    <t>YWVGK(75.29)QLLER</t>
  </si>
  <si>
    <t>Q9I5Y4</t>
  </si>
  <si>
    <t>&gt;sp|Q9I5Y4|PGK_PSEAE Phosphoglycerate kinase OS=Pseudomonas aeruginosa (strain ATCC 15692 / PAO1 / 1C / PRS 101 / LMG 12228) GN=pgk PE=3 SV=1;&gt;tr|U5R6X6|U5R6X6_PSEAE Phosphoglycerate kinase OS=Pseudomonas aeruginosa PAO1-VE2 GN=pgk PE=3 SV=1;&gt;tr|U5RKA9|U5R</t>
  </si>
  <si>
    <t>_K(ac)NADELAQK_</t>
  </si>
  <si>
    <t>K(1)NADELAQK</t>
  </si>
  <si>
    <t>K(99.82)NADELAQK(-99.82)</t>
  </si>
  <si>
    <t>Q59637</t>
  </si>
  <si>
    <t>&gt;sp|Q59637|ODP1_PSEAE Pyruvate dehydrogenase E1 component OS=Pseudomonas aeruginosa (strain ATCC 15692 / PAO1 / 1C / PRS 101 / LMG 12228) GN=aceE PE=3 SV=2;&gt;tr|U5QXM5|U5QXM5_PSEAE Pyruvate dehydrogenase E1 component OS=Pseudomonas aeruginosa PAO1-VE2 GN=ac</t>
  </si>
  <si>
    <t>_TIK(ac)GYGTGSGEAK_</t>
  </si>
  <si>
    <t>TIK(1)GYGTGSGEAK</t>
  </si>
  <si>
    <t>TIK(23.71)GYGTGSGEAK(-23.71)</t>
  </si>
  <si>
    <t>Q9HWD8</t>
  </si>
  <si>
    <t>&gt;sp|Q9HWD8|RL2_PSEAE 50S ribosomal protein L2 OS=Pseudomonas aeruginosa (strain ATCC 15692 / PAO1 / 1C / PRS 101 / LMG 12228) GN=rplB PE=3 SV=1;&gt;tr|U5R1M1|U5R1M1_PSEAE 50S ribosomal protein L2 OS=Pseudomonas aeruginosa PAO1-VE2 GN=rplB PE=3 SV=1;&gt;tr|U5RC86</t>
  </si>
  <si>
    <t>_VVNQELHK(ac)GAPYAPLLEK_</t>
  </si>
  <si>
    <t>VVNQELHK(1)GAPYAPLLEK</t>
  </si>
  <si>
    <t>VVNQELHK(13.83)GAPYAPLLEK(-13.83)</t>
  </si>
  <si>
    <t>Q9HUM7</t>
  </si>
  <si>
    <t>&gt;tr|Q9HUM7|Q9HUM7_PSEAE Ribonuclease R OS=Pseudomonas aeruginosa (strain ATCC 15692 / PAO1 / 1C / PRS 101 / LMG 12228) GN=rnr PE=3 SV=1;&gt;tr|U5R630|U5R630_PSEAE Ribonuclease R OS=Pseudomonas aeruginosa PAO1-VE2 GN=rnr PE=3 SV=1;&gt;tr|U5RLH0|U5RLH0_PSEAE Ribon</t>
  </si>
  <si>
    <t>_LKPEVAEK(ac)DK_</t>
  </si>
  <si>
    <t>LK(0.062)PEVAEK(0.938)DK</t>
  </si>
  <si>
    <t>LK(-11.78)PEVAEK(11.78)DK(-16.58)</t>
  </si>
  <si>
    <t>Q9HY79</t>
  </si>
  <si>
    <t xml:space="preserve">&gt;tr|Q9HY79|Q9HY79_PSEAE Bacterioferritin OS=Pseudomonas aeruginosa (strain ATCC 15692 / PAO1 / 1C / PRS 101 / LMG 12228) GN=bfrB PE=1 SV=1;&gt;tr|U5QXD4|U5QXD4_PSEAE Bacterioferritin OS=Pseudomonas aeruginosa PAO1-VE2 GN=bfr PE=3 SV=1;&gt;tr|U5RCL0|U5RCL0_PSEAE </t>
  </si>
  <si>
    <t>_HADK(ac)LIER_</t>
  </si>
  <si>
    <t>HADK(1)LIER</t>
  </si>
  <si>
    <t>HADK(100.02)LIER</t>
  </si>
  <si>
    <t>_VYDGENLK(ac)DTDPK_</t>
  </si>
  <si>
    <t>VYDGENLK(1)DTDPK</t>
  </si>
  <si>
    <t>VYDGENLK(56.95)DTDPK(-56.95)</t>
  </si>
  <si>
    <t>_QDITGK(ac)DADAALGR_</t>
  </si>
  <si>
    <t>QDITGK(1)DADAALGR</t>
  </si>
  <si>
    <t>QDITGK(155.66)DADAALGR</t>
  </si>
  <si>
    <t>Q9HWF1</t>
  </si>
  <si>
    <t>&gt;sp|Q9HWF1|RL18_PSEAE 50S ribosomal protein L18 OS=Pseudomonas aeruginosa (strain ATCC 15692 / PAO1 / 1C / PRS 101 / LMG 12228) GN=rplR PE=3 SV=1;&gt;tr|U5R736|U5R736_PSEAE 50S ribosomal protein L18 OS=Pseudomonas aeruginosa PAO1-VE2 GN=rplR PE=3 SV=1;&gt;tr|U5R</t>
  </si>
  <si>
    <t>_EGATGNIDAAK(ac)K_</t>
  </si>
  <si>
    <t>EGATGNIDAAK(1)K</t>
  </si>
  <si>
    <t>EGATGNIDAAK(75.7)K(-75.7)</t>
  </si>
  <si>
    <t>Q9HWC9</t>
  </si>
  <si>
    <t>&gt;sp|Q9HWC9|RPOC_PSEAE DNA-directed RNA polymerase subunit beta' OS=Pseudomonas aeruginosa (strain ATCC 15692 / PAO1 / 1C / PRS 101 / LMG 12228) GN=rpoC PE=3 SV=1;&gt;tr|U5QX04|U5QX04_PSEAE DNA-directed RNA polymerase subunit beta' OS=Pseudomonas aeruginosa PA</t>
  </si>
  <si>
    <t>_ANDEVSK(ac)AMMANLSK_</t>
  </si>
  <si>
    <t>ANDEVSK(1)AMMANLSK</t>
  </si>
  <si>
    <t>ANDEVSK(83.69)AMMANLSK(-83.69)</t>
  </si>
  <si>
    <t>_FAFK(ac)ILSK_</t>
  </si>
  <si>
    <t>FAFK(1)ILSK</t>
  </si>
  <si>
    <t>FAFK(62.55)ILSK(-62.55)</t>
  </si>
  <si>
    <t>Q59638</t>
  </si>
  <si>
    <t>&gt;sp|Q59638|ODP2_PSEAE Dihydrolipoyllysine-residue acetyltransferase component of pyruvate dehydrogenase complex OS=Pseudomonas aeruginosa (strain ATCC 15692 / PAO1 / 1C / PRS 101 / LMG 12228) GN=aceF PE=1 SV=2;&gt;tr|U5QU78|U5QU78_PSEAE Dihydrolipoyllysine-re</t>
  </si>
  <si>
    <t>_ACAHLLK(ac)ELPDFNSSLAPSGK_</t>
  </si>
  <si>
    <t>ACAHLLK(1)ELPDFNSSLAPSGK</t>
  </si>
  <si>
    <t>ACAHLLK(66.87)ELPDFNSSLAPSGK(-66.87)</t>
  </si>
  <si>
    <t>Q9I4W5</t>
  </si>
  <si>
    <t>&gt;tr|Q9I4W5|Q9I4W5_PSEAE Bacterioferritin comigratory protein OS=Pseudomonas aeruginosa (strain ATCC 15692 / PAO1 / 1C / PRS 101 / LMG 12228) GN=bcp PE=4 SV=1;&gt;tr|U5QZL8|U5QZL8_PSEAE Redoxin family protein OS=Pseudomonas aeruginosa PAO1-VE2 GN=N296_1041 PE=</t>
  </si>
  <si>
    <t>_DGLK(ac)SHENFK_</t>
  </si>
  <si>
    <t>DGLK(1)SHENFK</t>
  </si>
  <si>
    <t>DGLK(51.93)SHENFK(-51.93)</t>
  </si>
  <si>
    <t>G3XDA2</t>
  </si>
  <si>
    <t>&gt;tr|G3XDA2|G3XDA2_PSEAE 3-oxoacyl-[acyl-carrier-protein] synthase 2 OS=Pseudomonas aeruginosa (strain ATCC 15692 / PAO1 / 1C / PRS 101 / LMG 12228) GN=fabF1 PE=1 SV=1;&gt;tr|U5R5E6|U5R5E6_PSEAE 3-oxoacyl-[acyl-carrier-protein] synthase 2 OS=Pseudomonas aerugi</t>
  </si>
  <si>
    <t>_CMK(ac)NALR_</t>
  </si>
  <si>
    <t>CMK(1)NALR</t>
  </si>
  <si>
    <t>CMK(62.72)NALR</t>
  </si>
  <si>
    <t>Q9I3N5</t>
  </si>
  <si>
    <t>&gt;sp|Q9I3N5|CCMC_PSEAE Heme exporter protein C OS=Pseudomonas aeruginosa (strain ATCC 15692 / PAO1 / 1C / PRS 101 / LMG 12228) GN=ccmC PE=3 SV=1;&gt;tr|U5R7Y2|U5R7Y2_PSEAE Heme exporter CcmC family protein OS=Pseudomonas aeruginosa PAO1-VE2 GN=ccmC PE=4 SV=1;&gt;</t>
  </si>
  <si>
    <t>_TAWAK(ac)AEVK_</t>
  </si>
  <si>
    <t>TAWAK(1)AEVK</t>
  </si>
  <si>
    <t>TAWAK(35.51)AEVK(-35.51)</t>
  </si>
  <si>
    <t>Q9HUC3</t>
  </si>
  <si>
    <t>&gt;tr|Q9HUC3|Q9HUC3_PSEAE Polyhydroxyalkanoate synthesis protein PhaF OS=Pseudomonas aeruginosa (strain ATCC 15692 / PAO1 / 1C / PRS 101 / LMG 12228) GN=phaF PE=4 SV=1;&gt;tr|U5QY62|U5QY62_PSEAE Poly(Hydroxyalkanoate) granule-associated domain protein OS=Pseudo</t>
  </si>
  <si>
    <t>_DGSK(ac)LFETLVK_</t>
  </si>
  <si>
    <t>DGSK(1)LFETLVK</t>
  </si>
  <si>
    <t>DGSK(44.3)LFETLVK(-44.3)</t>
  </si>
  <si>
    <t>Q9HZ71</t>
  </si>
  <si>
    <t>&gt;sp|Q9HZ71|RS1_PSEAE 30S ribosomal protein S1 OS=Pseudomonas aeruginosa (strain ATCC 15692 / PAO1 / 1C / PRS 101 / LMG 12228) GN=rpsA PE=3 SV=1;&gt;tr|U5QX20|U5QX20_PSEAE 30S ribosomal protein S1 OS=Pseudomonas aeruginosa PAO1-VE2 GN=rpsA PE=3 SV=1;&gt;tr|U5RM44</t>
  </si>
  <si>
    <t>_GTVK(ac)EVDAK_</t>
  </si>
  <si>
    <t>GTVK(1)EVDAK</t>
  </si>
  <si>
    <t>GTVK(43.28)EVDAK(-43.28)</t>
  </si>
  <si>
    <t>O82853</t>
  </si>
  <si>
    <t>&gt;sp|O82853|RRF_PSEAE Ribosome-recycling factor OS=Pseudomonas aeruginosa (strain ATCC 15692 / PAO1 / 1C / PRS 101 / LMG 12228) GN=frr PE=3 SV=1;&gt;tr|U5QW97|U5QW97_PSEAE Ribosome-recycling factor OS=Pseudomonas aeruginosa PAO1-VE2 GN=frr PE=3 SV=1;&gt;tr|U5RJK2</t>
  </si>
  <si>
    <t>_RDALAQLK(ac)DLQK_</t>
  </si>
  <si>
    <t>RDALAQLK(1)DLQK</t>
  </si>
  <si>
    <t>RDALAQLK(58.49)DLQK(-58.49)</t>
  </si>
  <si>
    <t>Q9I0K4</t>
  </si>
  <si>
    <t>&gt;sp|Q9I0K4|ACEA_PSEAE Isocitrate lyase OS=Pseudomonas aeruginosa (strain ATCC 15692 / PAO1 / 1C / PRS 101 / LMG 12228) GN=PA2634 PE=1 SV=1;&gt;tr|U5R5H6|U5R5H6_PSEAE Isocitrate lyase OS=Pseudomonas aeruginosa PAO1-VE2 GN=N296_2714 PE=3 SV=1;&gt;tr|U5R721|U5R721_</t>
  </si>
  <si>
    <t>_QGIACVK(ac)HQNMAGSDIGDNHK_</t>
  </si>
  <si>
    <t>QGIACVK(1)HQNMAGSDIGDNHK</t>
  </si>
  <si>
    <t>QGIACVK(20.47)HQNMAGSDIGDNHK(-20.47)</t>
  </si>
  <si>
    <t>O82851</t>
  </si>
  <si>
    <t>&gt;sp|O82851|EFTS_PSEAE Elongation factor Ts OS=Pseudomonas aeruginosa (strain ATCC 15692 / PAO1 / 1C / PRS 101 / LMG 12228) GN=tsf PE=3 SV=1;&gt;tr|U5R3H9|U5R3H9_PSEAE Elongation factor Ts OS=Pseudomonas aeruginosa PAO1-VE2 GN=tsf PE=3 SV=1;&gt;tr|U5RF17|U5RF17_P</t>
  </si>
  <si>
    <t>_GFVAESLEK(ac)AFNEK_</t>
  </si>
  <si>
    <t>GFVAESLEK(1)AFNEK</t>
  </si>
  <si>
    <t>GFVAESLEK(125.28)AFNEK(-125.28)</t>
  </si>
  <si>
    <t>Q9HWD1</t>
  </si>
  <si>
    <t>&gt;sp|Q9HWD1|RS7_PSEAE 30S ribosomal protein S7 OS=Pseudomonas aeruginosa (strain ATCC 15692 / PAO1 / 1C / PRS 101 / LMG 12228) GN=rpsG PE=3 SV=1;&gt;tr|U5QX15|U5QX15_PSEAE 30S ribosomal protein S7 OS=Pseudomonas aeruginosa PAO1-VE2 GN=rpsG PE=3 SV=1;&gt;tr|U5RBP6</t>
  </si>
  <si>
    <t>_RGEK(ac)SMALR_</t>
  </si>
  <si>
    <t>RGEK(1)SMALR</t>
  </si>
  <si>
    <t>RGEK(128.03)SMALR</t>
  </si>
  <si>
    <t>Q9HUC1</t>
  </si>
  <si>
    <t>&gt;tr|Q9HUC1|Q9HUC1_PSEAE Uncharacterized protein OS=Pseudomonas aeruginosa (strain ATCC 15692 / PAO1 / 1C / PRS 101 / LMG 12228) GN=PA5062 PE=4 SV=1;&gt;tr|U5R6Q6|U5R6Q6_PSEAE Polyhydroxyalkanoic acid system family protein OS=Pseudomonas aeruginosa PAO1-VE2 GN</t>
  </si>
  <si>
    <t>_GEIEK(ac)ALDK_</t>
  </si>
  <si>
    <t>GEIEK(1)ALDK</t>
  </si>
  <si>
    <t>GEIEK(63.22)ALDK(-63.22)</t>
  </si>
  <si>
    <t>O50273</t>
  </si>
  <si>
    <t>&gt;sp|O50273|CYSD_PSEAE Sulfate adenylyltransferase subunit 2 OS=Pseudomonas aeruginosa (strain ATCC 15692 / PAO1 / 1C / PRS 101 / LMG 12228) GN=cysD PE=3 SV=1;&gt;tr|U5R7J0|U5R7J0_PSEAE Sulfate adenylyltransferase subunit 2 OS=Pseudomonas aeruginosa PAO1-VE2 G</t>
  </si>
  <si>
    <t>_HTDVMK(ac)TEGLK_</t>
  </si>
  <si>
    <t>HTDVMK(1)TEGLK</t>
  </si>
  <si>
    <t>HTDVMK(143.97)TEGLK(-143.97)</t>
  </si>
  <si>
    <t>Q9HZ65</t>
  </si>
  <si>
    <t>&gt;sp|Q9HZ65|MTNA_PSEAE Methylthioribose-1-phosphate isomerase OS=Pseudomonas aeruginosa (strain ATCC 15692 / PAO1 / 1C / PRS 101 / LMG 12228) GN=mtnA PE=3 SV=1;&gt;tr|U5QVD9|U5QVD9_PSEAE Methylthioribose-1-phosphate isomerase OS=Pseudomonas aeruginosa PAO1-VE2</t>
  </si>
  <si>
    <t>_ITANGDVANK(ac)IGTYQLAVNAMHHGVR_</t>
  </si>
  <si>
    <t>ITANGDVANK(1)IGTYQLAVNAMHHGVR</t>
  </si>
  <si>
    <t>ITANGDVANK(130.71)IGTYQLAVNAMHHGVR</t>
  </si>
  <si>
    <t>Q9I0M3</t>
  </si>
  <si>
    <t>&gt;sp|Q9I0M3|FTSK_PSEAE DNA translocase FtsK OS=Pseudomonas aeruginosa (strain ATCC 15692 / PAO1 / 1C / PRS 101 / LMG 12228) GN=ftsK PE=1 SV=1;&gt;tr|U5R468|U5R468_PSEAE DNA translocase ftsK OS=Pseudomonas aeruginosa PAO1-VE2 GN=ftsK PE=4 SV=1;&gt;tr|U5RMF0|U5RMF0</t>
  </si>
  <si>
    <t>_ISNLAK(ac)DLAR_</t>
  </si>
  <si>
    <t>ISNLAK(1)DLAR</t>
  </si>
  <si>
    <t>ISNLAK(84.17)DLAR</t>
  </si>
  <si>
    <t>_MDEVIDGEYQNYK(ac)AK_</t>
  </si>
  <si>
    <t>MDEVIDGEYQNYK(1)AK</t>
  </si>
  <si>
    <t>MDEVIDGEYQNYK(66.53)AK(-66.53)</t>
  </si>
  <si>
    <t>Q9HUQ6</t>
  </si>
  <si>
    <t>&gt;tr|Q9HUQ6|Q9HUQ6_PSEAE Probable short-chain dehydrogenase OS=Pseudomonas aeruginosa (strain ATCC 15692 / PAO1 / 1C / PRS 101 / LMG 12228) GN=PA4907 PE=1 SV=1;&gt;tr|U5R075|U5R075_PSEAE Short chain dehydrogenase family protein OS=Pseudomonas aeruginosa PAO1-V</t>
  </si>
  <si>
    <t>_LIAHGAGASIVNLGSVAGK(ac)WPYPGSHVYGGTK_</t>
  </si>
  <si>
    <t>LIAHGAGASIVNLGSVAGK(1)WPYPGSHVYGGTK</t>
  </si>
  <si>
    <t>LIAHGAGASIVNLGSVAGK(19.73)WPYPGSHVYGGTK(-19.73)</t>
  </si>
  <si>
    <t>_QYTDENDK(ac)R_</t>
  </si>
  <si>
    <t>QYTDENDK(1)R</t>
  </si>
  <si>
    <t>QYTDENDK(128.69)R</t>
  </si>
  <si>
    <t>Q9I3K7</t>
  </si>
  <si>
    <t>&gt;sp|Q9I3K7|MOAA2_PSEAE Cyclic pyranopterin monophosphate synthase 2 OS=Pseudomonas aeruginosa (strain ATCC 15692 / PAO1 / 1C / PRS 101 / LMG 12228) GN=moaA2 PE=3 SV=1;&gt;tr|U5R3D7|U5R3D7_PSEAE Cyclic pyranopterin monophosphate synthase OS=Pseudomonas aerugin</t>
  </si>
  <si>
    <t>_IK(ac)LNCVVQK_</t>
  </si>
  <si>
    <t>IK(1)LNCVVQK</t>
  </si>
  <si>
    <t>IK(47.6)LNCVVQK(-47.6)</t>
  </si>
  <si>
    <t>Q9K3C5</t>
  </si>
  <si>
    <t>&gt;sp|Q9K3C5|FLID2_PSEAE B-type flagellar hook-associated protein 2 OS=Pseudomonas aeruginosa (strain ATCC 15692 / PAO1 / 1C / PRS 101 / LMG 12228) GN=fliD PE=3 SV=1;&gt;tr|U5R5F1|U5R5F1_PSEAE Flagellar hook-associated family protein OS=Pseudomonas aeruginosa P</t>
  </si>
  <si>
    <t>_TLSNVDTQK(ac)ADLAK_</t>
  </si>
  <si>
    <t>TLSNVDTQK(1)ADLAK</t>
  </si>
  <si>
    <t>TLSNVDTQK(70.62)ADLAK(-70.62)</t>
  </si>
  <si>
    <t>_K(ac)TDMFLR_</t>
  </si>
  <si>
    <t>K(1)TDMFLR</t>
  </si>
  <si>
    <t>K(114.78)TDMFLR</t>
  </si>
  <si>
    <t>Q9I0L4</t>
  </si>
  <si>
    <t>&gt;tr|Q9I0L4|Q9I0L4_PSEAE Isocitrate dehydrogenase OS=Pseudomonas aeruginosa (strain ATCC 15692 / PAO1 / 1C / PRS 101 / LMG 12228) GN=idh PE=3 SV=1;&gt;tr|U5R2I6|U5R2I6_PSEAE Isocitrate dehydrogenase, NADP-dependent OS=Pseudomonas aeruginosa PAO1-VE2 GN=N296_27</t>
  </si>
  <si>
    <t>_TNGAFDPTTMGSVPNVGLMAQK(ac)AEEYGSHDK_</t>
  </si>
  <si>
    <t>TNGAFDPTTMGSVPNVGLMAQK(1)AEEYGSHDK</t>
  </si>
  <si>
    <t>TNGAFDPTTMGSVPNVGLMAQK(10.8)AEEYGSHDK(-10.8)</t>
  </si>
  <si>
    <t>Q9I689</t>
  </si>
  <si>
    <t>&gt;tr|Q9I689|Q9I689_PSEAE ATP-dependent RNA helicase RhlE OS=Pseudomonas aeruginosa (strain ATCC 15692 / PAO1 / 1C / PRS 101 / LMG 12228) GN=rhlE PE=3 SV=1;&gt;tr|U5R0Y1|U5R0Y1_PSEAE ATP-dependent RNA helicase RhlE OS=Pseudomonas aeruginosa PAO1-VE2 GN=rhlE PE=</t>
  </si>
  <si>
    <t>_DIVDLANK(ac)LLHNPER_</t>
  </si>
  <si>
    <t>DIVDLANK(1)LLHNPER</t>
  </si>
  <si>
    <t>DIVDLANK(77.08)LLHNPER</t>
  </si>
  <si>
    <t>_QALDK(ac)YGFDAAFGGAR_</t>
  </si>
  <si>
    <t>QALDK(1)YGFDAAFGGAR</t>
  </si>
  <si>
    <t>QALDK(148.52)YGFDAAFGGAR</t>
  </si>
  <si>
    <t>Q9I3F5</t>
  </si>
  <si>
    <t>&gt;sp|Q9I3F5|ACON1_PSEAE Aconitate hydratase 1 OS=Pseudomonas aeruginosa (strain ATCC 15692 / PAO1 / 1C / PRS 101 / LMG 12228) GN=acnA PE=3 SV=1;&gt;tr|U5R635|U5R635_PSEAE Aconitate hydratase 1 OS=Pseudomonas aeruginosa PAO1-VE2 GN=acnA PE=4 SV=1;&gt;tr|U5RK87|U5R</t>
  </si>
  <si>
    <t>_GLGGELK(ac)PHMPLSVEVTR_</t>
  </si>
  <si>
    <t>GLGGELK(1)PHMPLSVEVTR</t>
  </si>
  <si>
    <t>GLGGELK(19.82)PHMPLSVEVTR</t>
  </si>
  <si>
    <t>U5QU30</t>
  </si>
  <si>
    <t>&gt;tr|U5QU30|U5QU30_PSEAE IstB-like ATP binding family protein OS=Pseudomonas aeruginosa PAO1-VE2 GN=N296_470 PE=4 SV=1;&gt;tr|U5RDP6|U5RDP6_PSEAE IstB-like ATP binding family protein OS=Pseudomonas aeruginosa PAO1-VE13 GN=N297_470 PE=4 SV=1;&gt;tr|Q9I659|Q9I659_P</t>
  </si>
  <si>
    <t>_WYDEAK(ac)VFEK_</t>
  </si>
  <si>
    <t>WYDEAK(1)VFEK</t>
  </si>
  <si>
    <t>WYDEAK(52.79)VFEK(-52.79)</t>
  </si>
  <si>
    <t>Q9HVU0</t>
  </si>
  <si>
    <t>&gt;tr|Q9HVU0|Q9HVU0_PSEAE Rod shape-determining protein MreB OS=Pseudomonas aeruginosa (strain ATCC 15692 / PAO1 / 1C / PRS 101 / LMG 12228) GN=mreB PE=4 SV=1;&gt;tr|U5R9W6|U5R9W6_PSEAE Rod shape-determining protein mreB OS=Pseudomonas aeruginosa PAO1-VE2 GN=mr</t>
  </si>
  <si>
    <t>_MLQYFINK(ac)VHENSFLQPSPR_</t>
  </si>
  <si>
    <t>MLQYFINK(1)VHENSFLQPSPR</t>
  </si>
  <si>
    <t>MLQYFINK(18.06)VHENSFLQPSPR</t>
  </si>
  <si>
    <t>Q9I6D9</t>
  </si>
  <si>
    <t>&gt;tr|Q9I6D9|Q9I6D9_PSEAE Uncharacterized protein OS=Pseudomonas aeruginosa (strain ATCC 15692 / PAO1 / 1C / PRS 101 / LMG 12228) GN=PA0354 PE=3 SV=1;&gt;tr|U5R324|U5R324_PSEAE Ribosomal L11 methyltransferase family protein OS=Pseudomonas aeruginosa PAO1-VE2 GN</t>
  </si>
  <si>
    <t>_DTK(ac)HVLDK_</t>
  </si>
  <si>
    <t>DTK(1)HVLDK</t>
  </si>
  <si>
    <t>DTK(56.43)HVLDK(-56.43)</t>
  </si>
  <si>
    <t>Q9HT20</t>
  </si>
  <si>
    <t>&gt;sp|Q9HT20|ATPB_PSEAE ATP synthase subunit beta OS=Pseudomonas aeruginosa (strain ATCC 15692 / PAO1 / 1C / PRS 101 / LMG 12228) GN=atpD PE=3 SV=1;&gt;tr|U5R4U1|U5R4U1_PSEAE ATP synthase subunit beta OS=Pseudomonas aeruginosa PAO1-VE2 GN=atpD PE=3 SV=1;&gt;tr|U5R</t>
  </si>
  <si>
    <t>_VIDLVCPFAK(ac)GGK_</t>
  </si>
  <si>
    <t>VIDLVCPFAK(1)GGK</t>
  </si>
  <si>
    <t>VIDLVCPFAK(85.84)GGK(-85.84)</t>
  </si>
  <si>
    <t>G3XD94</t>
  </si>
  <si>
    <t>&gt;sp|G3XD94|UGND_PSEAE UDP-N-acetyl-D-glucosamine 6-dehydrogenase OS=Pseudomonas aeruginosa (strain ATCC 15692 / PAO1 / 1C / PRS 101 / LMG 12228) GN=wbpA PE=1 SV=1;&gt;tr|U5QX16|U5QX16_PSEAE Nucleotide sugar dehydrogenase family protein OS=Pseudomonas aerugino</t>
  </si>
  <si>
    <t>_FDYELIK(ac)AEAK_</t>
  </si>
  <si>
    <t>FDYELIK(1)AEAK</t>
  </si>
  <si>
    <t>FDYELIK(29.34)AEAK(-29.34)</t>
  </si>
  <si>
    <t>Q9HT17</t>
  </si>
  <si>
    <t>&gt;sp|Q9HT17|ATPD_PSEAE ATP synthase subunit delta OS=Pseudomonas aeruginosa (strain ATCC 15692 / PAO1 / 1C / PRS 101 / LMG 12228) GN=atpH PE=3 SV=1;&gt;tr|U5QXF8|U5QXF8_PSEAE ATP synthase subunit delta OS=Pseudomonas aeruginosa PAO1-VE2 GN=atpH PE=3 SV=1;&gt;tr|U</t>
  </si>
  <si>
    <t>_AQSLIDVCGDK(ac)LNAPAQNFVR_</t>
  </si>
  <si>
    <t>AQSLIDVCGDK(1)LNAPAQNFVR</t>
  </si>
  <si>
    <t>AQSLIDVCGDK(111.66)LNAPAQNFVR</t>
  </si>
  <si>
    <t>Q9HXQ2</t>
  </si>
  <si>
    <t>&gt;sp|Q9HXQ2|RL19_PSEAE 50S ribosomal protein L19 OS=Pseudomonas aeruginosa (strain ATCC 15692 / PAO1 / 1C / PRS 101 / LMG 12228) GN=rplS PE=3 SV=1;&gt;tr|U5R267|U5R267_PSEAE 50S ribosomal protein L19 OS=Pseudomonas aeruginosa PAO1-VE2 GN=rplS PE=3 SV=1;&gt;tr|U5R</t>
  </si>
  <si>
    <t>_TFQTYSPIVDSLSVK(ac)R_</t>
  </si>
  <si>
    <t>TFQTYSPIVDSLSVK(1)R</t>
  </si>
  <si>
    <t>TFQTYSPIVDSLSVK(98.94)R</t>
  </si>
  <si>
    <t>_ILLNEVVQAGDMTEK(ac)QR_</t>
  </si>
  <si>
    <t>ILLNEVVQAGDMTEK(1)QR</t>
  </si>
  <si>
    <t>ILLNEVVQAGDMTEK(61.73)QR</t>
  </si>
  <si>
    <t>Q9HVY2</t>
  </si>
  <si>
    <t>&gt;sp|Q9HVY2|RL13_PSEAE 50S ribosomal protein L13 OS=Pseudomonas aeruginosa (strain ATCC 15692 / PAO1 / 1C / PRS 101 / LMG 12228) GN=rplM PE=3 SV=1;&gt;tr|U5QZN0|U5QZN0_PSEAE 50S ribosomal protein L13 OS=Pseudomonas aeruginosa PAO1-VE2 GN=rplM PE=3 SV=1;&gt;tr|U5R</t>
  </si>
  <si>
    <t>_TYTAK(ac)PETVQR_</t>
  </si>
  <si>
    <t>TYTAK(1)PETVQR</t>
  </si>
  <si>
    <t>TYTAK(80.92)PETVQR</t>
  </si>
  <si>
    <t>Q9HU11</t>
  </si>
  <si>
    <t>&gt;tr|Q9HU11|Q9HU11_PSEAE Uncharacterized protein OS=Pseudomonas aeruginosa (strain ATCC 15692 / PAO1 / 1C / PRS 101 / LMG 12228) GN=PA5178 PE=4 SV=1;&gt;tr|U5QXC4|U5QXC4_PSEAE Uncharacterized protein OS=Pseudomonas aeruginosa PAO1-VE2 GN=N296_5355 PE=4 SV=1;&gt;t</t>
  </si>
  <si>
    <t>_EAGEK(ac)LWDTLTGHEAQAAESLK_</t>
  </si>
  <si>
    <t>EAGEK(1)LWDTLTGHEAQAAESLK</t>
  </si>
  <si>
    <t>EAGEK(42.17)LWDTLTGHEAQAAESLK(-42.17)</t>
  </si>
  <si>
    <t>Q9HVC4</t>
  </si>
  <si>
    <t>&gt;sp|Q9HVC4|RL25_PSEAE 50S ribosomal protein L25 OS=Pseudomonas aeruginosa (strain ATCC 15692 / PAO1 / 1C / PRS 101 / LMG 12228) GN=rplY PE=3 SV=1;&gt;tr|U5R0W7|U5R0W7_PSEAE 50S ribosomal protein L25 OS=Pseudomonas aeruginosa PAO1-VE2 GN=rplY PE=3 SV=1;&gt;tr|U5R</t>
  </si>
  <si>
    <t>_VELGQIVHLSDLK(ac)APK_</t>
  </si>
  <si>
    <t>VELGQIVHLSDLK(1)APK</t>
  </si>
  <si>
    <t>VELGQIVHLSDLK(51.15)APK(-51.15)</t>
  </si>
  <si>
    <t>_ADQEK(ac)MGIALGK_</t>
  </si>
  <si>
    <t>ADQEK(1)MGIALGK</t>
  </si>
  <si>
    <t>ADQEK(43.99)MGIALGK(-43.99)</t>
  </si>
  <si>
    <t>_YLPK(ac)LASGEYIGCFGLTEPNHGSDPGSMVTR_</t>
  </si>
  <si>
    <t>YLPK(1)LASGEYIGCFGLTEPNHGSDPGSMVTR</t>
  </si>
  <si>
    <t>YLPK(21.29)LASGEYIGCFGLTEPNHGSDPGSMVTR</t>
  </si>
  <si>
    <t>Q9I4K0</t>
  </si>
  <si>
    <t xml:space="preserve">&gt;sp|Q9I4K0|HCHA_PSEAE Molecular chaperone Hsp31 and glyoxalase 3 OS=Pseudomonas aeruginosa (strain ATCC 15692 / PAO1 / 1C / PRS 101 / LMG 12228) GN=hchA PE=3 SV=1;&gt;tr|U5R157|U5R157_PSEAE Molecular chaperone Hsp31 and glyoxalase 3 OS=Pseudomonas aeruginosa </t>
  </si>
  <si>
    <t>_RLLNAFLAK(ac)DR_</t>
  </si>
  <si>
    <t>RLLNAFLAK(1)DR</t>
  </si>
  <si>
    <t>RLLNAFLAK(36.3)DR</t>
  </si>
  <si>
    <t>Q9I2Q2</t>
  </si>
  <si>
    <t>&gt;sp|Q9I2Q2|METH_PSEAE Methionine synthase OS=Pseudomonas aeruginosa (strain ATCC 15692 / PAO1 / 1C / PRS 101 / LMG 12228) GN=metH PE=3 SV=1;&gt;tr|U5R1X7|U5R1X7_PSEAE Methionine synthase OS=Pseudomonas aeruginosa PAO1-VE2 GN=metH PE=3 SV=1;&gt;tr|U5RNB8|U5RNB8_P</t>
  </si>
  <si>
    <t>_LIDEK(ac)LIK_</t>
  </si>
  <si>
    <t>LIDEK(1)LIK</t>
  </si>
  <si>
    <t>LIDEK(19.09)LIK(-19.09)</t>
  </si>
  <si>
    <t>Q59643</t>
  </si>
  <si>
    <t>&gt;sp|Q59643|HEM2_PSEAE Delta-aminolevulinic acid dehydratase OS=Pseudomonas aeruginosa (strain ATCC 15692 / PAO1 / 1C / PRS 101 / LMG 12228) GN=hemB PE=1 SV=1;&gt;tr|U5QTP6|U5QTP6_PSEAE Delta-aminolevulinic acid dehydratase OS=Pseudomonas aeruginosa PAO1-VE2 G</t>
  </si>
  <si>
    <t>_IMAYSAK(ac)YASAYYGPFR_</t>
  </si>
  <si>
    <t>IMAYSAK(1)YASAYYGPFR</t>
  </si>
  <si>
    <t>IMAYSAK(124.45)YASAYYGPFR</t>
  </si>
  <si>
    <t>Q9HUG1</t>
  </si>
  <si>
    <t>&gt;tr|Q9HUG1|Q9HUG1_PSEAE Probable glycosyl transferase OS=Pseudomonas aeruginosa (strain ATCC 15692 / PAO1 / 1C / PRS 101 / LMG 12228) GN=PA5004 PE=4 SV=1;&gt;tr|U5QYV1|U5QYV1_PSEAE Glycosyl transferases group 1 family protein OS=Pseudomonas aeruginosa PAO1-VE</t>
  </si>
  <si>
    <t>_LEEQLK(ac)DLACELGIGER_</t>
  </si>
  <si>
    <t>LEEQLK(1)DLACELGIGER</t>
  </si>
  <si>
    <t>LEEQLK(102.38)DLACELGIGER</t>
  </si>
  <si>
    <t>Q9I0H1</t>
  </si>
  <si>
    <t>&gt;tr|Q9I0H1|Q9I0H1_PSEAE Uncharacterized protein OS=Pseudomonas aeruginosa (strain ATCC 15692 / PAO1 / 1C / PRS 101 / LMG 12228) GN=PA2667 PE=4 SV=1;&gt;tr|U5R5L5|U5R5L5_PSEAE H-NS histone family protein OS=Pseudomonas aeruginosa PAO1-VE2 GN=N296_2748 PE=4 SV=</t>
  </si>
  <si>
    <t>_LQEQLALLEK(ac)LK_</t>
  </si>
  <si>
    <t>LQEQLALLEK(1)LK</t>
  </si>
  <si>
    <t>LQEQLALLEK(82.36)LK(-82.36)</t>
  </si>
  <si>
    <t>_TNTELHK(ac)DLVR_</t>
  </si>
  <si>
    <t>TNTELHK(1)DLVR</t>
  </si>
  <si>
    <t>TNTELHK(64.44)DLVR</t>
  </si>
  <si>
    <t>_SGEAISLVAPDEEK(ac)LLK_</t>
  </si>
  <si>
    <t>SGEAISLVAPDEEK(1)LLK</t>
  </si>
  <si>
    <t>SGEAISLVAPDEEK(51.15)LLK(-51.15)</t>
  </si>
  <si>
    <t>O52760</t>
  </si>
  <si>
    <t>&gt;sp|O52760|RPOA_PSEAE DNA-directed RNA polymerase subunit alpha OS=Pseudomonas aeruginosa (strain ATCC 15692 / PAO1 / 1C / PRS 101 / LMG 12228) GN=rpoA PE=3 SV=2;&gt;tr|U5R6W7|U5R6W7_PSEAE DNA-directed RNA polymerase subunit alpha OS=Pseudomonas aeruginosa PA</t>
  </si>
  <si>
    <t>_SANCLK(ac)AENIYYIGDLIQR_</t>
  </si>
  <si>
    <t>SANCLK(1)AENIYYIGDLIQR</t>
  </si>
  <si>
    <t>SANCLK(37.62)AENIYYIGDLIQR</t>
  </si>
  <si>
    <t>_GEATSPLIDK(ac)QR_</t>
  </si>
  <si>
    <t>GEATSPLIDK(1)QR</t>
  </si>
  <si>
    <t>GEATSPLIDK(88.44)QR</t>
  </si>
  <si>
    <t>Q9HVM1</t>
  </si>
  <si>
    <t>&gt;sp|Q9HVM1|RS20_PSEAE 30S ribosomal protein S20 OS=Pseudomonas aeruginosa (strain ATCC 15692 / PAO1 / 1C / PRS 101 / LMG 12228) GN=rpsT PE=1 SV=3;&gt;tr|U5QVS2|U5QVS2_PSEAE 30S ribosomal protein S20 OS=Pseudomonas aeruginosa PAO1-VE2 GN=rpsT PE=3 SV=1;&gt;tr|U5R</t>
  </si>
  <si>
    <t>_TYIK(ac)NVVK_</t>
  </si>
  <si>
    <t>TYIK(1)NVVK</t>
  </si>
  <si>
    <t>TYIK(37.48)NVVK(-37.48)</t>
  </si>
  <si>
    <t>Q9I5Q3</t>
  </si>
  <si>
    <t>&gt;sp|Q9I5Q3|SYY2_PSEAE Tyrosine--tRNA ligase 2 OS=Pseudomonas aeruginosa (strain ATCC 15692 / PAO1 / 1C / PRS 101 / LMG 12228) GN=tyrS2 PE=3 SV=1;&gt;tr|U5QWG4|U5QWG4_PSEAE Tyrosine--tRNA ligase OS=Pseudomonas aeruginosa PAO1-VE2 GN=tyrS PE=3 SV=1;&gt;tr|U5RBF3|U</t>
  </si>
  <si>
    <t>_K(ac)DVEAGANPR_</t>
  </si>
  <si>
    <t>K(1)DVEAGANPR</t>
  </si>
  <si>
    <t>K(83)DVEAGANPR</t>
  </si>
  <si>
    <t>Q9HXI9</t>
  </si>
  <si>
    <t>&gt;tr|Q9HXI9|Q9HXI9_PSEAE Probable iron-binding protein IscU OS=Pseudomonas aeruginosa (strain ATCC 15692 / PAO1 / 1C / PRS 101 / LMG 12228) GN=iscU PE=4 SV=1;&gt;tr|U5QVZ3|U5QVZ3_PSEAE NifU-like protein OS=Pseudomonas aeruginosa PAO1-VE2 GN=nifU PE=4 SV=1;&gt;tr|</t>
  </si>
  <si>
    <t>_VNEQGVIEDAK(ac)FK_</t>
  </si>
  <si>
    <t>VNEQGVIEDAK(1)FK</t>
  </si>
  <si>
    <t>VNEQGVIEDAK(60.63)FK(-60.63)</t>
  </si>
  <si>
    <t>Q9HU22</t>
  </si>
  <si>
    <t xml:space="preserve">&gt;tr|Q9HU22|Q9HU22_PSEAE Glucose-1-phosphate thymidylyltransferase OS=Pseudomonas aeruginosa (strain ATCC 15692 / PAO1 / 1C / PRS 101 / LMG 12228) GN=rmlA PE=1 SV=1;&gt;tr|U5R3B2|U5R3B2_PSEAE Glucose-1-phosphate thymidylyltransferase OS=Pseudomonas aeruginosa </t>
  </si>
  <si>
    <t>_QK(ac)WIDAAQLEK_</t>
  </si>
  <si>
    <t>QK(1)WIDAAQLEK</t>
  </si>
  <si>
    <t>QK(56.36)WIDAAQLEK(-56.36)</t>
  </si>
  <si>
    <t>Q9HUU1</t>
  </si>
  <si>
    <t>&gt;sp|Q9HUU1|OADC_PSEAE Oxaloacetate decarboxylase OS=Pseudomonas aeruginosa (strain ATCC 15692 / PAO1 / 1C / PRS 101 / LMG 12228) GN=PA4872 PE=1 SV=1;&gt;tr|U5R584|U5R584_PSEAE Oxaloacetate decarboxylase OS=Pseudomonas aeruginosa PAO1-VE2 GN=N296_5042 PE=3 SV=</t>
  </si>
  <si>
    <t>_GAVASDLTASELSK(ac)K_</t>
  </si>
  <si>
    <t>GAVASDLTASELSK(1)K</t>
  </si>
  <si>
    <t>GAVASDLTASELSK(31.39)K(-31.39)</t>
  </si>
  <si>
    <t>_EQEIQK(ac)VK_</t>
  </si>
  <si>
    <t>EQEIQK(1)VK</t>
  </si>
  <si>
    <t>EQEIQK(59.35)VK(-59.35)</t>
  </si>
  <si>
    <t>Q9HZA7</t>
  </si>
  <si>
    <t>&gt;sp|Q9HZA7|ACCD_PSEAE Acetyl-coenzyme A carboxylase carboxyl transferase subunit beta OS=Pseudomonas aeruginosa (strain ATCC 15692 / PAO1 / 1C / PRS 101 / LMG 12228) GN=accD PE=1 SV=1;&gt;tr|U5QZU5|U5QZU5_PSEAE Acetyl-coenzyme A carboxylase carboxyl transfera</t>
  </si>
  <si>
    <t>_AANVALEK(ac)R_</t>
  </si>
  <si>
    <t>AANVALEK(1)R</t>
  </si>
  <si>
    <t>AANVALEK(28.01)R</t>
  </si>
  <si>
    <t>P30718</t>
  </si>
  <si>
    <t>&gt;sp|P30718|CH60_PSEAE 60 kDa chaperonin OS=Pseudomonas aeruginosa (strain ATCC 15692 / PAO1 / 1C / PRS 101 / LMG 12228) GN=groL PE=1 SV=3;&gt;tr|U5QV81|U5QV81_PSEAE 60 kDa chaperonin OS=Pseudomonas aeruginosa PAO1-VE2 GN=groL PE=3 SV=1;&gt;tr|U5R907|U5R907_PSEAE</t>
  </si>
  <si>
    <t>_ATLGPK(ac)GRNVVLDK_</t>
  </si>
  <si>
    <t>ATLGPK(1)GRNVVLDK</t>
  </si>
  <si>
    <t>ATLGPK(18.46)GRNVVLDK(-18.46)</t>
  </si>
  <si>
    <t>_GQVLAK(ac)PGTIK_</t>
  </si>
  <si>
    <t>GQVLAK(1)PGTIK</t>
  </si>
  <si>
    <t>GQVLAK(65.5)PGTIK(-65.5)</t>
  </si>
  <si>
    <t>P15276</t>
  </si>
  <si>
    <t>&gt;sp|P15276|ALGP_PSEAE Transcriptional regulatory protein AlgP OS=Pseudomonas aeruginosa (strain ATCC 15692 / PAO1 / 1C / PRS 101 / LMG 12228) GN=algP PE=4 SV=2;&gt;tr|U5QSL7|U5QSL7_PSEAE PT repeat family protein OS=Pseudomonas aeruginosa PAO1-VE2 GN=N296_5432</t>
  </si>
  <si>
    <t>_PAAK(ac)PVAAK_</t>
  </si>
  <si>
    <t>PAAK(1)PVAAK</t>
  </si>
  <si>
    <t>PAAK(20.3)PVAAK(-20.3)</t>
  </si>
  <si>
    <t>Q9I047</t>
  </si>
  <si>
    <t>&gt;sp|Q9I047|TAL_PSEAE Transaldolase OS=Pseudomonas aeruginosa (strain ATCC 15692 / PAO1 / 1C / PRS 101 / LMG 12228) GN=tal PE=3 SV=1;&gt;tr|U5R309|U5R309_PSEAE Transaldolase OS=Pseudomonas aeruginosa PAO1-VE2 GN=tal PE=3 SV=1;&gt;tr|U5RAJ7|U5RAJ7_PSEAE Transaldol</t>
  </si>
  <si>
    <t>_LKPVDATTNPSLLLK(ac)AAALPR_</t>
  </si>
  <si>
    <t>LKPVDATTNPSLLLK(1)AAALPR</t>
  </si>
  <si>
    <t>LK(-39.42)PVDATTNPSLLLK(39.42)AAALPR</t>
  </si>
  <si>
    <t>_AGK(ac)YIGICGQGPSDHPDLAR_</t>
  </si>
  <si>
    <t>AGK(1)YIGICGQGPSDHPDLAR</t>
  </si>
  <si>
    <t>AGK(38.02)YIGICGQGPSDHPDLAR</t>
  </si>
  <si>
    <t>Q9HVN5</t>
  </si>
  <si>
    <t>&gt;sp|Q9HVN5|CLPB_PSEAE Chaperone protein ClpB OS=Pseudomonas aeruginosa (strain ATCC 15692 / PAO1 / 1C / PRS 101 / LMG 12228) GN=clpB PE=3 SV=1;&gt;tr|U5R9E6|U5R9E6_PSEAE ATP-dependent chaperone protein ClpB OS=Pseudomonas aeruginosa PAO1-VE2 GN=clpB PE=3 SV=1</t>
  </si>
  <si>
    <t>_QALDK(ac)YTVDMTK_</t>
  </si>
  <si>
    <t>QALDK(1)YTVDMTK</t>
  </si>
  <si>
    <t>QALDK(69.82)YTVDMTK(-69.82)</t>
  </si>
  <si>
    <t>Q9I516</t>
  </si>
  <si>
    <t>&gt;tr|Q9I516|Q9I516_PSEAE Probable transcriptional regulator OS=Pseudomonas aeruginosa (strain ATCC 15692 / PAO1 / 1C / PRS 101 / LMG 12228) GN=PA0942 PE=4 SV=1;&gt;tr|U5R2I9|U5R2I9_PSEAE Bacterial regulatory , arsR family protein OS=Pseudomonas aeruginosa PAO1</t>
  </si>
  <si>
    <t>_GLISK(ac)LPDAR_</t>
  </si>
  <si>
    <t>GLISK(1)LPDAR</t>
  </si>
  <si>
    <t>GLISK(81.34)LPDAR</t>
  </si>
  <si>
    <t>Q9I636</t>
  </si>
  <si>
    <t>&gt;sp|Q9I636|MASZ_PSEAE Malate synthase G OS=Pseudomonas aeruginosa (strain ATCC 15692 / PAO1 / 1C / PRS 101 / LMG 12228) GN=glcB PE=3 SV=1;&gt;tr|U5R2S9|U5R2S9_PSEAE Malate synthase G OS=Pseudomonas aeruginosa PAO1-VE2 GN=glcB PE=3 SV=1;&gt;tr|U5RK95|U5RK95_PSEAE</t>
  </si>
  <si>
    <t>_GDLAEEVSK(ac)GGSTFTR_</t>
  </si>
  <si>
    <t>GDLAEEVSK(1)GGSTFTR</t>
  </si>
  <si>
    <t>GDLAEEVSK(112.72)GGSTFTR</t>
  </si>
  <si>
    <t>_SEK(ac)ESSWIGEIEK_</t>
  </si>
  <si>
    <t>SEK(1)ESSWIGEIEK</t>
  </si>
  <si>
    <t>SEK(42.79)ESSWIGEIEK(-42.79)</t>
  </si>
  <si>
    <t>_NALDELIVDGIK(ac)TNTELHK_</t>
  </si>
  <si>
    <t>NALDELIVDGIK(1)TNTELHK</t>
  </si>
  <si>
    <t>NALDELIVDGIK(27.7)TNTELHK(-27.7)</t>
  </si>
  <si>
    <t>_GDEVK(ac)DGVR_</t>
  </si>
  <si>
    <t>GDEVK(1)DGVR</t>
  </si>
  <si>
    <t>GDEVK(56.43)DGVR</t>
  </si>
  <si>
    <t>_VVYDESELIK(ac)SAK_</t>
  </si>
  <si>
    <t>VVYDESELIK(1)SAK</t>
  </si>
  <si>
    <t>VVYDESELIK(64.12)SAK(-64.12)</t>
  </si>
  <si>
    <t>Q9HUD5</t>
  </si>
  <si>
    <t>&gt;tr|Q9HUD5|Q9HUD5_PSEAE Glutamate synthase large chain OS=Pseudomonas aeruginosa (strain ATCC 15692 / PAO1 / 1C / PRS 101 / LMG 12228) GN=gltB PE=4 SV=1;&gt;tr|U5R7D2|U5R7D2_PSEAE Glutamine amidotransferases class-II family protein OS=Pseudomonas aeruginosa P</t>
  </si>
  <si>
    <t>_RFWLVK(ac)PK_</t>
  </si>
  <si>
    <t>RFWLVK(1)PK</t>
  </si>
  <si>
    <t>RFWLVK(72.48)PK(-72.48)</t>
  </si>
  <si>
    <t>_GFIYVDDHCK(ac)TSVPGVFAIGDVVR_</t>
  </si>
  <si>
    <t>GFIYVDDHCK(1)TSVPGVFAIGDVVR</t>
  </si>
  <si>
    <t>GFIYVDDHCK(81.36)TSVPGVFAIGDVVR</t>
  </si>
  <si>
    <t>Q9HV55</t>
  </si>
  <si>
    <t xml:space="preserve">&gt;sp|Q9HV55|IF2_PSEAE Translation initiation factor IF-2 OS=Pseudomonas aeruginosa (strain ATCC 15692 / PAO1 / 1C / PRS 101 / LMG 12228) GN=infB PE=3 SV=1;&gt;tr|U5QRR3|U5QRR3_PSEAE Translation initiation factor IF-2 OS=Pseudomonas aeruginosa PAO1-VE2 GN=infB </t>
  </si>
  <si>
    <t>_LENIFENMGQEEK(ac)K_</t>
  </si>
  <si>
    <t>LENIFENMGQEEK(1)K</t>
  </si>
  <si>
    <t>LENIFENMGQEEK(49.93)K(-49.93)</t>
  </si>
  <si>
    <t>Q9HVL7</t>
  </si>
  <si>
    <t>&gt;sp|Q9HVL7|RL27_PSEAE 50S ribosomal protein L27 OS=Pseudomonas aeruginosa (strain ATCC 15692 / PAO1 / 1C / PRS 101 / LMG 12228) GN=rpmA PE=1 SV=3;&gt;tr|U5R620|U5R620_PSEAE 50S ribosomal protein L27 OS=Pseudomonas aeruginosa PAO1-VE2 GN=rpmA PE=3 SV=1;&gt;tr|U5R</t>
  </si>
  <si>
    <t>_VDGVVK(ac)FETK_</t>
  </si>
  <si>
    <t>VDGVVK(1)FETK</t>
  </si>
  <si>
    <t>VDGVVK(60.43)FETK(-60.43)</t>
  </si>
  <si>
    <t>Q9I3C4</t>
  </si>
  <si>
    <t>&gt;tr|Q9I3C4|Q9I3C4_PSEAE Uncharacterized protein OS=Pseudomonas aeruginosa (strain ATCC 15692 / PAO1 / 1C / PRS 101 / LMG 12228) GN=PA1597 PE=4 SV=1;&gt;tr|U5QUA1|U5QUA1_PSEAE Prolyl oligopeptidase family protein OS=Pseudomonas aeruginosa PAO1-VE2 GN=N296_1642</t>
  </si>
  <si>
    <t>_DVRPQNGDEAGAAMMPLK(ac)NDR_</t>
  </si>
  <si>
    <t>DVRPQNGDEAGAAMMPLK(1)NDR</t>
  </si>
  <si>
    <t>DVRPQNGDEAGAAMMPLK(102.37)NDR</t>
  </si>
  <si>
    <t>Q9HY81</t>
  </si>
  <si>
    <t>&gt;tr|Q9HY81|Q9HY81_PSEAE Probable peroxidase OS=Pseudomonas aeruginosa (strain ATCC 15692 / PAO1 / 1C / PRS 101 / LMG 12228) GN=PA3529 PE=4 SV=1;&gt;tr|U5R6I2|U5R6I2_PSEAE Uncharacterized protein OS=Pseudomonas aeruginosa PAO1-VE2 GN=N296_3652 PE=4 SV=1;&gt;tr|U5</t>
  </si>
  <si>
    <t>_YTLAADTK(ac)HEIAK_</t>
  </si>
  <si>
    <t>YTLAADTK(1)HEIAK</t>
  </si>
  <si>
    <t>YTLAADTK(41.4)HEIAK(-41.4)</t>
  </si>
  <si>
    <t>Q51342</t>
  </si>
  <si>
    <t>&gt;sp|Q51342|PUR1_PSEAE Amidophosphoribosyltransferase OS=Pseudomonas aeruginosa (strain ATCC 15692 / PAO1 / 1C / PRS 101 / LMG 12228) GN=purF PE=3 SV=3;&gt;tr|U5R1K8|U5R1K8_PSEAE Amidophosphoribosyltransferase OS=Pseudomonas aeruginosa PAO1-VE2 GN=purF PE=3 SV</t>
  </si>
  <si>
    <t>_APK(ac)YAPCIFEHVYLARPDSIMDGISVYK_</t>
  </si>
  <si>
    <t>APK(1)YAPCIFEHVYLARPDSIMDGISVYK</t>
  </si>
  <si>
    <t>APK(27.14)YAPCIFEHVYLARPDSIMDGISVYK(-27.14)</t>
  </si>
  <si>
    <t>U5QX07</t>
  </si>
  <si>
    <t>&gt;tr|U5QX07|U5QX07_PSEAE Sigma-70, region 4 family protein OS=Pseudomonas aeruginosa PAO1-VE2 GN=N296_1176 PE=4 SV=1;&gt;tr|U5RKK3|U5RKK3_PSEAE Sigma-70, region 4 family protein OS=Pseudomonas aeruginosa PAO1-VE13 GN=N297_1176 PE=4 SV=1;&gt;tr|Q9I4J9|Q9I4J9_PSEAE</t>
  </si>
  <si>
    <t>_HILELDEPFFWSK(ac)SPSEDPER_</t>
  </si>
  <si>
    <t>HILELDEPFFWSK(1)SPSEDPER</t>
  </si>
  <si>
    <t>HILELDEPFFWSK(81.85)SPSEDPER</t>
  </si>
  <si>
    <t>Q9HWV9</t>
  </si>
  <si>
    <t>&gt;tr|Q9HWV9|Q9HWV9_PSEAE Uncharacterized protein OS=Pseudomonas aeruginosa (strain ATCC 15692 / PAO1 / 1C / PRS 101 / LMG 12228) GN=PA4069 PE=4 SV=1;&gt;tr|U5QZX3|U5QZX3_PSEAE RmlD substrate binding domain protein OS=Pseudomonas aeruginosa PAO1-VE2 GN=N296_419</t>
  </si>
  <si>
    <t>_ATAYSEK(ac)DETLPLGLR_</t>
  </si>
  <si>
    <t>ATAYSEK(1)DETLPLGLR</t>
  </si>
  <si>
    <t>ATAYSEK(92.93)DETLPLGLR</t>
  </si>
  <si>
    <t>Q9I3D3</t>
  </si>
  <si>
    <t>&gt;tr|Q9I3D3|Q9I3D3_PSEAE 2-oxoglutarate dehydrogenase (E1 subunit) OS=Pseudomonas aeruginosa (strain ATCC 15692 / PAO1 / 1C / PRS 101 / LMG 12228) GN=sucA PE=4 SV=1;&gt;tr|U5QXF3|U5QXF3_PSEAE Oxoglutarate dehydrogenase (Succinyl-transferring), E1 component OS=</t>
  </si>
  <si>
    <t>_VYYDLLEK(ac)R_</t>
  </si>
  <si>
    <t>VYYDLLEK(1)R</t>
  </si>
  <si>
    <t>VYYDLLEK(80.45)R</t>
  </si>
  <si>
    <t>Q9HZ67</t>
  </si>
  <si>
    <t>&gt;sp|Q9HZ67|PHEA_PSEAE P-protein OS=Pseudomonas aeruginosa (strain ATCC 15692 / PAO1 / 1C / PRS 101 / LMG 12228) GN=pheA PE=3 SV=1;&gt;tr|U5R4M7|U5R4M7_PSEAE Chorismate mutase OS=Pseudomonas aeruginosa PAO1-VE2 GN=pheA PE=4 SV=1;&gt;tr|U5RAH3|U5RAH3_PSEAE Chorism</t>
  </si>
  <si>
    <t>_HIMQLNK(ac)GPLDNEEVAR_</t>
  </si>
  <si>
    <t>HIMQLNK(1)GPLDNEEVAR</t>
  </si>
  <si>
    <t>HIMQLNK(69.59)GPLDNEEVAR</t>
  </si>
  <si>
    <t>P00282</t>
  </si>
  <si>
    <t>&gt;sp|P00282|AZUR_PSEAE Azurin OS=Pseudomonas aeruginosa (strain ATCC 15692 / PAO1 / 1C / PRS 101 / LMG 12228) GN=azu PE=1 SV=2;&gt;tr|U5QTM8|U5QTM8_PSEAE Azurin OS=Pseudomonas aeruginosa PAO1-VE2 GN=azu PE=4 SV=1;&gt;tr|U5RKL1|U5RKL1_PSEAE Azurin OS=Pseudomonas a</t>
  </si>
  <si>
    <t>_DYLK(ac)PDDSR_</t>
  </si>
  <si>
    <t>DYLK(1)PDDSR</t>
  </si>
  <si>
    <t>DYLK(101.64)PDDSR</t>
  </si>
  <si>
    <t>Q9HVT7</t>
  </si>
  <si>
    <t>&gt;sp|Q9HVT7|GATB_PSEAE Aspartyl/glutamyl-tRNA(Asn/Gln) amidotransferase subunit B OS=Pseudomonas aeruginosa (strain ATCC 15692 / PAO1 / 1C / PRS 101 / LMG 12228) GN=gatB PE=3 SV=1;&gt;tr|U5R1U4|U5R1U4_PSEAE Aspartyl/glutamyl-tRNA(Asn/Gln) amidotransferase subu</t>
  </si>
  <si>
    <t>_AEIK(ac)NVNSFR_</t>
  </si>
  <si>
    <t>AEIK(1)NVNSFR</t>
  </si>
  <si>
    <t>AEIK(81.34)NVNSFR</t>
  </si>
  <si>
    <t>_SKEDAK(ac)AFAQQWLGK_</t>
  </si>
  <si>
    <t>SK(0.02)EDAK(0.98)AFAQQWLGK</t>
  </si>
  <si>
    <t>SK(-16.93)EDAK(16.93)AFAQQWLGK(-53.92)</t>
  </si>
  <si>
    <t>Q9I7C5</t>
  </si>
  <si>
    <t>&gt;sp|Q9I7C5|DNAA_PSEAE Chromosomal replication initiator protein DnaA OS=Pseudomonas aeruginosa (strain ATCC 15692 / PAO1 / 1C / PRS 101 / LMG 12228) GN=dnaA PE=3 SV=1;&gt;tr|U5QYB0|U5QYB0_PSEAE Chromosomal replication initiator protein DnaA OS=Pseudomonas aer</t>
  </si>
  <si>
    <t>_AAAWQVADNLK(ac)HGYNPLFLYGGVGLGK_</t>
  </si>
  <si>
    <t>AAAWQVADNLK(1)HGYNPLFLYGGVGLGK</t>
  </si>
  <si>
    <t>AAAWQVADNLK(40.68)HGYNPLFLYGGVGLGK(-40.68)</t>
  </si>
  <si>
    <t>Q59654</t>
  </si>
  <si>
    <t>&gt;sp|Q59654|PYRF_PSEAE Orotidine 5'-phosphate decarboxylase OS=Pseudomonas aeruginosa (strain ATCC 15692 / PAO1 / 1C / PRS 101 / LMG 12228) GN=pyrF PE=1 SV=2;&gt;tr|U5R3I9|U5R3I9_PSEAE Orotidine 5'-phosphate decarboxylase OS=Pseudomonas aeruginosa PAO1-VE2 GN=</t>
  </si>
  <si>
    <t>_EAALALADQLDPK(ac)LCR_</t>
  </si>
  <si>
    <t>EAALALADQLDPK(1)LCR</t>
  </si>
  <si>
    <t>EAALALADQLDPK(108.71)LCR</t>
  </si>
  <si>
    <t>P53641</t>
  </si>
  <si>
    <t>&gt;sp|P53641|SODF_PSEAE Superoxide dismutase [Fe] OS=Pseudomonas aeruginosa (strain ATCC 15692 / PAO1 / 1C / PRS 101 / LMG 12228) GN=sodB PE=3 SV=3;&gt;tr|U5QWS9|U5QWS9_PSEAE Superoxide dismutase OS=Pseudomonas aeruginosa PAO1-VE2 GN=sodB PE=3 SV=1;&gt;tr|U5R8K7|U</t>
  </si>
  <si>
    <t>_FK(ac)EEFTK_</t>
  </si>
  <si>
    <t>FK(1)EEFTK</t>
  </si>
  <si>
    <t>FK(85.06)EEFTK(-85.06)</t>
  </si>
  <si>
    <t>_WIDAAQLEK(ac)LAAPLAK_</t>
  </si>
  <si>
    <t>WIDAAQLEK(1)LAAPLAK</t>
  </si>
  <si>
    <t>WIDAAQLEK(21.84)LAAPLAK(-21.84)</t>
  </si>
  <si>
    <t>_EHGTFK(ac)SDR_</t>
  </si>
  <si>
    <t>EHGTFK(1)SDR</t>
  </si>
  <si>
    <t>EHGTFK(78.33)SDR</t>
  </si>
  <si>
    <t>Q9HZJ5</t>
  </si>
  <si>
    <t>&gt;sp|Q9HZJ5|TOP1_PSEAE DNA topoisomerase 1 OS=Pseudomonas aeruginosa (strain ATCC 15692 / PAO1 / 1C / PRS 101 / LMG 12228) GN=topA PE=3 SV=1;&gt;tr|U5QW09|U5QW09_PSEAE DNA topoisomerase 1 OS=Pseudomonas aeruginosa PAO1-VE2 GN=topA PE=3 SV=1;&gt;tr|U5RA18|U5RA18_P</t>
  </si>
  <si>
    <t>_AFYDGGK(ac)WK_</t>
  </si>
  <si>
    <t>AFYDGGK(1)WK</t>
  </si>
  <si>
    <t>AFYDGGK(47.2)WK(-47.2)</t>
  </si>
  <si>
    <t>Q9HV58</t>
  </si>
  <si>
    <t>&gt;sp|Q9HV58|RS15_PSEAE 30S ribosomal protein S15 OS=Pseudomonas aeruginosa (strain ATCC 15692 / PAO1 / 1C / PRS 101 / LMG 12228) GN=rpsO PE=3 SV=1;&gt;tr|U5R5V2|U5R5V2_PSEAE 30S ribosomal protein S15 OS=Pseudomonas aeruginosa PAO1-VE2 GN=rpsO PE=3 SV=1;&gt;tr|U5R</t>
  </si>
  <si>
    <t>_LQDHFK(ac)ANGK_</t>
  </si>
  <si>
    <t>LQDHFK(1)ANGK</t>
  </si>
  <si>
    <t>LQDHFK(32.61)ANGK(-32.61)</t>
  </si>
  <si>
    <t>Q9HXR7</t>
  </si>
  <si>
    <t>&gt;tr|Q9HXR7|Q9HXR7_PSEAE Single-stranded-DNA-specific exonuclease RecJ OS=Pseudomonas aeruginosa (strain ATCC 15692 / PAO1 / 1C / PRS 101 / LMG 12228) GN=recJ PE=4 SV=1;&gt;tr|U5QSB2|U5QSB2_PSEAE Single-stranded-DNA-specific exonuclease RecJ OS=Pseudomonas aer</t>
  </si>
  <si>
    <t>_CAEELDK(ac)GLAR_</t>
  </si>
  <si>
    <t>CAEELDK(1)GLAR</t>
  </si>
  <si>
    <t>CAEELDK(94.3)GLAR</t>
  </si>
  <si>
    <t>P42257</t>
  </si>
  <si>
    <t>&gt;sp|P42257|PILJ_PSEAE Protein PilJ OS=Pseudomonas aeruginosa (strain ATCC 15692 / PAO1 / 1C / PRS 101 / LMG 12228) GN=pilJ PE=4 SV=1;&gt;tr|U5R3D4|U5R3D4_PSEAE Methyl-accepting chemotaxis (MCP) signaling domain protein OS=Pseudomonas aeruginosa PAO1-VE2 GN=N2</t>
  </si>
  <si>
    <t>_EQIQDTSK(ac)R_</t>
  </si>
  <si>
    <t>EQIQDTSK(1)R</t>
  </si>
  <si>
    <t>EQIQDTSK(78.93)R</t>
  </si>
  <si>
    <t>_ALLDSSYK(ac)YHEAK_</t>
  </si>
  <si>
    <t>ALLDSSYK(1)YHEAK</t>
  </si>
  <si>
    <t>ALLDSSYK(59.98)YHEAK(-59.98)</t>
  </si>
  <si>
    <t>Q9HX38</t>
  </si>
  <si>
    <t>&gt;tr|Q9HX38|Q9HX38_PSEAE Uncharacterized protein OS=Pseudomonas aeruginosa (strain ATCC 15692 / PAO1 / 1C / PRS 101 / LMG 12228) GN=PA3981 PE=4 SV=1;&gt;tr|U5QXC3|U5QXC3_PSEAE PhoH-like family protein OS=Pseudomonas aeruginosa PAO1-VE2 GN=N296_4111 PE=4 SV=1;&gt;</t>
  </si>
  <si>
    <t>_HVIEVLQDVPGISFTHFK(ac)PK_</t>
  </si>
  <si>
    <t>HVIEVLQDVPGISFTHFK(1)PK</t>
  </si>
  <si>
    <t>HVIEVLQDVPGISFTHFK(30.43)PK(-30.43)</t>
  </si>
  <si>
    <t>Q9I0L5</t>
  </si>
  <si>
    <t xml:space="preserve">&gt;tr|Q9I0L5|Q9I0L5_PSEAE Isocitrate dehydrogenase [NADP] OS=Pseudomonas aeruginosa (strain ATCC 15692 / PAO1 / 1C / PRS 101 / LMG 12228) GN=icd PE=3 SV=1;&gt;tr|U5R070|U5R070_PSEAE Isocitrate dehydrogenase [NADP] OS=Pseudomonas aeruginosa PAO1-VE2 GN=icd PE=3 </t>
  </si>
  <si>
    <t>_IRFTENCGIGIK(ac)PVSQEGTK_</t>
  </si>
  <si>
    <t>IRFTENCGIGIK(1)PVSQEGTK</t>
  </si>
  <si>
    <t>IRFTENCGIGIK(18.02)PVSQEGTK(-18.02)</t>
  </si>
  <si>
    <t>P00106</t>
  </si>
  <si>
    <t>&gt;sp|P00106|CYC4_PSEAE Cytochrome c4 OS=Pseudomonas aeruginosa (strain ATCC 15692 / PAO1 / 1C / PRS 101 / LMG 12228) GN=cc4 PE=1 SV=3;&gt;tr|U5R5Z4|U5R5Z4_PSEAE Cytochrome c4 OS=Pseudomonas aeruginosa PAO1-VE2 GN=cc4 PE=3 SV=1;&gt;tr|U5RCK7|U5RCK7_PSEAE Cytochrom</t>
  </si>
  <si>
    <t>_YLLK(ac)QMHDIK_</t>
  </si>
  <si>
    <t>YLLK(1)QMHDIK</t>
  </si>
  <si>
    <t>YLLK(63.28)QMHDIK(-63.28)</t>
  </si>
  <si>
    <t>Q9HWF2</t>
  </si>
  <si>
    <t>&gt;sp|Q9HWF2|RS5_PSEAE 30S ribosomal protein S5 OS=Pseudomonas aeruginosa (strain ATCC 15692 / PAO1 / 1C / PRS 101 / LMG 12228) GN=rpsE PE=3 SV=1;&gt;tr|U5R2W7|U5R2W7_PSEAE 30S ribosomal protein S5 OS=Pseudomonas aeruginosa PAO1-VE2 GN=rpsE PE=3 SV=1;&gt;tr|U5REN1</t>
  </si>
  <si>
    <t>_(ac)ANNEQK(ac)RDEGYIEK_</t>
  </si>
  <si>
    <t>ANNEQK(1)RDEGYIEK</t>
  </si>
  <si>
    <t>ANNEQK(95.26)RDEGYIEK(-95.26)</t>
  </si>
  <si>
    <t>_HDTRFDLK(ac)TLQELSSK_</t>
  </si>
  <si>
    <t>HDTRFDLK(1)TLQELSSK</t>
  </si>
  <si>
    <t>HDTRFDLK(53.83)TLQELSSK(-53.83)</t>
  </si>
  <si>
    <t>Q9HWF8</t>
  </si>
  <si>
    <t>&gt;sp|Q9HWF8|RS11_PSEAE 30S ribosomal protein S11 OS=Pseudomonas aeruginosa (strain ATCC 15692 / PAO1 / 1C / PRS 101 / LMG 12228) GN=rpsK PE=3 SV=1;&gt;tr|U5QX38|U5QX38_PSEAE 30S ribosomal protein S11 OS=Pseudomonas aeruginosa PAO1-VE2 GN=rpsK PE=3 SV=1;&gt;tr|U5R</t>
  </si>
  <si>
    <t>_AGQAALEYGLK(ac)NLDVNVK_</t>
  </si>
  <si>
    <t>AGQAALEYGLK(1)NLDVNVK</t>
  </si>
  <si>
    <t>AGQAALEYGLK(83.42)NLDVNVK(-83.42)</t>
  </si>
  <si>
    <t>G3XD76</t>
  </si>
  <si>
    <t xml:space="preserve">&gt;sp|G3XD76|DAPD_PSEAE 2,3,4,5-tetrahydropyridine-2,6-dicarboxylate N-succinyltransferase OS=Pseudomonas aeruginosa (strain ATCC 15692 / PAO1 / 1C / PRS 101 / LMG 12228) GN=dapD PE=1 SV=1;&gt;tr|U5R7W1|U5R7W1_PSEAE 2,3,4,5-tetrahydropyridine-2,6-dicarboxylate </t>
  </si>
  <si>
    <t>_VALLDEQNALVK(ac)VVK_</t>
  </si>
  <si>
    <t>VALLDEQNALVK(1)VVK</t>
  </si>
  <si>
    <t>VALLDEQNALVK(86.29)VVK(-86.29)</t>
  </si>
  <si>
    <t>Q9I0T4</t>
  </si>
  <si>
    <t>&gt;tr|Q9I0T4|Q9I0T4_PSEAE Probable acyl-CoA dehydrogenase OS=Pseudomonas aeruginosa (strain ATCC 15692 / PAO1 / 1C / PRS 101 / LMG 12228) GN=PA2550 PE=3 SV=1;&gt;tr|U5QYL0|U5QYL0_PSEAE Uncharacterized protein OS=Pseudomonas aeruginosa PAO1-VE2 GN=N296_2623 PE=3</t>
  </si>
  <si>
    <t>_AAIGK(ac)FELGK_</t>
  </si>
  <si>
    <t>AAIGK(1)FELGK</t>
  </si>
  <si>
    <t>AAIGK(63.28)FELGK(-63.28)</t>
  </si>
  <si>
    <t>_TGRNPQTGK(ac)PIK_</t>
  </si>
  <si>
    <t>TGRNPQTGK(1)PIK</t>
  </si>
  <si>
    <t>TGRNPQTGK(75.09)PIK(-75.09)</t>
  </si>
  <si>
    <t>Q9HXH0</t>
  </si>
  <si>
    <t>&gt;sp|Q9HXH0|SYV_PSEAE Valine--tRNA ligase OS=Pseudomonas aeruginosa (strain ATCC 15692 / PAO1 / 1C / PRS 101 / LMG 12228) GN=valS PE=3 SV=1;&gt;tr|U5QXV5|U5QXV5_PSEAE Valine--tRNA ligase OS=Pseudomonas aeruginosa PAO1-VE2 GN=valS PE=3 SV=1;&gt;tr|U5RCV3|U5RCV3_PS</t>
  </si>
  <si>
    <t>_FLEK(ac)VWEWK_</t>
  </si>
  <si>
    <t>FLEK(1)VWEWK</t>
  </si>
  <si>
    <t>FLEK(44.2)VWEWK(-44.2)</t>
  </si>
  <si>
    <t>Q9HZC5</t>
  </si>
  <si>
    <t>&gt;tr|Q9HZC5|Q9HZC5_PSEAE Aminopeptidase N OS=Pseudomonas aeruginosa (strain ATCC 15692 / PAO1 / 1C / PRS 101 / LMG 12228) GN=pepN PE=4 SV=1;&gt;tr|U5QYJ7|U5QYJ7_PSEAE Aminopeptidase N OS=Pseudomonas aeruginosa PAO1-VE2 GN=pepN PE=4 SV=1;&gt;tr|U5RIU6|U5RIU6_PSEAE</t>
  </si>
  <si>
    <t>_VIHLK(ac)DYQAPDYLIDETHLK_</t>
  </si>
  <si>
    <t>VIHLK(1)DYQAPDYLIDETHLK</t>
  </si>
  <si>
    <t>VIHLK(37.24)DYQAPDYLIDETHLK(-37.24)</t>
  </si>
  <si>
    <t>_RPLK(ac)SLADMIK_</t>
  </si>
  <si>
    <t>RPLK(1)SLADMIK</t>
  </si>
  <si>
    <t>RPLK(99.52)SLADMIK(-99.52)</t>
  </si>
  <si>
    <t>Q9I099</t>
  </si>
  <si>
    <t>&gt;sp|Q9I099|SYT_PSEAE Threonine--tRNA ligase OS=Pseudomonas aeruginosa (strain ATCC 15692 / PAO1 / 1C / PRS 101 / LMG 12228) GN=thrS PE=3 SV=1;&gt;tr|U5R843|U5R843_PSEAE Threonine--tRNA ligase OS=Pseudomonas aeruginosa PAO1-VE2 GN=thrS PE=3 SV=1;&gt;tr|U5RCC5|U5R</t>
  </si>
  <si>
    <t>_IEFTLK(ac)DCLGR_</t>
  </si>
  <si>
    <t>IEFTLK(1)DCLGR</t>
  </si>
  <si>
    <t>IEFTLK(58.68)DCLGR</t>
  </si>
  <si>
    <t>Q9HWD9</t>
  </si>
  <si>
    <t>&gt;sp|Q9HWD9|RS19_PSEAE 30S ribosomal protein S19 OS=Pseudomonas aeruginosa (strain ATCC 15692 / PAO1 / 1C / PRS 101 / LMG 12228) GN=rpsS PE=3 SV=1;&gt;tr|U5R4H8|U5R4H8_PSEAE 30S ribosomal protein S19 OS=Pseudomonas aeruginosa PAO1-VE2 GN=rpsS PE=3 SV=1;&gt;tr|U5R</t>
  </si>
  <si>
    <t>_NDRK(ac)PIK_</t>
  </si>
  <si>
    <t>NDRK(1)PIK</t>
  </si>
  <si>
    <t>NDRK(64.26)PIK(-64.26)</t>
  </si>
  <si>
    <t>_QLEDDPFSNYASLHEK(ac)GSIVR_</t>
  </si>
  <si>
    <t>QLEDDPFSNYASLHEK(1)GSIVR</t>
  </si>
  <si>
    <t>QLEDDPFSNYASLHEK(95.09)GSIVR</t>
  </si>
  <si>
    <t>_LTAAEGLEK(ac)YLGTK_</t>
  </si>
  <si>
    <t>LTAAEGLEK(1)YLGTK</t>
  </si>
  <si>
    <t>LTAAEGLEK(99.53)YLGTK(-99.53)</t>
  </si>
  <si>
    <t>_SKDVDDEK(ac)DAMK_</t>
  </si>
  <si>
    <t>SK(0.037)DVDDEK(0.963)DAMK</t>
  </si>
  <si>
    <t>SK(-14.18)DVDDEK(14.18)DAMK(-27.86)</t>
  </si>
  <si>
    <t>Q9HV48</t>
  </si>
  <si>
    <t>&gt;tr|Q9HV48|Q9HV48_PSEAE ATP-dependent zinc metalloprotease FtsH OS=Pseudomonas aeruginosa (strain ATCC 15692 / PAO1 / 1C / PRS 101 / LMG 12228) GN=ftsH PE=3 SV=1;&gt;tr|U5R632|U5R632_PSEAE ATP-dependent zinc metalloprotease FtsH OS=Pseudomonas aeruginosa PAO1</t>
  </si>
  <si>
    <t>_SAGSQHANVSGETAK(ac)MIDQEVR_</t>
  </si>
  <si>
    <t>SAGSQHANVSGETAK(1)MIDQEVR</t>
  </si>
  <si>
    <t>SAGSQHANVSGETAK(49.09)MIDQEVR</t>
  </si>
  <si>
    <t>Q9HXZ5</t>
  </si>
  <si>
    <t>&gt;sp|Q9HXZ5|ENO_PSEAE Enolase OS=Pseudomonas aeruginosa (strain ATCC 15692 / PAO1 / 1C / PRS 101 / LMG 12228) GN=eno PE=3 SV=1;&gt;tr|U5QUD7|U5QUD7_PSEAE Enolase OS=Pseudomonas aeruginosa PAO1-VE2 GN=eno PE=3 SV=1;&gt;tr|U5RA47|U5RA47_PSEAE Enolase OS=Pseudomonas</t>
  </si>
  <si>
    <t>_VSK(ac)YNQLLR_</t>
  </si>
  <si>
    <t>VSK(1)YNQLLR</t>
  </si>
  <si>
    <t>VSK(130.75)YNQLLR</t>
  </si>
  <si>
    <t>_TYFQK(ac)LPADGNPAPDVSHSTVR_</t>
  </si>
  <si>
    <t>TYFQK(1)LPADGNPAPDVSHSTVR</t>
  </si>
  <si>
    <t>TYFQK(91.64)LPADGNPAPDVSHSTVR</t>
  </si>
  <si>
    <t>Q9HT18</t>
  </si>
  <si>
    <t>&gt;sp|Q9HT18|ATPA_PSEAE ATP synthase subunit alpha OS=Pseudomonas aeruginosa (strain ATCC 15692 / PAO1 / 1C / PRS 101 / LMG 12228) GN=atpA PE=3 SV=1;&gt;tr|U5R436|U5R436_PSEAE ATP synthase subunit alpha OS=Pseudomonas aeruginosa PAO1-VE2 GN=atpA PE=3 SV=1;&gt;tr|U</t>
  </si>
  <si>
    <t>_K(ac)SVDQPVQTGYK_</t>
  </si>
  <si>
    <t>K(1)SVDQPVQTGYK</t>
  </si>
  <si>
    <t>K(69.82)SVDQPVQTGYK(-69.82)</t>
  </si>
  <si>
    <t>Q9HVJ1</t>
  </si>
  <si>
    <t>&gt;tr|Q9HVJ1|Q9HVJ1_PSEAE Probable ATP-binding component of ABC transporter OS=Pseudomonas aeruginosa (strain ATCC 15692 / PAO1 / 1C / PRS 101 / LMG 12228) GN=PA4595 PE=3 SV=1;&gt;tr|U5R6C3|U5R6C3_PSEAE Heme ABC exporter, ATP-binding protein CcmA OS=Pseudomonas</t>
  </si>
  <si>
    <t>_PMPGINVGYLPQEPK(ac)LDPQATVR_</t>
  </si>
  <si>
    <t>PMPGINVGYLPQEPK(1)LDPQATVR</t>
  </si>
  <si>
    <t>PMPGINVGYLPQEPK(33.68)LDPQATVR</t>
  </si>
  <si>
    <t>Q9HTD7</t>
  </si>
  <si>
    <t>&gt;sp|Q9HTD7|ASPA_PSEAE Aspartate ammonia-lyase OS=Pseudomonas aeruginosa (strain ATCC 15692 / PAO1 / 1C / PRS 101 / LMG 12228) GN=aspA PE=3 SV=1;&gt;tr|U5R020|U5R020_PSEAE Aspartate ammonia-lyase OS=Pseudomonas aeruginosa PAO1-VE2 GN=aspA PE=4 SV=1;&gt;tr|U5RDA3|</t>
  </si>
  <si>
    <t>_IEK(ac)DLLGTLEVPADAYYGIQTLR_</t>
  </si>
  <si>
    <t>IEK(1)DLLGTLEVPADAYYGIQTLR</t>
  </si>
  <si>
    <t>IEK(65.45)DLLGTLEVPADAYYGIQTLR</t>
  </si>
  <si>
    <t>U5R104</t>
  </si>
  <si>
    <t>&gt;tr|U5R104|U5R104_PSEAE 3-Oxoacyl-[acyl-carrier-(ACP)] synthase III family protein OS=Pseudomonas aeruginosa PAO1-VE2 GN=N296_3403 PE=4 SV=1;&gt;tr|U5RM63|U5RM63_PSEAE 3-Oxoacyl-[acyl-carrier-(ACP)] synthase III family protein OS=Pseudomonas aeruginosa PAO1-V</t>
  </si>
  <si>
    <t>_VFK(ac)DVCPMVAELIGEHLAANEIQVAEVK_</t>
  </si>
  <si>
    <t>VFK(1)DVCPMVAELIGEHLAANEIQVAEVK</t>
  </si>
  <si>
    <t>VFK(57.21)DVCPMVAELIGEHLAANEIQVAEVK(-57.21)</t>
  </si>
  <si>
    <t>_ATVAIVAQLK(ac)ELAK_</t>
  </si>
  <si>
    <t>ATVAIVAQLK(1)ELAK</t>
  </si>
  <si>
    <t>ATVAIVAQLK(131.79)ELAK(-131.79)</t>
  </si>
  <si>
    <t>Q9I2U7</t>
  </si>
  <si>
    <t>&gt;sp|Q9I2U7|SYC_PSEAE Cysteine--tRNA ligase OS=Pseudomonas aeruginosa (strain ATCC 15692 / PAO1 / 1C / PRS 101 / LMG 12228) GN=cysS PE=3 SV=1;&gt;tr|U5R081|U5R081_PSEAE Cysteine--tRNA ligase OS=Pseudomonas aeruginosa PAO1-VE2 GN=cysS PE=3 SV=1;&gt;tr|U5RLQ2|U5RLQ</t>
  </si>
  <si>
    <t>_NITDIDDK(ac)IINR_</t>
  </si>
  <si>
    <t>NITDIDDK(1)IINR</t>
  </si>
  <si>
    <t>NITDIDDK(72.29)IINR</t>
  </si>
  <si>
    <t>_FEELQSQEFQK(ac)R_</t>
  </si>
  <si>
    <t>FEELQSQEFQK(1)R</t>
  </si>
  <si>
    <t>FEELQSQEFQK(101.93)R</t>
  </si>
  <si>
    <t>Q9HW86</t>
  </si>
  <si>
    <t xml:space="preserve">&gt;tr|Q9HW86|Q9HW86_PSEAE MvaT OS=Pseudomonas aeruginosa (strain ATCC 15692 / PAO1 / 1C / PRS 101 / LMG 12228) GN=mvaT PE=4 SV=1;&gt;tr|U5RAR7|U5RAR7_PSEAE Putative mvaV OS=Pseudomonas aeruginosa PAO1-VE2 GN=N296_4457 PE=4 SV=1;&gt;tr|U5RK57|U5RK57_PSEAE Putative </t>
  </si>
  <si>
    <t>_ELEFEEK(ac)LR_</t>
  </si>
  <si>
    <t>ELEFEEK(1)LR</t>
  </si>
  <si>
    <t>ELEFEEK(99.14)LR</t>
  </si>
  <si>
    <t>Q9HWE7</t>
  </si>
  <si>
    <t>&gt;sp|Q9HWE7|RL5_PSEAE 50S ribosomal protein L5 OS=Pseudomonas aeruginosa (strain ATCC 15692 / PAO1 / 1C / PRS 101 / LMG 12228) GN=rplE PE=3 SV=1;&gt;tr|U5QXE0|U5QXE0_PSEAE 50S ribosomal protein L5 OS=Pseudomonas aeruginosa PAO1-VE2 GN=rplE PE=3 SV=1;&gt;tr|U5RD82</t>
  </si>
  <si>
    <t>_EIAPK(ac)LK_</t>
  </si>
  <si>
    <t>EIAPK(1)LK</t>
  </si>
  <si>
    <t>EIAPK(33.8)LK(-33.8)</t>
  </si>
  <si>
    <t>Q9I6B4</t>
  </si>
  <si>
    <t>&gt;sp|Q9I6B4|THIG_PSEAE Thiazole synthase OS=Pseudomonas aeruginosa (strain ATCC 15692 / PAO1 / 1C / PRS 101 / LMG 12228) GN=thiG PE=1 SV=1;&gt;tr|U5QY51|U5QY51_PSEAE Thiazole synthase OS=Pseudomonas aeruginosa PAO1-VE2 GN=thiG PE=3 SV=1;&gt;tr|U5RA74|U5RA74_PSEAE</t>
  </si>
  <si>
    <t>_ELLDGHNLVK(ac)LEVLADQK_</t>
  </si>
  <si>
    <t>ELLDGHNLVK(1)LEVLADQK</t>
  </si>
  <si>
    <t>ELLDGHNLVK(91.66)LEVLADQK(-91.66)</t>
  </si>
  <si>
    <t>Q51422</t>
  </si>
  <si>
    <t>&gt;sp|Q51422|SYDND_PSEAE Aspartate--tRNA(Asp/Asn) ligase OS=Pseudomonas aeruginosa (strain ATCC 15692 / PAO1 / 1C / PRS 101 / LMG 12228) GN=aspS PE=1 SV=2;&gt;tr|U5QTW9|U5QTW9_PSEAE Aspartate--tRNA(Asp/Asn) ligase OS=Pseudomonas aeruginosa PAO1-VE2 GN=aspS PE=3</t>
  </si>
  <si>
    <t>_VFSGPANDPK(ac)GR_</t>
  </si>
  <si>
    <t>VFSGPANDPK(1)GR</t>
  </si>
  <si>
    <t>VFSGPANDPK(60.26)GR</t>
  </si>
  <si>
    <t>Q9HXX5</t>
  </si>
  <si>
    <t>&gt;tr|Q9HXX5|Q9HXX5_PSEAE Uncharacterized protein OS=Pseudomonas aeruginosa (strain ATCC 15692 / PAO1 / 1C / PRS 101 / LMG 12228) GN=PA3664 PE=1 SV=1;&gt;tr|U5R2N5|U5R2N5_PSEAE Transcriptional regulator, Spx/MgsR family protein OS=Pseudomonas aeruginosa PAO1-VE</t>
  </si>
  <si>
    <t>_VAYDFHDYK(ac)AVGIDREHLR_</t>
  </si>
  <si>
    <t>VAYDFHDYK(1)AVGIDREHLR</t>
  </si>
  <si>
    <t>VAYDFHDYK(38.42)AVGIDREHLR</t>
  </si>
  <si>
    <t>Q9ZFK4</t>
  </si>
  <si>
    <t>&gt;sp|Q9ZFK4|KDSA_PSEAE 2-dehydro-3-deoxyphosphooctonate aldolase OS=Pseudomonas aeruginosa (strain ATCC 15692 / PAO1 / 1C / PRS 101 / LMG 12228) GN=kdsA PE=1 SV=1;&gt;tr|U5R6U4|U5R6U4_PSEAE 2-dehydro-3-deoxyphosphooctonate aldolase OS=Pseudomonas aeruginosa PA</t>
  </si>
  <si>
    <t>_LNK(ac)LEAFLSQLK_</t>
  </si>
  <si>
    <t>LNK(1)LEAFLSQLK</t>
  </si>
  <si>
    <t>LNK(68)LEAFLSQLK(-68)</t>
  </si>
  <si>
    <t>_REVLADPK(ac)YGSQILAK_</t>
  </si>
  <si>
    <t>REVLADPK(1)YGSQILAK</t>
  </si>
  <si>
    <t>REVLADPK(30.57)YGSQILAK(-30.57)</t>
  </si>
  <si>
    <t>_SLDEAILRPLDK(ac)PFSAEGGLR_</t>
  </si>
  <si>
    <t>SLDEAILRPLDK(1)PFSAEGGLR</t>
  </si>
  <si>
    <t>SLDEAILRPLDK(95.81)PFSAEGGLR</t>
  </si>
  <si>
    <t>Q9HU67</t>
  </si>
  <si>
    <t>&gt;tr|Q9HU67|Q9HU67_PSEAE Regulatory protein TypA OS=Pseudomonas aeruginosa (strain ATCC 15692 / PAO1 / 1C / PRS 101 / LMG 12228) GN=typA PE=4 SV=1;&gt;tr|U5R4I0|U5R4I0_PSEAE GTP-binding protein TypA/BipA OS=Pseudomonas aeruginosa PAO1-VE2 GN=typA PE=4 SV=1;&gt;tr</t>
  </si>
  <si>
    <t>_VEPGDSPEK(ac)FK_</t>
  </si>
  <si>
    <t>VEPGDSPEK(1)FK</t>
  </si>
  <si>
    <t>VEPGDSPEK(57.35)FK(-57.35)</t>
  </si>
  <si>
    <t>Q51423</t>
  </si>
  <si>
    <t>&gt;sp|Q51423|PMPR_PSEAE Transcriptional regulatory protein PmpR OS=Pseudomonas aeruginosa (strain ATCC 15692 / PAO1 / 1C / PRS 101 / LMG 12228) GN=pmpR PE=1 SV=2;&gt;tr|U5QVM9|U5QVM9_PSEAE Probable transcriptional regulatory protein N296_998 OS=Pseudomonas aeru</t>
  </si>
  <si>
    <t>_HAFSK(ac)CGGNLGTDGSVAYMFER_</t>
  </si>
  <si>
    <t>HAFSK(1)CGGNLGTDGSVAYMFER</t>
  </si>
  <si>
    <t>HAFSK(155.28)CGGNLGTDGSVAYMFER</t>
  </si>
  <si>
    <t>_DGNLHCLDAK(ac)INIDSNALYR_</t>
  </si>
  <si>
    <t>DGNLHCLDAK(1)INIDSNALYR</t>
  </si>
  <si>
    <t>DGNLHCLDAK(31.49)INIDSNALYR</t>
  </si>
  <si>
    <t>_DLTK(ac)IFTTPEYAGWR_</t>
  </si>
  <si>
    <t>DLTK(1)IFTTPEYAGWR</t>
  </si>
  <si>
    <t>DLTK(39.51)IFTTPEYAGWR</t>
  </si>
  <si>
    <t>Q9HTN2</t>
  </si>
  <si>
    <t>&gt;sp|Q9HTN2|ARGB_PSEAE Acetylglutamate kinase OS=Pseudomonas aeruginosa (strain ATCC 15692 / PAO1 / 1C / PRS 101 / LMG 12228) GN=argB PE=1 SV=3;&gt;tr|U5R3V2|U5R3V2_PSEAE Acetylglutamate kinase OS=Pseudomonas aeruginosa PAO1-VE2 GN=argB PE=3 SV=1;&gt;tr|U5RQJ3|U5</t>
  </si>
  <si>
    <t>_VAEALK(ac)AEK_</t>
  </si>
  <si>
    <t>VAEALK(1)AEK</t>
  </si>
  <si>
    <t>VAEALK(74.92)AEK(-74.92)</t>
  </si>
  <si>
    <t>Q9HUV9</t>
  </si>
  <si>
    <t>&gt;sp|Q9HUV9|PUR9_PSEAE Bifunctional purine biosynthesis protein PurH OS=Pseudomonas aeruginosa (strain ATCC 15692 / PAO1 / 1C / PRS 101 / LMG 12228) GN=purH PE=3 SV=1;&gt;tr|U5R207|U5R207_PSEAE Bifunctional purine biosynthesis protein PurH OS=Pseudomonas aerug</t>
  </si>
  <si>
    <t>_ELDGETAK(ac)AIVER_</t>
  </si>
  <si>
    <t>ELDGETAK(1)AIVER</t>
  </si>
  <si>
    <t>ELDGETAK(44.62)AIVER</t>
  </si>
  <si>
    <t>Q9I6H4</t>
  </si>
  <si>
    <t>&gt;tr|Q9I6H4|Q9I6H4_PSEAE Uncharacterized protein OS=Pseudomonas aeruginosa (strain ATCC 15692 / PAO1 / 1C / PRS 101 / LMG 12228) GN=PA0317 PE=4 SV=1;&gt;tr|U5R5G9|U5R5G9_PSEAE FAD binding domain protein OS=Pseudomonas aeruginosa PAO1-VE2 GN=N296_325 PE=4 SV=1;</t>
  </si>
  <si>
    <t>_DWTK(ac)HFAPAPLAIVFPK_</t>
  </si>
  <si>
    <t>DWTK(1)HFAPAPLAIVFPK</t>
  </si>
  <si>
    <t>DWTK(52.86)HFAPAPLAIVFPK(-52.86)</t>
  </si>
  <si>
    <t>_ETITK(ac)DNVEIEGK_</t>
  </si>
  <si>
    <t>ETITK(1)DNVEIEGK</t>
  </si>
  <si>
    <t>ETITK(53.25)DNVEIEGK(-53.25)</t>
  </si>
  <si>
    <t>Q9HZG8</t>
  </si>
  <si>
    <t>&gt;tr|Q9HZG8|Q9HZG8_PSEAE Uncharacterized protein OS=Pseudomonas aeruginosa (strain ATCC 15692 / PAO1 / 1C / PRS 101 / LMG 12228) GN=PA3040 PE=4 SV=1;&gt;tr|U5R7F1|U5R7F1_PSEAE Uncharacterized protein OS=Pseudomonas aeruginosa PAO1-VE2 GN=N296_3147 PE=4 SV=1;&gt;t</t>
  </si>
  <si>
    <t>_DTLRDTK(ac)DSLK_</t>
  </si>
  <si>
    <t>DTLRDTK(1)DSLK</t>
  </si>
  <si>
    <t>DTLRDTK(60.26)DSLK(-60.26)</t>
  </si>
  <si>
    <t>G3XDB0</t>
  </si>
  <si>
    <t>&gt;tr|G3XDB0|G3XDB0_PSEAE Catabolite repression control protein OS=Pseudomonas aeruginosa (strain ATCC 15692 / PAO1 / 1C / PRS 101 / LMG 12228) GN=crc PE=4 SV=1;&gt;tr|U5QV14|U5QV14_PSEAE Exodeoxyribonuclease III family protein OS=Pseudomonas aeruginosa PAO1-VE</t>
  </si>
  <si>
    <t>_FK(ac)FMDDFTHYLSK_</t>
  </si>
  <si>
    <t>FK(1)FMDDFTHYLSK</t>
  </si>
  <si>
    <t>FK(64.12)FMDDFTHYLSK(-64.12)</t>
  </si>
  <si>
    <t>P26480</t>
  </si>
  <si>
    <t>&gt;sp|P26480|RPOD_PSEAE RNA polymerase sigma factor RpoD OS=Pseudomonas aeruginosa (strain ATCC 15692 / PAO1 / 1C / PRS 101 / LMG 12228) GN=rpoD PE=3 SV=1;&gt;tr|U5R9E2|U5R9E2_PSEAE RNA polymerase sigma factor RpoD OS=Pseudomonas aeruginosa PAO1-VE2 GN=rpoD PE=</t>
  </si>
  <si>
    <t>_MDMPEDK(ac)IRK_</t>
  </si>
  <si>
    <t>MDMPEDK(1)IRK</t>
  </si>
  <si>
    <t>MDMPEDK(82.29)IRK(-82.29)</t>
  </si>
  <si>
    <t>Q9HV24</t>
  </si>
  <si>
    <t xml:space="preserve">&gt;tr|Q9HV24|Q9HV24_PSEAE Probable transcriptional regulator OS=Pseudomonas aeruginosa (strain ATCC 15692 / PAO1 / 1C / PRS 101 / LMG 12228) GN=PA4784 PE=4 SV=1;&gt;tr|U5R1A2|U5R1A2_PSEAE AsnC family protein OS=Pseudomonas aeruginosa PAO1-VE2 GN=N296_4950 PE=4 </t>
  </si>
  <si>
    <t>_ITEK(ac)DCQSVLDELAR_</t>
  </si>
  <si>
    <t>ITEK(1)DCQSVLDELAR</t>
  </si>
  <si>
    <t>ITEK(114.56)DCQSVLDELAR</t>
  </si>
  <si>
    <t>Q9I4Z4</t>
  </si>
  <si>
    <t>&gt;sp|Q9I4Z4|PAL_PSEAE Peptidoglycan-associated lipoprotein OS=Pseudomonas aeruginosa (strain ATCC 15692 / PAO1 / 1C / PRS 101 / LMG 12228) GN=pal PE=3 SV=1;&gt;tr|U5QXX7|U5QXX7_PSEAE Peptidoglycan-associated lipoprotein OS=Pseudomonas aeruginosa PAO1-VE2 GN=pa</t>
  </si>
  <si>
    <t>_ALDVHAK(ac)DLK_</t>
  </si>
  <si>
    <t>ALDVHAK(1)DLK</t>
  </si>
  <si>
    <t>ALDVHAK(51.09)DLK(-51.09)</t>
  </si>
  <si>
    <t>Q9HUN2</t>
  </si>
  <si>
    <t>&gt;sp|Q9HUN2|RL9_PSEAE 50S ribosomal protein L9 OS=Pseudomonas aeruginosa (strain ATCC 15692 / PAO1 / 1C / PRS 101 / LMG 12228) GN=rplI PE=3 SV=1;&gt;tr|U5R0Y7|U5R0Y7_PSEAE 50S ribosomal protein L9 OS=Pseudomonas aeruginosa PAO1-VE2 GN=rplI PE=3 SV=1;&gt;tr|U5RP23</t>
  </si>
  <si>
    <t>_DIAEAVSAAGYPLEK(ac)AEVR_</t>
  </si>
  <si>
    <t>DIAEAVSAAGYPLEK(1)AEVR</t>
  </si>
  <si>
    <t>DIAEAVSAAGYPLEK(18.78)AEVR</t>
  </si>
  <si>
    <t>Q9I3C5</t>
  </si>
  <si>
    <t>&gt;sp|Q9I3C5|HTPG_PSEAE Chaperone protein HtpG OS=Pseudomonas aeruginosa (strain ATCC 15692 / PAO1 / 1C / PRS 101 / LMG 12228) GN=htpG PE=3 SV=1;&gt;tr|U5QUJ5|U5QUJ5_PSEAE Chaperone protein HtpG OS=Pseudomonas aeruginosa PAO1-VE2 GN=htpG PE=3 SV=1;&gt;tr|U5RD10|U5</t>
  </si>
  <si>
    <t>_TFWK(ac)NFGQVLK_</t>
  </si>
  <si>
    <t>TFWK(1)NFGQVLK</t>
  </si>
  <si>
    <t>TFWK(37.99)NFGQVLK(-37.99)</t>
  </si>
  <si>
    <t>Q9I4Z7</t>
  </si>
  <si>
    <t>&gt;tr|Q9I4Z7|Q9I4Z7_PSEAE Probable dna-binding stress protein OS=Pseudomonas aeruginosa (strain ATCC 15692 / PAO1 / 1C / PRS 101 / LMG 12228) GN=PA0962 PE=3 SV=1;&gt;tr|U5QS81|U5QS81_PSEAE Ferritin-like domain protein OS=Pseudomonas aeruginosa PAO1-VE2 GN=N296_</t>
  </si>
  <si>
    <t>_LSSIK(ac)EEEGVPEAEEMIR_</t>
  </si>
  <si>
    <t>LSSIK(1)EEEGVPEAEEMIR</t>
  </si>
  <si>
    <t>LSSIK(119.45)EEEGVPEAEEMIR</t>
  </si>
  <si>
    <t>Q9HT16</t>
  </si>
  <si>
    <t>&gt;sp|Q9HT16|ATPF_PSEAE ATP synthase subunit b OS=Pseudomonas aeruginosa (strain ATCC 15692 / PAO1 / 1C / PRS 101 / LMG 12228) GN=atpF PE=3 SV=1;&gt;tr|U5R654|U5R654_PSEAE ATP synthase subunit b OS=Pseudomonas aeruginosa PAO1-VE2 GN=atpF PE=3 SV=1;&gt;tr|U5RIA2|U5</t>
  </si>
  <si>
    <t>_EAK(ac)AQAAEIVEQAK_</t>
  </si>
  <si>
    <t>EAK(1)AQAAEIVEQAK</t>
  </si>
  <si>
    <t>EAK(78.49)AQAAEIVEQAK(-78.49)</t>
  </si>
  <si>
    <t>Q9HWZ6</t>
  </si>
  <si>
    <t>&gt;sp|Q9HWZ6|IPYR_PSEAE Inorganic pyrophosphatase OS=Pseudomonas aeruginosa (strain ATCC 15692 / PAO1 / 1C / PRS 101 / LMG 12228) GN=ppa PE=3 SV=1;&gt;tr|U5QYR2|U5QYR2_PSEAE Inorganic pyrophosphatase OS=Pseudomonas aeruginosa PAO1-VE2 GN=ppa PE=3 SV=1;&gt;tr|U5RR2</t>
  </si>
  <si>
    <t>_YEIDK(ac)DTDCLFVDR_</t>
  </si>
  <si>
    <t>YEIDK(1)DTDCLFVDR</t>
  </si>
  <si>
    <t>YEIDK(79.63)DTDCLFVDR</t>
  </si>
  <si>
    <t>_LQGVK(ac)INDK_</t>
  </si>
  <si>
    <t>LQGVK(1)INDK</t>
  </si>
  <si>
    <t>LQGVK(29.74)INDK(-29.74)</t>
  </si>
  <si>
    <t>Q9HV46</t>
  </si>
  <si>
    <t>&gt;sp|Q9HV46|GREA_PSEAE Transcription elongation factor GreA OS=Pseudomonas aeruginosa (strain ATCC 15692 / PAO1 / 1C / PRS 101 / LMG 12228) GN=greA PE=3 SV=1;&gt;tr|U5R4U2|U5R4U2_PSEAE Transcription elongation factor GreA OS=Pseudomonas aeruginosa PAO1-VE2 GN=</t>
  </si>
  <si>
    <t>_ELGDLK(ac)ENAEYHAAR_</t>
  </si>
  <si>
    <t>ELGDLK(1)ENAEYHAAR</t>
  </si>
  <si>
    <t>ELGDLK(127.71)ENAEYHAAR</t>
  </si>
  <si>
    <t>_QVVLYFYPK(ac)DSTPGCTTEGQGFR_</t>
  </si>
  <si>
    <t>QVVLYFYPK(1)DSTPGCTTEGQGFR</t>
  </si>
  <si>
    <t>QVVLYFYPK(55.76)DSTPGCTTEGQGFR</t>
  </si>
  <si>
    <t>_GMYLLEEDK(ac)K_</t>
  </si>
  <si>
    <t>GMYLLEEDK(1)K</t>
  </si>
  <si>
    <t>GMYLLEEDK(87.91)K(-87.91)</t>
  </si>
  <si>
    <t>249;250</t>
  </si>
  <si>
    <t>_ANEEIEK(ac)K_</t>
  </si>
  <si>
    <t>ANEEIEK(1)K</t>
  </si>
  <si>
    <t>ANEEIEK(71.22)K(-71.22)</t>
  </si>
  <si>
    <t>_NAGQFLAFQGDAAK(ac)PQAVLLK_</t>
  </si>
  <si>
    <t>NAGQFLAFQGDAAK(1)PQAVLLK</t>
  </si>
  <si>
    <t>NAGQFLAFQGDAAK(25.92)PQAVLLK(-25.92)</t>
  </si>
  <si>
    <t>Q9HZG0</t>
  </si>
  <si>
    <t>&gt;sp|Q9HZG0|RLMKL_PSEAE Ribosomal RNA large subunit methyltransferase K/L OS=Pseudomonas aeruginosa (strain ATCC 15692 / PAO1 / 1C / PRS 101 / LMG 12228) GN=rlmL PE=3 SV=1;&gt;tr|U5QSI0|U5QSI0_PSEAE Ribosomal RNA large subunit methyltransferase K/L OS=Pseudomo</t>
  </si>
  <si>
    <t>_RPSVDK(ac)VNPDVR_</t>
  </si>
  <si>
    <t>RPSVDK(1)VNPDVR</t>
  </si>
  <si>
    <t>RPSVDK(62.53)VNPDVR</t>
  </si>
  <si>
    <t>Q9HUD3</t>
  </si>
  <si>
    <t>&gt;tr|Q9HUD3|Q9HUD3_PSEAE Malic enzyme OS=Pseudomonas aeruginosa (strain ATCC 15692 / PAO1 / 1C / PRS 101 / LMG 12228) GN=PA5046 PE=3 SV=1;&gt;tr|U5R420|U5R420_PSEAE Malic enzyme, NAD binding domain protein OS=Pseudomonas aeruginosa PAO1-VE2 GN=N296_5219 PE=3 S</t>
  </si>
  <si>
    <t>_M(ox)APNPIVFACSNPDPEIK(ac)PELAHATR_</t>
  </si>
  <si>
    <t>MAPNPIVFACSNPDPEIK(1)PELAHATR</t>
  </si>
  <si>
    <t>MAPNPIVFACSNPDPEIK(50.03)PELAHATR</t>
  </si>
  <si>
    <t>_EAGTLK(ac)PEELLPIPTGK_</t>
  </si>
  <si>
    <t>EAGTLK(1)PEELLPIPTGK</t>
  </si>
  <si>
    <t>EAGTLK(34.91)PEELLPIPTGK(-34.91)</t>
  </si>
  <si>
    <t>_SLLK(ac)NLGDEEK_</t>
  </si>
  <si>
    <t>SLLK(1)NLGDEEK</t>
  </si>
  <si>
    <t>SLLK(80.76)NLGDEEK(-80.76)</t>
  </si>
  <si>
    <t>P38100</t>
  </si>
  <si>
    <t>&gt;sp|P38100|CARB_PSEAE Carbamoyl-phosphate synthase large chain OS=Pseudomonas aeruginosa (strain ATCC 15692 / PAO1 / 1C / PRS 101 / LMG 12228) GN=carB PE=3 SV=3;&gt;tr|U5R3I2|U5R3I2_PSEAE Carbamoyl-phosphate synthase large chain OS=Pseudomonas aeruginosa PAO1</t>
  </si>
  <si>
    <t>_VLPVYK(ac)R_</t>
  </si>
  <si>
    <t>VLPVYK(1)R</t>
  </si>
  <si>
    <t>VLPVYK(94.16)R</t>
  </si>
  <si>
    <t>Q9HYT5</t>
  </si>
  <si>
    <t>&gt;tr|Q9HYT5|Q9HYT5_PSEAE Universal stress protein OS=Pseudomonas aeruginosa (strain ATCC 15692 / PAO1 / 1C / PRS 101 / LMG 12228) GN=PA3309 PE=3 SV=1;&gt;tr|U5QZM8|U5QZM8_PSEAE Universal stress protein OS=Pseudomonas aeruginosa PAO1-VE2 GN=N296_3428 PE=3 SV=1;</t>
  </si>
  <si>
    <t>_EAALK(ac)AADDVLAK_</t>
  </si>
  <si>
    <t>EAALK(1)AADDVLAK</t>
  </si>
  <si>
    <t>EAALK(27.34)AADDVLAK(-27.34)</t>
  </si>
  <si>
    <t>_EALELRDGDK(ac)SR_</t>
  </si>
  <si>
    <t>EALELRDGDK(1)SR</t>
  </si>
  <si>
    <t>EALELRDGDK(78.34)SR</t>
  </si>
  <si>
    <t>_HGGGAFSGK(ac)DPSK_</t>
  </si>
  <si>
    <t>HGGGAFSGK(1)DPSK</t>
  </si>
  <si>
    <t>HGGGAFSGK(63.73)DPSK(-63.73)</t>
  </si>
  <si>
    <t>_GIEEQMK(ac)NGVVAGYPLIGLK_</t>
  </si>
  <si>
    <t>GIEEQMK(1)NGVVAGYPLIGLK</t>
  </si>
  <si>
    <t>GIEEQMK(45.7)NGVVAGYPLIGLK(-45.7)</t>
  </si>
  <si>
    <t>_VLTK(ac)QGLNIR_</t>
  </si>
  <si>
    <t>VLTK(1)QGLNIR</t>
  </si>
  <si>
    <t>VLTK(103.55)QGLNIR</t>
  </si>
  <si>
    <t>_QK(ac)IEATLR_</t>
  </si>
  <si>
    <t>QK(1)IEATLR</t>
  </si>
  <si>
    <t>QK(95.53)IEATLR</t>
  </si>
  <si>
    <t>Q9HXN2</t>
  </si>
  <si>
    <t xml:space="preserve">&gt;sp|Q9HXN2|PUR4_PSEAE Phosphoribosylformylglycinamidine synthase OS=Pseudomonas aeruginosa (strain ATCC 15692 / PAO1 / 1C / PRS 101 / LMG 12228) GN=purL PE=3 SV=1;&gt;tr|U5QW84|U5QW84_PSEAE Phosphoribosylformylglycinamidine synthase OS=Pseudomonas aeruginosa </t>
  </si>
  <si>
    <t>_DSMSMK(ac)TR_</t>
  </si>
  <si>
    <t>DSMSMK(1)TR</t>
  </si>
  <si>
    <t>DSMSMK(116.73)TR</t>
  </si>
  <si>
    <t>_TREGNDFYHEMK(ac)DSNVLDK_</t>
  </si>
  <si>
    <t>TREGNDFYHEMK(1)DSNVLDK</t>
  </si>
  <si>
    <t>TREGNDFYHEMK(60.03)DSNVLDK(-60.03)</t>
  </si>
  <si>
    <t>Q9HZA3</t>
  </si>
  <si>
    <t>&gt;sp|Q9HZA3|LEUC_PSEAE 3-isopropylmalate dehydratase large subunit OS=Pseudomonas aeruginosa (strain ATCC 15692 / PAO1 / 1C / PRS 101 / LMG 12228) GN=leuC PE=3 SV=1;&gt;tr|U5R6L3|U5R6L3_PSEAE 3-isopropylmalate dehydratase large subunit OS=Pseudomonas aeruginos</t>
  </si>
  <si>
    <t>_ALK(ac)YMGLRPNQAITDIQLDR_</t>
  </si>
  <si>
    <t>ALK(1)YMGLRPNQAITDIQLDR</t>
  </si>
  <si>
    <t>ALK(62.77)YMGLRPNQAITDIQLDR</t>
  </si>
  <si>
    <t>Q9HVV3</t>
  </si>
  <si>
    <t>&gt;sp|Q9HVV3|Y4465_PSEAE UPF0042 nucleotide-binding protein PA4465 OS=Pseudomonas aeruginosa (strain ATCC 15692 / PAO1 / 1C / PRS 101 / LMG 12228) GN=PA4465 PE=3 SV=1;&gt;tr|U5QZ32|U5QZ32_PSEAE UPF0042 nucleotide-binding protein N296_4611 OS=Pseudomonas aerugin</t>
  </si>
  <si>
    <t>_LLNKPEPGTAFLVESFGFK(ac)R_</t>
  </si>
  <si>
    <t>LLNK(0.078)PEPGTAFLVESFGFK(0.922)R</t>
  </si>
  <si>
    <t>LLNK(-10.75)PEPGTAFLVESFGFK(10.75)R</t>
  </si>
  <si>
    <t>Q9HWD6</t>
  </si>
  <si>
    <t>&gt;sp|Q9HWD6|RL4_PSEAE 50S ribosomal protein L4 OS=Pseudomonas aeruginosa (strain ATCC 15692 / PAO1 / 1C / PRS 101 / LMG 12228) GN=rplD PE=3 SV=1;&gt;tr|U5R0U3|U5R0U3_PSEAE 50S ribosomal protein L4 OS=Pseudomonas aeruginosa PAO1-VE2 GN=rplD PE=3 SV=1;&gt;tr|U5RQ35</t>
  </si>
  <si>
    <t>_GGGTTFAAK(ac)PR_</t>
  </si>
  <si>
    <t>GGGTTFAAK(1)PR</t>
  </si>
  <si>
    <t>GGGTTFAAK(49.5)PR</t>
  </si>
  <si>
    <t>Q9HTN9</t>
  </si>
  <si>
    <t>&gt;sp|Q9HTN9|RL33_PSEAE 50S ribosomal protein L33 OS=Pseudomonas aeruginosa (strain ATCC 15692 / PAO1 / 1C / PRS 101 / LMG 12228) GN=rpmG PE=1 SV=1;&gt;tr|U5QZP9|U5QZP9_PSEAE 50S ribosomal protein L33 OS=Pseudomonas aeruginosa PAO1-VE2 GN=rpmG PE=3 SV=1;&gt;tr|U5R</t>
  </si>
  <si>
    <t>_QHVIYK(ac)EAK_</t>
  </si>
  <si>
    <t>QHVIYK(1)EAK</t>
  </si>
  <si>
    <t>QHVIYK(68.02)EAK(-68.02)</t>
  </si>
  <si>
    <t>Q9HT52</t>
  </si>
  <si>
    <t>&gt;tr|Q9HT52|Q9HT52_PSEAE Probable short-chain dehydrogenase OS=Pseudomonas aeruginosa (strain ATCC 15692 / PAO1 / 1C / PRS 101 / LMG 12228) GN=PA5521 PE=3 SV=1;&gt;tr|U5QYN0|U5QYN0_PSEAE Short chain dehydrogenase family protein OS=Pseudomonas aeruginosa PAO1-V</t>
  </si>
  <si>
    <t>_IAATDVDK(ac)EGLHALNAQVPLDASGVADLR_</t>
  </si>
  <si>
    <t>IAATDVDK(1)EGLHALNAQVPLDASGVADLR</t>
  </si>
  <si>
    <t>IAATDVDK(53.47)EGLHALNAQVPLDASGVADLR</t>
  </si>
  <si>
    <t>O68283</t>
  </si>
  <si>
    <t>&gt;sp|O68283|ALKD_PSEAE 2-dehydro-3-deoxy-phosphogluconate aldolase OS=Pseudomonas aeruginosa (strain ATCC 15692 / PAO1 / 1C / PRS 101 / LMG 12228) GN=eda PE=3 SV=2;&gt;tr|U5R7T2|U5R7T2_PSEAE Aldolase OS=Pseudomonas aeruginosa PAO1-VE13 GN=eda PE=4 SV=1;&gt;tr|U5R</t>
  </si>
  <si>
    <t>_FK(ac)LFPAEVSGGPAALK_</t>
  </si>
  <si>
    <t>FK(1)LFPAEVSGGPAALK</t>
  </si>
  <si>
    <t>FK(92.06)LFPAEVSGGPAALK(-92.06)</t>
  </si>
  <si>
    <t>Q9I6J2</t>
  </si>
  <si>
    <t>&gt;tr|Q9I6J2|Q9I6J2_PSEAE Putrescine aminotransferase OS=Pseudomonas aeruginosa (strain ATCC 15692 / PAO1 / 1C / PRS 101 / LMG 12228) GN=spuC PE=3 SV=1;&gt;tr|U5QX29|U5QX29_PSEAE Beta-eliminating lyase family protein OS=Pseudomonas aeruginosa PAO1-VE2 GN=N296_3</t>
  </si>
  <si>
    <t>_FTDK(ac)GVGMLCR_</t>
  </si>
  <si>
    <t>FTDK(1)GVGMLCR</t>
  </si>
  <si>
    <t>FTDK(48)GVGMLCR</t>
  </si>
  <si>
    <t>_VPDFPEDPQTDEEK(ac)EVR_</t>
  </si>
  <si>
    <t>VPDFPEDPQTDEEK(1)EVR</t>
  </si>
  <si>
    <t>VPDFPEDPQTDEEK(62.38)EVR</t>
  </si>
  <si>
    <t>_AGSPEAEK(ac)VIK_</t>
  </si>
  <si>
    <t>AGSPEAEK(1)VIK</t>
  </si>
  <si>
    <t>AGSPEAEK(65.5)VIK(-65.5)</t>
  </si>
  <si>
    <t>_HLNEFTVK(ac)APEDVTLMDVSPK_</t>
  </si>
  <si>
    <t>HLNEFTVK(1)APEDVTLMDVSPK</t>
  </si>
  <si>
    <t>HLNEFTVK(64.72)APEDVTLMDVSPK(-64.72)</t>
  </si>
  <si>
    <t>Q9HW04</t>
  </si>
  <si>
    <t>&gt;sp|Q9HW04|ARGJ_PSEAE Arginine biosynthesis bifunctional protein ArgJ OS=Pseudomonas aeruginosa (strain ATCC 15692 / PAO1 / 1C / PRS 101 / LMG 12228) GN=argJ PE=3 SV=1;&gt;tr|U5QSP6|U5QSP6_PSEAE Arginine biosynthesis bifunctional protein ArgJ OS=Pseudomonas a</t>
  </si>
  <si>
    <t>_DAANK(ac)SFNR_</t>
  </si>
  <si>
    <t>DAANK(1)SFNR</t>
  </si>
  <si>
    <t>DAANK(17.44)SFNR</t>
  </si>
  <si>
    <t>Q9HYU3</t>
  </si>
  <si>
    <t>&gt;tr|Q9HYU3|Q9HYU3_PSEAE Long-chain-fatty-acid--CoA ligase OS=Pseudomonas aeruginosa (strain ATCC 15692 / PAO1 / 1C / PRS 101 / LMG 12228) GN=fadD2 PE=4 SV=1;&gt;tr|U5QYH0|U5QYH0_PSEAE AMP-binding enzyme family protein OS=Pseudomonas aeruginosa PAO1-VE2 GN=N29</t>
  </si>
  <si>
    <t>_VASCAAVGIPDEK(ac)SGEAVK_</t>
  </si>
  <si>
    <t>VASCAAVGIPDEK(1)SGEAVK</t>
  </si>
  <si>
    <t>VASCAAVGIPDEK(26.15)SGEAVK(-26.15)</t>
  </si>
  <si>
    <t>_AK(ac)IFSQVGK_</t>
  </si>
  <si>
    <t>AK(1)IFSQVGK</t>
  </si>
  <si>
    <t>AK(49.44)IFSQVGK(-49.44)</t>
  </si>
  <si>
    <t>_AALNEELEK(ac)IEK_</t>
  </si>
  <si>
    <t>AALNEELEK(1)IEK</t>
  </si>
  <si>
    <t>AALNEELEK(77.64)IEK(-77.64)</t>
  </si>
  <si>
    <t>Q9I5W0</t>
  </si>
  <si>
    <t>&gt;sp|Q9I5W0|DNAG_PSEAE DNA primase OS=Pseudomonas aeruginosa (strain ATCC 15692 / PAO1 / 1C / PRS 101 / LMG 12228) GN=dnaG PE=3 SV=1;&gt;tr|U5QUN0|U5QUN0_PSEAE DNA primase OS=Pseudomonas aeruginosa PAO1-VE2 GN=dnaG PE=3 SV=1;&gt;tr|U5RFV8|U5RFV8_PSEAE DNA primase</t>
  </si>
  <si>
    <t>_PK(ac)YLNSPETPVFHK_</t>
  </si>
  <si>
    <t>PK(1)YLNSPETPVFHK</t>
  </si>
  <si>
    <t>PK(49.31)YLNSPETPVFHK(-49.31)</t>
  </si>
  <si>
    <t>P30720</t>
  </si>
  <si>
    <t>&gt;sp|P30720|CH10_PSEAE 10 kDa chaperonin OS=Pseudomonas aeruginosa (strain ATCC 15692 / PAO1 / 1C / PRS 101 / LMG 12228) GN=groS PE=3 SV=1;&gt;tr|U5R2M3|U5R2M3_PSEAE 10 kDa chaperonin OS=Pseudomonas aeruginosa PAO1-VE2 GN=groS PE=3 SV=1;&gt;tr|U5RFP5|U5RFP5_PSEAE</t>
  </si>
  <si>
    <t>_VGDK(ac)VVFGPYSGSNAIK_</t>
  </si>
  <si>
    <t>VGDK(1)VVFGPYSGSNAIK</t>
  </si>
  <si>
    <t>VGDK(54.81)VVFGPYSGSNAIK(-54.81)</t>
  </si>
  <si>
    <t>Q9HZM9</t>
  </si>
  <si>
    <t>&gt;sp|Q9HZM9|RLUC_PSEAE Ribosomal large subunit pseudouridine synthase C OS=Pseudomonas aeruginosa (strain ATCC 15692 / PAO1 / 1C / PRS 101 / LMG 12228) GN=rluC PE=3 SV=1;&gt;tr|U5R1B3|U5R1B3_PSEAE Pseudouridine synthase OS=Pseudomonas aeruginosa PAO1-VE2 GN=N2</t>
  </si>
  <si>
    <t>_APLLK(ac)NNLR_</t>
  </si>
  <si>
    <t>APLLK(1)NNLR</t>
  </si>
  <si>
    <t>APLLK(91.07)NNLR</t>
  </si>
  <si>
    <t>Q9HU19</t>
  </si>
  <si>
    <t>&gt;tr|Q9HU19|Q9HU19_PSEAE Probable two-component response regulator OS=Pseudomonas aeruginosa (strain ATCC 15692 / PAO1 / 1C / PRS 101 / LMG 12228) GN=PA5166 PE=4 SV=1;&gt;tr|U5QWR9|U5QWR9_PSEAE AAA domain family protein OS=Pseudomonas aeruginosa PAO1-VE2 GN=N2</t>
  </si>
  <si>
    <t>_TLHDK(ac)LR_</t>
  </si>
  <si>
    <t>TLHDK(1)LR</t>
  </si>
  <si>
    <t>TLHDK(16.96)LR</t>
  </si>
  <si>
    <t>_GGMVAYSDPHVPVFPK(ac)MR_</t>
  </si>
  <si>
    <t>GGMVAYSDPHVPVFPK(1)MR</t>
  </si>
  <si>
    <t>GGMVAYSDPHVPVFPK(42.34)MR</t>
  </si>
  <si>
    <t>P95459</t>
  </si>
  <si>
    <t>&gt;sp|P95459|CSPA_PSEAE Major cold shock protein CspA OS=Pseudomonas aeruginosa (strain ATCC 15692 / PAO1 / 1C / PRS 101 / LMG 12228) GN=cspA PE=2 SV=1;&gt;tr|U5QW44|U5QW44_PSEAE Cold shock protein CapB OS=Pseudomonas aeruginosa PAO1-VE2 GN=capB PE=3 SV=1;&gt;tr|U</t>
  </si>
  <si>
    <t>_QNGTVK(ac)WFNDAK_</t>
  </si>
  <si>
    <t>QNGTVK(1)WFNDAK</t>
  </si>
  <si>
    <t>QNGTVK(31.72)WFNDAK(-31.72)</t>
  </si>
  <si>
    <t>Q9HU65</t>
  </si>
  <si>
    <t>&gt;sp|Q9HU65|GLNA_PSEAE Glutamine synthetase OS=Pseudomonas aeruginosa (strain ATCC 15692 / PAO1 / 1C / PRS 101 / LMG 12228) GN=glnA PE=1 SV=1;&gt;tr|U5R2I1|U5R2I1_PSEAE Glutamine synthetase OS=Pseudomonas aeruginosa PAO1-VE2 GN=glnA PE=3 SV=1;&gt;tr|U5RM26|U5RM26</t>
  </si>
  <si>
    <t>_EIPQVCGSLK(ac)EALEELDK_</t>
  </si>
  <si>
    <t>EIPQVCGSLK(1)EALEELDK</t>
  </si>
  <si>
    <t>EIPQVCGSLK(26.15)EALEELDK(-26.15)</t>
  </si>
  <si>
    <t>_LAETAEK(ac)NDR_</t>
  </si>
  <si>
    <t>LAETAEK(1)NDR</t>
  </si>
  <si>
    <t>LAETAEK(105.4)NDR</t>
  </si>
  <si>
    <t>_IDK(ac)PEANPDNIK_</t>
  </si>
  <si>
    <t>IDK(1)PEANPDNIK</t>
  </si>
  <si>
    <t>IDK(27.86)PEANPDNIK(-27.86)</t>
  </si>
  <si>
    <t>Q9HTE2</t>
  </si>
  <si>
    <t>&gt;tr|Q9HTE2|Q9HTE2_PSEAE Uncharacterized protein OS=Pseudomonas aeruginosa (strain ATCC 15692 / PAO1 / 1C / PRS 101 / LMG 12228) GN=PA5422 PE=4 SV=1;&gt;tr|U5R4A3|U5R4A3_PSEAE Aldose 1-epimerase family protein OS=Pseudomonas aeruginosa PAO1-VE2 GN=N296_5608 PE</t>
  </si>
  <si>
    <t>_SAVVWNPWVDK(ac)SR_</t>
  </si>
  <si>
    <t>SAVVWNPWVDK(1)SR</t>
  </si>
  <si>
    <t>SAVVWNPWVDK(62.14)SR</t>
  </si>
  <si>
    <t>P23189</t>
  </si>
  <si>
    <t>&gt;sp|P23189|GSHR_PSEAE Glutathione reductase OS=Pseudomonas aeruginosa (strain ATCC 15692 / PAO1 / 1C / PRS 101 / LMG 12228) GN=gor PE=3 SV=1;&gt;tr|U5QZ12|U5QZ12_PSEAE Pyridine nucleotide-disulfide oxidoreductase family protein OS=Pseudomonas aeruginosa PAO1-</t>
  </si>
  <si>
    <t>_LTLTDDQEK(ac)TLMK_</t>
  </si>
  <si>
    <t>LTLTDDQEK(1)TLMK</t>
  </si>
  <si>
    <t>LTLTDDQEK(107.18)TLMK(-107.18)</t>
  </si>
  <si>
    <t>O68822</t>
  </si>
  <si>
    <t>&gt;sp|O68822|AMPA_PSEAE Cytosol aminopeptidase OS=Pseudomonas aeruginosa (strain ATCC 15692 / PAO1 / 1C / PRS 101 / LMG 12228) GN=pepA PE=3 SV=1;&gt;tr|U5QZP2|U5QZP2_PSEAE Probable cytosol aminopeptidase OS=Pseudomonas aeruginosa PAO1-VE2 GN=pepA PE=3 SV=1;&gt;tr|</t>
  </si>
  <si>
    <t>_VGQTLLLQSLPNLK(ac)AER_</t>
  </si>
  <si>
    <t>VGQTLLLQSLPNLK(1)AER</t>
  </si>
  <si>
    <t>VGQTLLLQSLPNLK(45.14)AER</t>
  </si>
  <si>
    <t>_GEGLGNK(ac)FLANIR_</t>
  </si>
  <si>
    <t>GEGLGNK(1)FLANIR</t>
  </si>
  <si>
    <t>GEGLGNK(131.43)FLANIR</t>
  </si>
  <si>
    <t>Q9I525</t>
  </si>
  <si>
    <t>&gt;sp|Q9I525|RLMD_PSEAE 23S rRNA (uracil(1939)-C(5))-methyltransferase RlmD OS=Pseudomonas aeruginosa (strain ATCC 15692 / PAO1 / 1C / PRS 101 / LMG 12228) GN=rlmD PE=3 SV=1;&gt;tr|U5QZ63|U5QZ63_PSEAE 23S rRNA (uracil(1939)-C(5))-methyltransferase RlmD OS=Pseud</t>
  </si>
  <si>
    <t>_SK(ac)VVDARSER_</t>
  </si>
  <si>
    <t>SK(1)VVDARSER</t>
  </si>
  <si>
    <t>SK(17.47)VVDARSER</t>
  </si>
  <si>
    <t>Q9I5V1</t>
  </si>
  <si>
    <t>&gt;tr|Q9I5V1|Q9I5V1_PSEAE Uncharacterized protein OS=Pseudomonas aeruginosa (strain ATCC 15692 / PAO1 / 1C / PRS 101 / LMG 12228) GN=PA0586 PE=4 SV=1;&gt;tr|U5R8J6|U5R8J6_PSEAE SpoVR like family protein OS=Pseudomonas aeruginosa PAO1-VE2 GN=N296_601 PE=4 SV=1;&gt;</t>
  </si>
  <si>
    <t>_FAMK(ac)SFK_</t>
  </si>
  <si>
    <t>FAMK(1)SFK</t>
  </si>
  <si>
    <t>FAMK(54.41)SFK(-54.41)</t>
  </si>
  <si>
    <t>Q9HWE5</t>
  </si>
  <si>
    <t>&gt;sp|Q9HWE5|RL14_PSEAE 50S ribosomal protein L14 OS=Pseudomonas aeruginosa (strain ATCC 15692 / PAO1 / 1C / PRS 101 / LMG 12228) GN=rplN PE=3 SV=1;&gt;tr|U5QZV9|U5QZV9_PSEAE 50S ribosomal protein L14 OS=Pseudomonas aeruginosa PAO1-VE2 GN=rplN PE=3 SV=1;&gt;tr|U5R</t>
  </si>
  <si>
    <t>_FDGNAAVLLNNK(ac)QEPIGTR_</t>
  </si>
  <si>
    <t>FDGNAAVLLNNK(1)QEPIGTR</t>
  </si>
  <si>
    <t>FDGNAAVLLNNK(69.19)QEPIGTR</t>
  </si>
  <si>
    <t>O87131</t>
  </si>
  <si>
    <t>&gt;sp|O87131|CHER1_PSEAE Chemotaxis protein methyltransferase 1 OS=Pseudomonas aeruginosa (strain ATCC 15692 / PAO1 / 1C / PRS 101 / LMG 12228) GN=cheR1 PE=3 SV=1;&gt;tr|U5RAW9|U5RAW9_PSEAE Chemotaxis protein methyltransferase OS=Pseudomonas aeruginosa PAO1-VE2</t>
  </si>
  <si>
    <t>_YFDAK(ac)GPGR_</t>
  </si>
  <si>
    <t>YFDAK(1)GPGR</t>
  </si>
  <si>
    <t>YFDAK(58.43)GPGR</t>
  </si>
  <si>
    <t>_LPFYKPEEGSAEAK(ac)YLAER_</t>
  </si>
  <si>
    <t>LPFYKPEEGSAEAK(1)YLAER</t>
  </si>
  <si>
    <t>LPFYK(-37.97)PEEGSAEAK(37.97)YLAER</t>
  </si>
  <si>
    <t>_EVK(ac)FGDSARK_</t>
  </si>
  <si>
    <t>EVK(1)FGDSARK</t>
  </si>
  <si>
    <t>EVK(27.48)FGDSARK(-27.48)</t>
  </si>
  <si>
    <t>Q9I0A3</t>
  </si>
  <si>
    <t>&gt;sp|Q9I0A3|SYFA_PSEAE Phenylalanine--tRNA ligase alpha subunit OS=Pseudomonas aeruginosa (strain ATCC 15692 / PAO1 / 1C / PRS 101 / LMG 12228) GN=pheS PE=3 SV=1;&gt;tr|U5R4Y5|U5R4Y5_PSEAE Phenylalanine--tRNA ligase alpha subunit OS=Pseudomonas aeruginosa PAO1</t>
  </si>
  <si>
    <t>_EK(ac)VQDVLNAR_</t>
  </si>
  <si>
    <t>EK(1)VQDVLNAR</t>
  </si>
  <si>
    <t>EK(59.43)VQDVLNAR</t>
  </si>
  <si>
    <t>_SLEQDDK(ac)LKK_</t>
  </si>
  <si>
    <t>SLEQDDK(0.873)LK(0.127)K</t>
  </si>
  <si>
    <t>SLEQDDK(8.38)LK(-8.38)K(-42.34)</t>
  </si>
  <si>
    <t>_GLK(ac)NMQAPEAVAAK_</t>
  </si>
  <si>
    <t>GLK(1)NMQAPEAVAAK</t>
  </si>
  <si>
    <t>GLK(14.6)NMQAPEAVAAK(-14.6)</t>
  </si>
  <si>
    <t>_IDYPK(ac)PDGK_</t>
  </si>
  <si>
    <t>IDYPK(1)PDGK</t>
  </si>
  <si>
    <t>IDYPK(24.88)PDGK(-24.88)</t>
  </si>
  <si>
    <t>P13982</t>
  </si>
  <si>
    <t>&gt;sp|P13982|ARCC_PSEAE Carbamate kinase OS=Pseudomonas aeruginosa (strain ATCC 15692 / PAO1 / 1C / PRS 101 / LMG 12228) GN=arcC PE=3 SV=1;&gt;tr|U5R5S4|U5R5S4_PSEAE Carbamate kinase OS=Pseudomonas aeruginosa PAO1-VE2 GN=arcC PE=3 SV=1;&gt;tr|U5RIF4|U5RIF4_PSEAE C</t>
  </si>
  <si>
    <t>_LAAEK(ac)GWSIAPDGDK_</t>
  </si>
  <si>
    <t>LAAEK(1)GWSIAPDGDK</t>
  </si>
  <si>
    <t>LAAEK(40.02)GWSIAPDGDK(-40.02)</t>
  </si>
  <si>
    <t>P14165</t>
  </si>
  <si>
    <t>&gt;sp|P14165|CISY_PSEAE Citrate synthase OS=Pseudomonas aeruginosa (strain ATCC 15692 / PAO1 / 1C / PRS 101 / LMG 12228) GN=gltA PE=3 SV=2;&gt;tr|U5R6C7|U5R6C7_PSEAE Citrate synthase OS=Pseudomonas aeruginosa PAO1-VE2 GN=gltA PE=3 SV=1;&gt;tr|U5RE71|U5RE71_PSEAE C</t>
  </si>
  <si>
    <t>_ITYIDGDK(ac)GVLLHR_</t>
  </si>
  <si>
    <t>ITYIDGDK(1)GVLLHR</t>
  </si>
  <si>
    <t>ITYIDGDK(122.42)GVLLHR</t>
  </si>
  <si>
    <t>Q9HTR6</t>
  </si>
  <si>
    <t xml:space="preserve">&gt;tr|Q9HTR6|Q9HTR6_PSEAE Nitrogen regulatory protein P-II 2 OS=Pseudomonas aeruginosa (strain ATCC 15692 / PAO1 / 1C / PRS 101 / LMG 12228) GN=glnK PE=3 SV=1;&gt;tr|U5R0P7|U5R0P7_PSEAE Nitrogen regulatory P-II family protein OS=Pseudomonas aeruginosa PAO1-VE2 </t>
  </si>
  <si>
    <t>_PFK(ac)LDDVR_</t>
  </si>
  <si>
    <t>PFK(1)LDDVR</t>
  </si>
  <si>
    <t>PFK(83.26)LDDVR</t>
  </si>
  <si>
    <t>_GLGEK(ac)INR_</t>
  </si>
  <si>
    <t>GLGEK(1)INR</t>
  </si>
  <si>
    <t>GLGEK(79.71)INR</t>
  </si>
  <si>
    <t>P50598</t>
  </si>
  <si>
    <t>&gt;sp|P50598|TOLQ_PSEAE Protein TolQ OS=Pseudomonas aeruginosa (strain ATCC 15692 / PAO1 / 1C / PRS 101 / LMG 12228) GN=tolQ PE=3 SV=1;&gt;tr|U5R4S7|U5R4S7_PSEAE Protein TolQ OS=Pseudomonas aeruginosa PAO1-VE2 GN=tolQ PE=3 SV=1;&gt;tr|U5RMU8|U5RMU8_PSEAE Protein T</t>
  </si>
  <si>
    <t>_AGFK(ac)EFSR_</t>
  </si>
  <si>
    <t>AGFK(1)EFSR</t>
  </si>
  <si>
    <t>AGFK(101.99)EFSR</t>
  </si>
  <si>
    <t>Q9HUK1</t>
  </si>
  <si>
    <t>&gt;sp|Q9HUK1|PARC_PSEAE DNA topoisomerase 4 subunit A OS=Pseudomonas aeruginosa (strain ATCC 15692 / PAO1 / 1C / PRS 101 / LMG 12228) GN=parC PE=3 SV=1;&gt;tr|U5R2D5|U5R2D5_PSEAE DNA topoisomerase 4 subunit A OS=Pseudomonas aeruginosa PAO1-VE2 GN=parC PE=3 SV=1</t>
  </si>
  <si>
    <t>_IRGEQEELLK(ac)EQK_</t>
  </si>
  <si>
    <t>IRGEQEELLK(1)EQK</t>
  </si>
  <si>
    <t>IRGEQEELLK(60.4)EQK(-60.4)</t>
  </si>
  <si>
    <t>Q9HX33</t>
  </si>
  <si>
    <t>&gt;sp|Q9HX33|SYL_PSEAE Leucine--tRNA ligase OS=Pseudomonas aeruginosa (strain ATCC 15692 / PAO1 / 1C / PRS 101 / LMG 12228) GN=leuS PE=3 SV=1;&gt;tr|U5R216|U5R216_PSEAE Leucine--tRNA ligase OS=Pseudomonas aeruginosa PAO1-VE2 GN=leuS PE=3 SV=1;&gt;tr|U5RLX5|U5RLX5_</t>
  </si>
  <si>
    <t>_FYCLSMFPYPSGK(ac)LHMGHVR_</t>
  </si>
  <si>
    <t>FYCLSMFPYPSGK(1)LHMGHVR</t>
  </si>
  <si>
    <t>FYCLSMFPYPSGK(55.33)LHMGHVR</t>
  </si>
  <si>
    <t>_PFIFGK(ac)LEGR_</t>
  </si>
  <si>
    <t>PFIFGK(1)LEGR</t>
  </si>
  <si>
    <t>PFIFGK(101.46)LEGR</t>
  </si>
  <si>
    <t>_LADNEPLLMK(ac)LAK_</t>
  </si>
  <si>
    <t>LADNEPLLMK(1)LAK</t>
  </si>
  <si>
    <t>LADNEPLLMK(45.28)LAK(-45.28)</t>
  </si>
  <si>
    <t>_GDQIK(ac)QFTHIFVGLAK_</t>
  </si>
  <si>
    <t>GDQIK(1)QFTHIFVGLAK</t>
  </si>
  <si>
    <t>GDQIK(85.73)QFTHIFVGLAK(-85.73)</t>
  </si>
  <si>
    <t>_TLEDAAGELK(ac)R_</t>
  </si>
  <si>
    <t>TLEDAAGELK(1)R</t>
  </si>
  <si>
    <t>TLEDAAGELK(107.83)R</t>
  </si>
  <si>
    <t>Q9HV43</t>
  </si>
  <si>
    <t>&gt;sp|Q9HV43|DNAK_PSEAE Chaperone protein DnaK OS=Pseudomonas aeruginosa (strain ATCC 15692 / PAO1 / 1C / PRS 101 / LMG 12228) GN=dnaK PE=1 SV=1;&gt;tr|U5QSM8|U5QSM8_PSEAE Chaperone protein DnaK OS=Pseudomonas aeruginosa PAO1-VE2 GN=dnaK PE=3 SV=1;&gt;tr|U5RC89|U5</t>
  </si>
  <si>
    <t>_LIDYLVDEFK(ac)K_</t>
  </si>
  <si>
    <t>LIDYLVDEFK(1)K</t>
  </si>
  <si>
    <t>LIDYLVDEFK(93.06)K(-93.06)</t>
  </si>
  <si>
    <t>_K(ac)VIDQALDAGTR_</t>
  </si>
  <si>
    <t>K(1)VIDQALDAGTR</t>
  </si>
  <si>
    <t>K(66.26)VIDQALDAGTR</t>
  </si>
  <si>
    <t>_HAAQGLEEK(ac)K_</t>
  </si>
  <si>
    <t>HAAQGLEEK(1)K</t>
  </si>
  <si>
    <t>HAAQGLEEK(117.7)K(-117.7)</t>
  </si>
  <si>
    <t>Q9HYC7</t>
  </si>
  <si>
    <t>&gt;sp|Q9HYC7|SYM_PSEAE Methionine--tRNA ligase OS=Pseudomonas aeruginosa (strain ATCC 15692 / PAO1 / 1C / PRS 101 / LMG 12228) GN=metG PE=3 SV=1;&gt;tr|U5R427|U5R427_PSEAE Methionine--tRNA ligase OS=Pseudomonas aeruginosa PAO1-VE2 GN=metG PE=3 SV=1;&gt;tr|U5RDT3|U</t>
  </si>
  <si>
    <t>_RNVFSGIK(ac)SAYPDPSALEGR_</t>
  </si>
  <si>
    <t>RNVFSGIK(1)SAYPDPSALEGR</t>
  </si>
  <si>
    <t>RNVFSGIK(64.83)SAYPDPSALEGR</t>
  </si>
  <si>
    <t>_GQWFK(ac)LR_</t>
  </si>
  <si>
    <t>GQWFK(1)LR</t>
  </si>
  <si>
    <t>GQWFK(108.24)LR</t>
  </si>
  <si>
    <t>_GIIHK(ac)NK_</t>
  </si>
  <si>
    <t>GIIHK(1)NK</t>
  </si>
  <si>
    <t>GIIHK(44.69)NK(-44.69)</t>
  </si>
  <si>
    <t>O50274</t>
  </si>
  <si>
    <t>&gt;sp|O50274|CYSNC_PSEAE Bifunctional enzyme CysN/CysC OS=Pseudomonas aeruginosa (strain ATCC 15692 / PAO1 / 1C / PRS 101 / LMG 12228) GN=cysNC PE=3 SV=1;&gt;tr|U5R151|U5R151_PSEAE Sulfate adenylate transferase, subunit 1/adenylylsulfate kinase OS=Pseudomonas a</t>
  </si>
  <si>
    <t>_TPGSELK(ac)LNEIAR_</t>
  </si>
  <si>
    <t>TPGSELK(1)LNEIAR</t>
  </si>
  <si>
    <t>TPGSELK(137.16)LNEIAR</t>
  </si>
  <si>
    <t>_DLSDEEIWK(ac)LNR_</t>
  </si>
  <si>
    <t>DLSDEEIWK(1)LNR</t>
  </si>
  <si>
    <t>DLSDEEIWK(38.02)LNR</t>
  </si>
  <si>
    <t>Q9HVY5</t>
  </si>
  <si>
    <t xml:space="preserve">&gt;tr|Q9HVY5|Q9HVY5_PSEAE Cytochrome b OS=Pseudomonas aeruginosa (strain ATCC 15692 / PAO1 / 1C / PRS 101 / LMG 12228) GN=PA4430 PE=3 SV=1;&gt;tr|U5QS48|U5QS48_PSEAE Cytochrome b OS=Pseudomonas aeruginosa PAO1-VE2 GN=N296_4575 PE=3 SV=1;&gt;tr|U5RAR1|U5RAR1_PSEAE </t>
  </si>
  <si>
    <t>_FPATK(ac)MWEDHLSK_</t>
  </si>
  <si>
    <t>FPATK(1)MWEDHLSK</t>
  </si>
  <si>
    <t>FPATK(31.67)MWEDHLSK(-31.67)</t>
  </si>
  <si>
    <t>O82850</t>
  </si>
  <si>
    <t>&gt;sp|O82850|RS2_PSEAE 30S ribosomal protein S2 OS=Pseudomonas aeruginosa (strain ATCC 15692 / PAO1 / 1C / PRS 101 / LMG 12228) GN=rpsB PE=3 SV=2;&gt;tr|U5R4H4|U5R4H4_PSEAE 30S ribosomal protein S2 OS=Pseudomonas aeruginosa PAO1-VE2 GN=rpsB PE=3 SV=1;&gt;tr|U5R769</t>
  </si>
  <si>
    <t>_SRDLEK(ac)LER_</t>
  </si>
  <si>
    <t>SRDLEK(1)LER</t>
  </si>
  <si>
    <t>SRDLEK(114.4)LER</t>
  </si>
  <si>
    <t>_TVGWISHWQEMLSGPYK(ac)IGRPR_</t>
  </si>
  <si>
    <t>TVGWISHWQEMLSGPYK(1)IGRPR</t>
  </si>
  <si>
    <t>TVGWISHWQEMLSGPYK(98.39)IGRPR</t>
  </si>
  <si>
    <t>_QIVANAGDEPSVVVDK(ac)VK_</t>
  </si>
  <si>
    <t>QIVANAGDEPSVVVDK(1)VK</t>
  </si>
  <si>
    <t>QIVANAGDEPSVVVDK(68.26)VK(-68.26)</t>
  </si>
  <si>
    <t>Q9HUQ5</t>
  </si>
  <si>
    <t>&gt;tr|Q9HUQ5|Q9HUQ5_PSEAE Uncharacterized protein OS=Pseudomonas aeruginosa (strain ATCC 15692 / PAO1 / 1C / PRS 101 / LMG 12228) GN=PA4908 PE=4 SV=1;&gt;tr|U5R6V4|U5R6V4_PSEAE Shikimate / quinate 5-dehydrogenase family protein OS=Pseudomonas aeruginosa PAO1-VE</t>
  </si>
  <si>
    <t>_DPAK(ac)AAALAAR_</t>
  </si>
  <si>
    <t>DPAK(1)AAALAAR</t>
  </si>
  <si>
    <t>DPAK(25.47)AAALAAR</t>
  </si>
  <si>
    <t>Q9HZP7</t>
  </si>
  <si>
    <t>&gt;sp|Q9HZP7|ETFA_PSEAE Electron transfer flavoprotein subunit alpha OS=Pseudomonas aeruginosa (strain ATCC 15692 / PAO1 / 1C / PRS 101 / LMG 12228) GN=etfA PE=3 SV=1;&gt;tr|U5QWI2|U5QWI2_PSEAE Electron transfer flavodomain protein OS=Pseudomonas aeruginosa PAO</t>
  </si>
  <si>
    <t>_ILYALADK(ac)LGAAVGASR_</t>
  </si>
  <si>
    <t>ILYALADK(1)LGAAVGASR</t>
  </si>
  <si>
    <t>ILYALADK(53.4)LGAAVGASR</t>
  </si>
  <si>
    <t>P50587</t>
  </si>
  <si>
    <t>&gt;sp|P50587|PYRE_PSEAE Orotate phosphoribosyltransferase OS=Pseudomonas aeruginosa (strain ATCC 15692 / PAO1 / 1C / PRS 101 / LMG 12228) GN=pyrE PE=3 SV=2;&gt;tr|U5R426|U5R426_PSEAE Orotate phosphoribosyltransferase OS=Pseudomonas aeruginosa PAO1-VE2 GN=pyrE P</t>
  </si>
  <si>
    <t>_FGEFTLK(ac)SGR_</t>
  </si>
  <si>
    <t>FGEFTLK(1)SGR</t>
  </si>
  <si>
    <t>FGEFTLK(79.97)SGR</t>
  </si>
  <si>
    <t>_TTANGGK(ac)DWFNPADVEVER_</t>
  </si>
  <si>
    <t>TTANGGK(1)DWFNPADVEVER</t>
  </si>
  <si>
    <t>TTANGGK(83.42)DWFNPADVEVER</t>
  </si>
  <si>
    <t>_PGTIK(ac)PHTK_</t>
  </si>
  <si>
    <t>PGTIK(1)PHTK</t>
  </si>
  <si>
    <t>PGTIK(76.22)PHTK(-76.22)</t>
  </si>
  <si>
    <t>_IYQRPFGGQSK(ac)DFGK_</t>
  </si>
  <si>
    <t>IYQRPFGGQSK(1)DFGK</t>
  </si>
  <si>
    <t>IYQRPFGGQSK(47.53)DFGK(-47.53)</t>
  </si>
  <si>
    <t>_KLGMDK(ac)H_</t>
  </si>
  <si>
    <t>K(0.001)LGMDK(0.999)H</t>
  </si>
  <si>
    <t>K(-29.33)LGMDK(29.33)H</t>
  </si>
  <si>
    <t>_DLLLGK(ac)DAADQK_</t>
  </si>
  <si>
    <t>DLLLGK(1)DAADQK</t>
  </si>
  <si>
    <t>DLLLGK(88.44)DAADQK(-88.44)</t>
  </si>
  <si>
    <t>Q9HU66</t>
  </si>
  <si>
    <t>&gt;sp|Q9HU66|THII_PSEAE tRNA sulfurtransferase OS=Pseudomonas aeruginosa (strain ATCC 15692 / PAO1 / 1C / PRS 101 / LMG 12228) GN=thiI PE=3 SV=1;&gt;tr|U5QS07|U5QS07_PSEAE tRNA sulfurtransferase OS=Pseudomonas aeruginosa PAO1-VE2 GN=thiI PE=3 SV=1;&gt;tr|U5RE03|U5</t>
  </si>
  <si>
    <t>_QYLLYCDK(ac)GVMSR_</t>
  </si>
  <si>
    <t>QYLLYCDK(1)GVMSR</t>
  </si>
  <si>
    <t>QYLLYCDK(26.97)GVMSR</t>
  </si>
  <si>
    <t>Q9I6Z2</t>
  </si>
  <si>
    <t>&gt;sp|Q9I6Z2|AHPF_PSEAE Alkyl hydroperoxide reductase subunit F OS=Pseudomonas aeruginosa (strain ATCC 15692 / PAO1 / 1C / PRS 101 / LMG 12228) GN=ahpF PE=3 SV=1;&gt;tr|U5R8U4|U5R8U4_PSEAE Alkyl hydroperoxide reductase subunit F OS=Pseudomonas aeruginosa PAO1-V</t>
  </si>
  <si>
    <t>_VTGLVYK(ac)DR_</t>
  </si>
  <si>
    <t>VTGLVYK(1)DR</t>
  </si>
  <si>
    <t>VTGLVYK(95.5)DR</t>
  </si>
  <si>
    <t>_FIEK(ac)AINHEIQR_</t>
  </si>
  <si>
    <t>FIEK(1)AINHEIQR</t>
  </si>
  <si>
    <t>FIEK(97.73)AINHEIQR</t>
  </si>
  <si>
    <t>Q9HWD4</t>
  </si>
  <si>
    <t>&gt;sp|Q9HWD4|RS10_PSEAE 30S ribosomal protein S10 OS=Pseudomonas aeruginosa (strain ATCC 15692 / PAO1 / 1C / PRS 101 / LMG 12228) GN=rpsJ PE=3 SV=1;&gt;tr|U5QWZ9|U5QWZ9_PSEAE 30S ribosomal protein S10 OS=Pseudomonas aeruginosa PAO1-VE2 GN=rpsJ PE=3 SV=1;&gt;tr|U5R</t>
  </si>
  <si>
    <t>_LIDQSTQEIVETAK(ac)R_</t>
  </si>
  <si>
    <t>LIDQSTQEIVETAK(1)R</t>
  </si>
  <si>
    <t>LIDQSTQEIVETAK(46.32)R</t>
  </si>
  <si>
    <t>Q9I3D4</t>
  </si>
  <si>
    <t xml:space="preserve">&gt;tr|Q9I3D4|Q9I3D4_PSEAE Succinate dehydrogenase (B subunit) OS=Pseudomonas aeruginosa (strain ATCC 15692 / PAO1 / 1C / PRS 101 / LMG 12228) GN=sdhB PE=4 SV=1;&gt;tr|U5R435|U5R435_PSEAE Succinate dehydrogenase and fumarate reductase iron-sulfur family protein </t>
  </si>
  <si>
    <t>_YNPDK(ac)DAAPYMQDFQVDTNGK_</t>
  </si>
  <si>
    <t>YNPDK(1)DAAPYMQDFQVDTNGK</t>
  </si>
  <si>
    <t>YNPDK(30.21)DAAPYMQDFQVDTNGK(-30.21)</t>
  </si>
  <si>
    <t>_GVIHAGRDDLNQYK(ac)SVFATETDK_</t>
  </si>
  <si>
    <t>GVIHAGRDDLNQYK(1)SVFATETDK</t>
  </si>
  <si>
    <t>GVIHAGRDDLNQYK(58.91)SVFATETDK(-58.91)</t>
  </si>
  <si>
    <t>Q9HWF3</t>
  </si>
  <si>
    <t>&gt;sp|Q9HWF3|RL30_PSEAE 50S ribosomal protein L30 OS=Pseudomonas aeruginosa (strain ATCC 15692 / PAO1 / 1C / PRS 101 / LMG 12228) GN=rpmD PE=1 SV=3;&gt;tr|U5R076|U5R076_PSEAE 50S ribosomal protein L30 OS=Pseudomonas aeruginosa PAO1-VE2 GN=rpmD PE=3 SV=1;&gt;tr|U5R</t>
  </si>
  <si>
    <t>_VTLVK(ac)SLNGR_</t>
  </si>
  <si>
    <t>VTLVK(1)SLNGR</t>
  </si>
  <si>
    <t>VTLVK(87.26)SLNGR</t>
  </si>
  <si>
    <t>Q9HV66</t>
  </si>
  <si>
    <t>&gt;sp|Q9HV66|ACSA2_PSEAE Acetyl-coenzyme A synthetase 2 OS=Pseudomonas aeruginosa (strain ATCC 15692 / PAO1 / 1C / PRS 101 / LMG 12228) GN=acsA2 PE=3 SV=1;&gt;tr|U5QZ52|U5QZ52_PSEAE Acetyl-coenzyme A synthetase OS=Pseudomonas aeruginosa PAO1-VE2 GN=acs PE=3 SV=</t>
  </si>
  <si>
    <t>_GGK(ac)YIPLK_</t>
  </si>
  <si>
    <t>GGK(1)YIPLK</t>
  </si>
  <si>
    <t>GGK(59.8)YIPLK(-59.8)</t>
  </si>
  <si>
    <t>_GLVAK(ac)LDTLGLK_</t>
  </si>
  <si>
    <t>GLVAK(1)LDTLGLK</t>
  </si>
  <si>
    <t>GLVAK(91.94)LDTLGLK(-91.94)</t>
  </si>
  <si>
    <t>_VGGAAQTK(ac)IIK_</t>
  </si>
  <si>
    <t>VGGAAQTK(1)IIK</t>
  </si>
  <si>
    <t>VGGAAQTK(89.68)IIK(-89.68)</t>
  </si>
  <si>
    <t>Q9I4U1</t>
  </si>
  <si>
    <t>&gt;tr|Q9I4U1|Q9I4U1_PSEAE Probable glutathione S-transferase OS=Pseudomonas aeruginosa (strain ATCC 15692 / PAO1 / 1C / PRS 101 / LMG 12228) GN=PA1033 PE=3 SV=1;&gt;tr|U5R4G6|U5R4G6_PSEAE Uncharacterized protein OS=Pseudomonas aeruginosa PAO1-VE2 GN=N296_1069 P</t>
  </si>
  <si>
    <t>_FAPEK(ac)IPYAIDR_</t>
  </si>
  <si>
    <t>FAPEK(1)IPYAIDR</t>
  </si>
  <si>
    <t>FAPEK(72.65)IPYAIDR</t>
  </si>
  <si>
    <t>Q9HVL6</t>
  </si>
  <si>
    <t>&gt;sp|Q9HVL6|RL21_PSEAE 50S ribosomal protein L21 OS=Pseudomonas aeruginosa (strain ATCC 15692 / PAO1 / 1C / PRS 101 / LMG 12228) GN=rplU PE=3 SV=1;&gt;tr|U5R1W1|U5R1W1_PSEAE 50S ribosomal protein L21 OS=Pseudomonas aeruginosa PAO1-VE2 GN=rplU PE=3 SV=1;&gt;tr|U5R</t>
  </si>
  <si>
    <t>_VTEGEFLK(ac)VEK_</t>
  </si>
  <si>
    <t>VTEGEFLK(1)VEK</t>
  </si>
  <si>
    <t>VTEGEFLK(49.5)VEK(-49.5)</t>
  </si>
  <si>
    <t>_DGIEPVQPGSVGPLK(ac)QIEAVK_</t>
  </si>
  <si>
    <t>DGIEPVQPGSVGPLK(1)QIEAVK</t>
  </si>
  <si>
    <t>DGIEPVQPGSVGPLK(57.37)QIEAVK(-57.37)</t>
  </si>
  <si>
    <t>Q9HYZ6</t>
  </si>
  <si>
    <t>&gt;tr|Q9HYZ6|Q9HYZ6_PSEAE Site-determining protein OS=Pseudomonas aeruginosa (strain ATCC 15692 / PAO1 / 1C / PRS 101 / LMG 12228) GN=minD PE=3 SV=1;&gt;tr|U5R306|U5R306_PSEAE Site-determining protein OS=Pseudomonas aeruginosa PAO1-VE2 GN=minD PE=3 SV=1;&gt;tr|U5R</t>
  </si>
  <si>
    <t>_MLGLLASK(ac)SQR_</t>
  </si>
  <si>
    <t>MLGLLASK(1)SQR</t>
  </si>
  <si>
    <t>MLGLLASK(129.85)SQR</t>
  </si>
  <si>
    <t>Q9I2U2</t>
  </si>
  <si>
    <t xml:space="preserve">&gt;sp|Q9I2U2|TIG_PSEAE Trigger factor OS=Pseudomonas aeruginosa (strain ATCC 15692 / PAO1 / 1C / PRS 101 / LMG 12228) GN=tig PE=3 SV=1;&gt;tr|U5QY01|U5QY01_PSEAE Trigger factor OS=Pseudomonas aeruginosa PAO1-VE2 GN=tig PE=3 SV=1;&gt;tr|U5RCL2|U5RCL2_PSEAE Trigger </t>
  </si>
  <si>
    <t>_QVSYEEAVK(ac)PAEAPQAA_</t>
  </si>
  <si>
    <t>QVSYEEAVK(1)PAEAPQAA</t>
  </si>
  <si>
    <t>QVSYEEAVK(24.95)PAEAPQAA</t>
  </si>
  <si>
    <t>_ASFDK(ac)ANR_</t>
  </si>
  <si>
    <t>ASFDK(1)ANR</t>
  </si>
  <si>
    <t>ASFDK(99)ANR</t>
  </si>
  <si>
    <t>_VIK(ac)FLTEEMGVK_</t>
  </si>
  <si>
    <t>VIK(1)FLTEEMGVK</t>
  </si>
  <si>
    <t>VIK(76.66)FLTEEMGVK(-76.66)</t>
  </si>
  <si>
    <t>_GRDPGK(ac)QLQAAEGWLK_</t>
  </si>
  <si>
    <t>GRDPGK(1)QLQAAEGWLK</t>
  </si>
  <si>
    <t>GRDPGK(23.23)QLQAAEGWLK(-23.23)</t>
  </si>
  <si>
    <t>_LSDFK(ac)SNEYANLIGGK_</t>
  </si>
  <si>
    <t>LSDFK(1)SNEYANLIGGK</t>
  </si>
  <si>
    <t>LSDFK(55.89)SNEYANLIGGK(-55.89)</t>
  </si>
  <si>
    <t>_DLEK(ac)AQAAFTAAVPVIDR_</t>
  </si>
  <si>
    <t>DLEK(1)AQAAFTAAVPVIDR</t>
  </si>
  <si>
    <t>DLEK(66.34)AQAAFTAAVPVIDR</t>
  </si>
  <si>
    <t>_HPSEIPEVIK(ac)K_</t>
  </si>
  <si>
    <t>HPSEIPEVIK(1)K</t>
  </si>
  <si>
    <t>HPSEIPEVIK(77.38)K(-77.38)</t>
  </si>
  <si>
    <t>_NSGQMWGK(ac)DGK_</t>
  </si>
  <si>
    <t>NSGQMWGK(1)DGK</t>
  </si>
  <si>
    <t>NSGQMWGK(78.65)DGK(-78.65)</t>
  </si>
  <si>
    <t>P72151</t>
  </si>
  <si>
    <t xml:space="preserve">&gt;sp|P72151|FLICB_PSEAE B-type flagellin OS=Pseudomonas aeruginosa (strain ATCC 15692 / PAO1 / 1C / PRS 101 / LMG 12228) GN=fliC PE=1 SV=2;&gt;tr|U5QYP9|U5QYP9_PSEAE B-type flagellin OS=Pseudomonas aeruginosa PAO1-VE2 GN=fliC PE=4 SV=1;&gt;tr|U5RC71|U5RC71_PSEAE </t>
  </si>
  <si>
    <t>_AIAEK(ac)MDGAIPNLSAR_</t>
  </si>
  <si>
    <t>AIAEK(1)MDGAIPNLSAR</t>
  </si>
  <si>
    <t>AIAEK(73.91)MDGAIPNLSAR</t>
  </si>
  <si>
    <t>_VDTLTK(ac)QIEK_</t>
  </si>
  <si>
    <t>VDTLTK(1)QIEK</t>
  </si>
  <si>
    <t>VDTLTK(33.88)QIEK(-33.88)</t>
  </si>
  <si>
    <t>_HLNVK(ac)VSR_</t>
  </si>
  <si>
    <t>HLNVK(1)VSR</t>
  </si>
  <si>
    <t>HLNVK(119.41)VSR</t>
  </si>
  <si>
    <t>_GLTEK(ac)AR_</t>
  </si>
  <si>
    <t>GLTEK(1)AR</t>
  </si>
  <si>
    <t>GLTEK(74.42)AR</t>
  </si>
  <si>
    <t>_HFFENYK(ac)DLEK_</t>
  </si>
  <si>
    <t>HFFENYK(1)DLEK</t>
  </si>
  <si>
    <t>HFFENYK(88.06)DLEK(-88.06)</t>
  </si>
  <si>
    <t>Q9I0K9</t>
  </si>
  <si>
    <t>&gt;sp|Q9I0K9|PUR8_PSEAE Adenylosuccinate lyase OS=Pseudomonas aeruginosa (strain ATCC 15692 / PAO1 / 1C / PRS 101 / LMG 12228) GN=purB PE=3 SV=1;&gt;tr|U5QR38|U5QR38_PSEAE Adenylosuccinate lyase OS=Pseudomonas aeruginosa PAO1-VE2 GN=purB PE=4 SV=1;&gt;tr|U5RGA2|U5</t>
  </si>
  <si>
    <t>_TTNHDVK(ac)AVEYLLK_</t>
  </si>
  <si>
    <t>TTNHDVK(1)AVEYLLK</t>
  </si>
  <si>
    <t>TTNHDVK(98.58)AVEYLLK(-98.58)</t>
  </si>
  <si>
    <t>_VAHDTPEK(ac)ILK_</t>
  </si>
  <si>
    <t>VAHDTPEK(1)ILK</t>
  </si>
  <si>
    <t>VAHDTPEK(40.73)ILK(-40.73)</t>
  </si>
  <si>
    <t>_WFNDAK(ac)GFGFITPESGNDLFVHFR_</t>
  </si>
  <si>
    <t>WFNDAK(1)GFGFITPESGNDLFVHFR</t>
  </si>
  <si>
    <t>WFNDAK(88.09)GFGFITPESGNDLFVHFR</t>
  </si>
  <si>
    <t>_EIEK(ac)AGGVAK_</t>
  </si>
  <si>
    <t>EIEK(1)AGGVAK</t>
  </si>
  <si>
    <t>EIEK(51.27)AGGVAK(-51.27)</t>
  </si>
  <si>
    <t>_IAGLDVK(ac)R_</t>
  </si>
  <si>
    <t>IAGLDVK(1)R</t>
  </si>
  <si>
    <t>IAGLDVK(139.31)R</t>
  </si>
  <si>
    <t>Q9I7A8</t>
  </si>
  <si>
    <t>&gt;sp|Q9I7A8|DEF_PSEAE Peptide deformylase OS=Pseudomonas aeruginosa (strain ATCC 15692 / PAO1 / 1C / PRS 101 / LMG 12228) GN=def PE=1 SV=1;&gt;tr|U5R490|U5R490_PSEAE Peptide deformylase OS=Pseudomonas aeruginosa PAO1-VE2 GN=def PE=3 SV=1;&gt;tr|U5RME6|U5RME6_PSEA</t>
  </si>
  <si>
    <t>_TIAK(ac)PVEVVDDAVR_</t>
  </si>
  <si>
    <t>TIAK(1)PVEVVDDAVR</t>
  </si>
  <si>
    <t>TIAK(71.55)PVEVVDDAVR</t>
  </si>
  <si>
    <t>Q9HWE8</t>
  </si>
  <si>
    <t>&gt;sp|Q9HWE8|RS14_PSEAE 30S ribosomal protein S14 OS=Pseudomonas aeruginosa (strain ATCC 15692 / PAO1 / 1C / PRS 101 / LMG 12228) GN=rpsN PE=3 SV=1;&gt;tr|U5R4T0|U5R4T0_PSEAE 30S ribosomal protein S14 OS=Pseudomonas aeruginosa PAO1-VE2 GN=rpsN PE=3 SV=1;&gt;tr|U5R</t>
  </si>
  <si>
    <t>_RQLTVAK(ac)YAK_</t>
  </si>
  <si>
    <t>RQLTVAK(1)YAK</t>
  </si>
  <si>
    <t>RQLTVAK(54.78)YAK(-54.78)</t>
  </si>
  <si>
    <t>Q9I4W0</t>
  </si>
  <si>
    <t>&gt;sp|Q9I4W0|PUR7_PSEAE Phosphoribosylaminoimidazole-succinocarboxamide synthase OS=Pseudomonas aeruginosa (strain ATCC 15692 / PAO1 / 1C / PRS 101 / LMG 12228) GN=purC PE=3 SV=1;&gt;tr|U5R5H9|U5R5H9_PSEAE Phosphoribosylaminoimidazole-succinocarboxamide synthas</t>
  </si>
  <si>
    <t>_LWDK(ac)ETR_</t>
  </si>
  <si>
    <t>LWDK(1)ETR</t>
  </si>
  <si>
    <t>LWDK(70.91)ETR</t>
  </si>
  <si>
    <t>Q9HWC7</t>
  </si>
  <si>
    <t>&gt;sp|Q9HWC7|RL10_PSEAE 50S ribosomal protein L10 OS=Pseudomonas aeruginosa (strain ATCC 15692 / PAO1 / 1C / PRS 101 / LMG 12228) GN=rplJ PE=3 SV=1;&gt;tr|U5R3F2|U5R3F2_PSEAE 50S ribosomal protein L10 OS=Pseudomonas aeruginosa PAO1-VE2 GN=rplJ PE=3 SV=1;&gt;tr|U5R</t>
  </si>
  <si>
    <t>_EFAK(ac)GQDK_</t>
  </si>
  <si>
    <t>EFAK(1)GQDK</t>
  </si>
  <si>
    <t>EFAK(58.82)GQDK(-58.82)</t>
  </si>
  <si>
    <t>_VLPQQSKPGEDDVLPEMK(ac)EGENLK_</t>
  </si>
  <si>
    <t>VLPQQSK(0.052)PGEDDVLPEMK(0.948)EGENLK</t>
  </si>
  <si>
    <t>VLPQQSK(-12.61)PGEDDVLPEMK(12.61)EGENLK(-27.74)</t>
  </si>
  <si>
    <t>Q9I3I0</t>
  </si>
  <si>
    <t>&gt;sp|Q9I3I0|Y1533_PSEAE Nucleoid-associated protein PA1533 OS=Pseudomonas aeruginosa (strain ATCC 15692 / PAO1 / 1C / PRS 101 / LMG 12228) GN=PA1533 PE=3 SV=1;&gt;tr|U5QS04|U5QS04_PSEAE Nucleoid-associated protein N296_1575 OS=Pseudomonas aeruginosa PAO1-VE2 G</t>
  </si>
  <si>
    <t>_QAQQMQEK(ac)MQK_</t>
  </si>
  <si>
    <t>QAQQMQEK(1)MQK</t>
  </si>
  <si>
    <t>QAQQMQEK(76.14)MQK(-76.14)</t>
  </si>
  <si>
    <t>Q9HZF6</t>
  </si>
  <si>
    <t>&gt;tr|Q9HZF6|Q9HZF6_PSEAE Uncharacterized protein OS=Pseudomonas aeruginosa (strain ATCC 15692 / PAO1 / 1C / PRS 101 / LMG 12228) GN=PA3052 PE=4 SV=1;&gt;tr|U5R7G5|U5R7G5_PSEAE Uncharacterized protein OS=Pseudomonas aeruginosa PAO1-VE2 GN=N296_3158 PE=4 SV=1;&gt;t</t>
  </si>
  <si>
    <t>_IISYK(ac)DFVK_</t>
  </si>
  <si>
    <t>IISYK(1)DFVK</t>
  </si>
  <si>
    <t>IISYK(38.3)DFVK(-38.3)</t>
  </si>
  <si>
    <t>_FK(ac)DDVAEVR_</t>
  </si>
  <si>
    <t>FK(1)DDVAEVR</t>
  </si>
  <si>
    <t>FK(111.46)DDVAEVR</t>
  </si>
  <si>
    <t>Q9I450</t>
  </si>
  <si>
    <t>&gt;tr|Q9I450|Q9I450_PSEAE Ribonuclease D OS=Pseudomonas aeruginosa (strain ATCC 15692 / PAO1 / 1C / PRS 101 / LMG 12228) GN=rnd PE=3 SV=1;&gt;tr|U5QVT3|U5QVT3_PSEAE Ribonuclease D OS=Pseudomonas aeruginosa PAO1-VE2 GN=rnd PE=3 SV=1;&gt;tr|U5RQ77|U5RQ77_PSEAE Ribon</t>
  </si>
  <si>
    <t>_EVLDIDLPK(ac)DETR_</t>
  </si>
  <si>
    <t>EVLDIDLPK(1)DETR</t>
  </si>
  <si>
    <t>EVLDIDLPK(58.67)DETR</t>
  </si>
  <si>
    <t>_GGVPMATPVFDGAK(ac)ER_</t>
  </si>
  <si>
    <t>GGVPMATPVFDGAK(1)ER</t>
  </si>
  <si>
    <t>GGVPMATPVFDGAK(57.33)ER</t>
  </si>
  <si>
    <t>_YGSDK(ac)PDLRIPLELVDVADQLK_</t>
  </si>
  <si>
    <t>YGSDK(1)PDLRIPLELVDVADQLK</t>
  </si>
  <si>
    <t>YGSDK(34.26)PDLRIPLELVDVADQLK(-34.26)</t>
  </si>
  <si>
    <t>_VQGSDGK(ac)FEAAAK_</t>
  </si>
  <si>
    <t>VQGSDGK(1)FEAAAK</t>
  </si>
  <si>
    <t>VQGSDGK(54.34)FEAAAK(-54.34)</t>
  </si>
  <si>
    <t>P43335</t>
  </si>
  <si>
    <t>&gt;sp|P43335|PHS_PSEAE Pterin-4-alpha-carbinolamine dehydratase OS=Pseudomonas aeruginosa (strain ATCC 15692 / PAO1 / 1C / PRS 101 / LMG 12228) GN=phhB PE=3 SV=1;&gt;tr|U5QW36|U5QW36_PSEAE Putative pterin-4-alpha-carbinolamine dehydratase OS=Pseudomonas aerugin</t>
  </si>
  <si>
    <t>_VYLFK(ac)NFK_</t>
  </si>
  <si>
    <t>VYLFK(1)NFK</t>
  </si>
  <si>
    <t>VYLFK(75.11)NFK(-75.11)</t>
  </si>
  <si>
    <t>_ISK(ac)FLAEASLVEQPFVK_</t>
  </si>
  <si>
    <t>ISK(1)FLAEASLVEQPFVK</t>
  </si>
  <si>
    <t>ISK(74.14)FLAEASLVEQPFVK(-74.14)</t>
  </si>
  <si>
    <t>Q9I5V8</t>
  </si>
  <si>
    <t>&gt;sp|Q9I5V8|RS21_PSEAE 30S ribosomal protein S21 OS=Pseudomonas aeruginosa (strain ATCC 15692 / PAO1 / 1C / PRS 101 / LMG 12228) GN=rpsU PE=1 SV=3;&gt;tr|U5QU11|U5QU11_PSEAE 30S ribosomal protein S21 OS=Pseudomonas aeruginosa PAO1-VE2 GN=rpsU PE=3 SV=1;&gt;tr|U5R</t>
  </si>
  <si>
    <t>_RSCEK(ac)AGVLAEVR_</t>
  </si>
  <si>
    <t>RSCEK(1)AGVLAEVR</t>
  </si>
  <si>
    <t>RSCEK(80.31)AGVLAEVR</t>
  </si>
  <si>
    <t>_MLERDDFSK(ac)R_</t>
  </si>
  <si>
    <t>MLERDDFSK(1)R</t>
  </si>
  <si>
    <t>MLERDDFSK(98.25)R</t>
  </si>
  <si>
    <t>Q9HW68</t>
  </si>
  <si>
    <t>&gt;tr|Q9HW68|Q9HW68_PSEAE Probable fumarase OS=Pseudomonas aeruginosa (strain ATCC 15692 / PAO1 / 1C / PRS 101 / LMG 12228) GN=PA4333 PE=4 SV=1;&gt;tr|U5QSC5|U5QSC5_PSEAE Hydrolyase, tartrate alpha subunit/fumarate, Fe-S type domain protein OS=Pseudomonas aerug</t>
  </si>
  <si>
    <t>_EVLMDPIDIHELK(ac)AR_</t>
  </si>
  <si>
    <t>EVLMDPIDIHELK(1)AR</t>
  </si>
  <si>
    <t>EVLMDPIDIHELK(66.53)AR</t>
  </si>
  <si>
    <t>_STPVIMLSSK(ac)DGLFDK_</t>
  </si>
  <si>
    <t>STPVIMLSSK(1)DGLFDK</t>
  </si>
  <si>
    <t>STPVIMLSSK(71.69)DGLFDK(-71.69)</t>
  </si>
  <si>
    <t>_QLLDDK(ac)FEDKK_</t>
  </si>
  <si>
    <t>QLLDDK(0.997)FEDK(0.003)K</t>
  </si>
  <si>
    <t>QLLDDK(25.96)FEDK(-25.96)K(-48)</t>
  </si>
  <si>
    <t>_YIEK(ac)DAALER_</t>
  </si>
  <si>
    <t>YIEK(1)DAALER</t>
  </si>
  <si>
    <t>YIEK(122.33)DAALER</t>
  </si>
  <si>
    <t>Q9HZ23</t>
  </si>
  <si>
    <t xml:space="preserve">&gt;tr|Q9HZ23|Q9HZ23_PSEAE CyaB OS=Pseudomonas aeruginosa (strain ATCC 15692 / PAO1 / 1C / PRS 101 / LMG 12228) GN=cyaB PE=1 SV=1;&gt;tr|U5R2W5|U5R2W5_PSEAE Adenylate and Guanylate cyclase catalytic domain protein OS=Pseudomonas aeruginosa PAO1-VE2 GN=N296_3330 </t>
  </si>
  <si>
    <t>_IALK(ac)YGGTIDK_</t>
  </si>
  <si>
    <t>IALK(1)YGGTIDK</t>
  </si>
  <si>
    <t>IALK(74.84)YGGTIDK(-74.84)</t>
  </si>
  <si>
    <t>_GASEADLK(ac)K_</t>
  </si>
  <si>
    <t>GASEADLK(1)K</t>
  </si>
  <si>
    <t>GASEADLK(46.89)K(-46.89)</t>
  </si>
  <si>
    <t>_SGFK(ac)YHGR_</t>
  </si>
  <si>
    <t>SGFK(1)YHGR</t>
  </si>
  <si>
    <t>SGFK(75.85)YHGR</t>
  </si>
  <si>
    <t>Q9HU34</t>
  </si>
  <si>
    <t>&gt;tr|Q9HU34|Q9HU34_PSEAE Probable short-chain dehydrogenase OS=Pseudomonas aeruginosa (strain ATCC 15692 / PAO1 / 1C / PRS 101 / LMG 12228) GN=PA5150 PE=4 SV=1;&gt;tr|U5R535|U5R535_PSEAE Short chain dehydrogenase family protein OS=Pseudomonas aeruginosa PAO1-V</t>
  </si>
  <si>
    <t>_GIGHATVK(ac)YFNAAGWR_</t>
  </si>
  <si>
    <t>GIGHATVK(1)YFNAAGWR</t>
  </si>
  <si>
    <t>GIGHATVK(94.02)YFNAAGWR</t>
  </si>
  <si>
    <t>Q9I344</t>
  </si>
  <si>
    <t>&gt;sp|Q9I344|AROC_PSEAE Chorismate synthase OS=Pseudomonas aeruginosa (strain ATCC 15692 / PAO1 / 1C / PRS 101 / LMG 12228) GN=aroC PE=3 SV=1;&gt;tr|U5QWA5|U5QWA5_PSEAE Chorismate synthase OS=Pseudomonas aeruginosa PAO1-VE2 GN=aroC PE=3 SV=1;&gt;tr|U5RGL1|U5RGL1_P</t>
  </si>
  <si>
    <t>_SK(ac)DYSAIK_</t>
  </si>
  <si>
    <t>SK(1)DYSAIK</t>
  </si>
  <si>
    <t>SK(40.72)DYSAIK(-40.72)</t>
  </si>
  <si>
    <t>_SYNDVK(ac)VGDK_</t>
  </si>
  <si>
    <t>SYNDVK(1)VGDK</t>
  </si>
  <si>
    <t>SYNDVK(41.28)VGDK(-41.28)</t>
  </si>
  <si>
    <t>_NDPFK(ac)LMGFGHR_</t>
  </si>
  <si>
    <t>NDPFK(1)LMGFGHR</t>
  </si>
  <si>
    <t>NDPFK(155.97)LMGFGHR</t>
  </si>
  <si>
    <t>_FDIPVK(ac)DADLEK_</t>
  </si>
  <si>
    <t>FDIPVK(1)DADLEK</t>
  </si>
  <si>
    <t>FDIPVK(65.84)DADLEK(-65.84)</t>
  </si>
  <si>
    <t>P11724</t>
  </si>
  <si>
    <t>&gt;sp|P11724|OTC_PSEAE Ornithine carbamoyltransferase OS=Pseudomonas aeruginosa (strain ATCC 15692 / PAO1 / 1C / PRS 101 / LMG 12228) GN=argF PE=1 SV=3;&gt;tr|U5QVS1|U5QVS1_PSEAE Ornithine carbamoyltransferase OS=Pseudomonas aeruginosa PAO1-VE2 GN=argF PE=3 SV=</t>
  </si>
  <si>
    <t>_VLGMVFEK(ac)ASTR_</t>
  </si>
  <si>
    <t>VLGMVFEK(1)ASTR</t>
  </si>
  <si>
    <t>VLGMVFEK(37.14)ASTR</t>
  </si>
  <si>
    <t>_ALWPHDEFVAQCK(ac)K_</t>
  </si>
  <si>
    <t>ALWPHDEFVAQCK(1)K</t>
  </si>
  <si>
    <t>ALWPHDEFVAQCK(32.07)K(-32.07)</t>
  </si>
  <si>
    <t>O54438</t>
  </si>
  <si>
    <t>&gt;sp|O54438|FABG_PSEAE 3-oxoacyl-[acyl-carrier-protein] reductase FabG OS=Pseudomonas aeruginosa (strain ATCC 15692 / PAO1 / 1C / PRS 101 / LMG 12228) GN=fabG PE=1 SV=1;&gt;tr|U5R886|U5R886_PSEAE 3-oxoacyl-[acyl-carrier-protein] reductase OS=Pseudomonas aerugi</t>
  </si>
  <si>
    <t>_MK(ac)DDEWFDVVNTNLNSLYR_</t>
  </si>
  <si>
    <t>MK(1)DDEWFDVVNTNLNSLYR</t>
  </si>
  <si>
    <t>MK(47.08)DDEWFDVVNTNLNSLYR</t>
  </si>
  <si>
    <t>_DAK(ac)DMEYAR_</t>
  </si>
  <si>
    <t>DAK(1)DMEYAR</t>
  </si>
  <si>
    <t>DAK(73.98)DMEYAR</t>
  </si>
  <si>
    <t>Q9I0A0</t>
  </si>
  <si>
    <t>&gt;sp|Q9I0A0|IF3_PSEAE Translation initiation factor IF-3 OS=Pseudomonas aeruginosa (strain ATCC 15692 / PAO1 / 1C / PRS 101 / LMG 12228) GN=infC PE=3 SV=1</t>
  </si>
  <si>
    <t>_IMDYGK(ac)HLFEK_</t>
  </si>
  <si>
    <t>IMDYGK(1)HLFEK</t>
  </si>
  <si>
    <t>IMDYGK(42.21)HLFEK(-42.21)</t>
  </si>
  <si>
    <t>_AALVGAK(ac)AEGGPALK_</t>
  </si>
  <si>
    <t>AALVGAK(1)AEGGPALK</t>
  </si>
  <si>
    <t>AALVGAK(48.7)AEGGPALK(-48.7)</t>
  </si>
  <si>
    <t>_TVPAFEPK(ac)VR_</t>
  </si>
  <si>
    <t>TVPAFEPK(1)VR</t>
  </si>
  <si>
    <t>TVPAFEPK(101.65)VR</t>
  </si>
  <si>
    <t>_KPELAAAIAEK(ac)ADLTK_</t>
  </si>
  <si>
    <t>K(0.008)PELAAAIAEK(0.992)ADLTK</t>
  </si>
  <si>
    <t>K(-21.07)PELAAAIAEK(21.07)ADLTK(-26.36)</t>
  </si>
  <si>
    <t>_IYIVK(ac)VPYCLR_</t>
  </si>
  <si>
    <t>IYIVK(1)VPYCLR</t>
  </si>
  <si>
    <t>IYIVK(43.3)VPYCLR</t>
  </si>
  <si>
    <t>Q9I0M6</t>
  </si>
  <si>
    <t>&gt;sp|Q9I0M6|SYS_PSEAE Serine--tRNA ligase OS=Pseudomonas aeruginosa (strain ATCC 15692 / PAO1 / 1C / PRS 101 / LMG 12228) GN=serS PE=3 SV=1;&gt;tr|U5QYB2|U5QYB2_PSEAE Serine--tRNA ligase OS=Pseudomonas aeruginosa PAO1-VE2 GN=serS PE=3 SV=1;&gt;tr|U5RKP7|U5RKP7_PS</t>
  </si>
  <si>
    <t>_WGTPK(ac)TFDFEVK_</t>
  </si>
  <si>
    <t>WGTPK(1)TFDFEVK</t>
  </si>
  <si>
    <t>WGTPK(71.56)TFDFEVK(-71.56)</t>
  </si>
  <si>
    <t>Q9HTW1</t>
  </si>
  <si>
    <t>&gt;tr|Q9HTW1|Q9HTW1_PSEAE Uncharacterized protein OS=Pseudomonas aeruginosa (strain ATCC 15692 / PAO1 / 1C / PRS 101 / LMG 12228) GN=PA5229 PE=4 SV=1;&gt;tr|U5QVJ9|U5QVJ9_PSEAE Uncharacterized protein OS=Pseudomonas aeruginosa PAO1-VE2 GN=N296_5408 PE=4 SV=1;&gt;t</t>
  </si>
  <si>
    <t>_LK(ac)AQDALANLALVQK_</t>
  </si>
  <si>
    <t>LK(1)AQDALANLALVQK</t>
  </si>
  <si>
    <t>LK(50.84)AQDALANLALVQK(-50.84)</t>
  </si>
  <si>
    <t>_DVFK(ac)PGSDEVIVPAGTLIDEK_</t>
  </si>
  <si>
    <t>DVFK(1)PGSDEVIVPAGTLIDEK</t>
  </si>
  <si>
    <t>DVFK(27.13)PGSDEVIVPAGTLIDEK(-27.13)</t>
  </si>
  <si>
    <t>_QLFAEGK(ac)ATR_</t>
  </si>
  <si>
    <t>QLFAEGK(1)ATR</t>
  </si>
  <si>
    <t>QLFAEGK(32.52)ATR</t>
  </si>
  <si>
    <t>Q9HZ74</t>
  </si>
  <si>
    <t>&gt;tr|Q9HZ74|Q9HZ74_PSEAE Probable acetyltransferase OS=Pseudomonas aeruginosa (strain ATCC 15692 / PAO1 / 1C / PRS 101 / LMG 12228) GN=PA3157 PE=4 SV=1;&gt;tr|U5QZJ6|U5QZJ6_PSEAE Acyltransferase family protein OS=Pseudomonas aeruginosa PAO1-VE2 GN=N296_3268 PE</t>
  </si>
  <si>
    <t>_LFEQPQSSVSLK(ac)P_</t>
  </si>
  <si>
    <t>LFEQPQSSVSLK(1)P</t>
  </si>
  <si>
    <t>LFEQPQSSVSLK(41.4)P</t>
  </si>
  <si>
    <t>G3XCZ6</t>
  </si>
  <si>
    <t>&gt;tr|G3XCZ6|G3XCZ6_PSEAE Malonyl CoA-acyl carrier protein transacylase OS=Pseudomonas aeruginosa (strain ATCC 15692 / PAO1 / 1C / PRS 101 / LMG 12228) GN=fabD PE=3 SV=1;&gt;tr|U5QZI4|U5QZI4_PSEAE Malonyl CoA-acyl carrier protein transacylase OS=Pseudomonas aer</t>
  </si>
  <si>
    <t>_AIEACK(ac)AR_</t>
  </si>
  <si>
    <t>AIEACK(1)AR</t>
  </si>
  <si>
    <t>AIEACK(62.46)AR</t>
  </si>
  <si>
    <t>G3XCZ4</t>
  </si>
  <si>
    <t>&gt;tr|G3XCZ4|G3XCZ4_PSEAE Uncharacterized protein OS=Pseudomonas aeruginosa (strain ATCC 15692 / PAO1 / 1C / PRS 101 / LMG 12228) GN=PA0891 PE=3 SV=1;&gt;tr|U5R2I8|U5R2I8_PSEAE Succinylglutamate desuccinylase / Aspartoacylase family protein OS=Pseudomonas aerug</t>
  </si>
  <si>
    <t>_IDHLLPWSTLGSEK(ac)R_</t>
  </si>
  <si>
    <t>IDHLLPWSTLGSEK(1)R</t>
  </si>
  <si>
    <t>IDHLLPWSTLGSEK(40.28)R</t>
  </si>
  <si>
    <t>_ESLLK(ac)SLVPDDDYLTR_</t>
  </si>
  <si>
    <t>ESLLK(1)SLVPDDDYLTR</t>
  </si>
  <si>
    <t>ESLLK(110.98)SLVPDDDYLTR</t>
  </si>
  <si>
    <t>_WFNDAK(ac)GYGFIQR_</t>
  </si>
  <si>
    <t>WFNDAK(1)GYGFIQR</t>
  </si>
  <si>
    <t>WFNDAK(77.12)GYGFIQR</t>
  </si>
  <si>
    <t>_LDGYQTCALIK(ac)NNSAFK_</t>
  </si>
  <si>
    <t>LDGYQTCALIK(1)NNSAFK</t>
  </si>
  <si>
    <t>LDGYQTCALIK(62.06)NNSAFK(-62.06)</t>
  </si>
  <si>
    <t>Q9HUN3</t>
  </si>
  <si>
    <t>&gt;tr|Q9HUN3|Q9HUN3_PSEAE Replicative DNA helicase OS=Pseudomonas aeruginosa (strain ATCC 15692 / PAO1 / 1C / PRS 101 / LMG 12228) GN=dnaB PE=4 SV=1;&gt;tr|U5QVK5|U5QVK5_PSEAE Replicative DNA helicase OS=Pseudomonas aeruginosa PAO1-VE2 GN=dnaB PE=4 SV=1;&gt;tr|U5R</t>
  </si>
  <si>
    <t>_LAFIGK(ac)YTR_</t>
  </si>
  <si>
    <t>LAFIGK(1)YTR</t>
  </si>
  <si>
    <t>LAFIGK(78.15)YTR</t>
  </si>
  <si>
    <t>_INLSEEPLGTGK(ac)DGQPVYLK_</t>
  </si>
  <si>
    <t>INLSEEPLGTGK(1)DGQPVYLK</t>
  </si>
  <si>
    <t>INLSEEPLGTGK(17.04)DGQPVYLK(-17.04)</t>
  </si>
  <si>
    <t>Q9HXM5</t>
  </si>
  <si>
    <t>&gt;tr|Q9HXM5|Q9HXM5_PSEAE Inosine-5'-monophosphate dehydrogenase OS=Pseudomonas aeruginosa (strain ATCC 15692 / PAO1 / 1C / PRS 101 / LMG 12228) GN=guaB PE=1 SV=1;&gt;tr|U5QX55|U5QX55_PSEAE Inosine-5'-monophosphate dehydrogenase OS=Pseudomonas aeruginosa PAO1-V</t>
  </si>
  <si>
    <t>_EGTPLEEMK(ac)AK_</t>
  </si>
  <si>
    <t>EGTPLEEMK(1)AK</t>
  </si>
  <si>
    <t>EGTPLEEMK(70.81)AK(-70.81)</t>
  </si>
  <si>
    <t>_QALVDSEK(ac)LLAK_</t>
  </si>
  <si>
    <t>QALVDSEK(1)LLAK</t>
  </si>
  <si>
    <t>QALVDSEK(74.76)LLAK(-74.76)</t>
  </si>
  <si>
    <t>Q9I1N7</t>
  </si>
  <si>
    <t xml:space="preserve">&gt;tr|Q9I1N7|Q9I1N7_PSEAE PslB OS=Pseudomonas aeruginosa (strain ATCC 15692 / PAO1 / 1C / PRS 101 / LMG 12228) GN=pslB PE=3 SV=1;&gt;tr|U5QXX8|U5QXX8_PSEAE Mannose-1-phosphate guanylyltransferase/mannose-6-phosphate isomerase OS=Pseudomonas aeruginosa PAO1-VE2 </t>
  </si>
  <si>
    <t>_GESVLHDVSNCYIDSPK(ac)R_</t>
  </si>
  <si>
    <t>GESVLHDVSNCYIDSPK(1)R</t>
  </si>
  <si>
    <t>GESVLHDVSNCYIDSPK(66.96)R</t>
  </si>
  <si>
    <t>_DMLK(ac)AGVHFGHQTR_</t>
  </si>
  <si>
    <t>DMLK(1)AGVHFGHQTR</t>
  </si>
  <si>
    <t>DMLK(58.49)AGVHFGHQTR</t>
  </si>
  <si>
    <t>_LYDPNK(ac)DETR_</t>
  </si>
  <si>
    <t>LYDPNK(1)DETR</t>
  </si>
  <si>
    <t>LYDPNK(111.65)DETR</t>
  </si>
  <si>
    <t>Q9I4I2</t>
  </si>
  <si>
    <t>&gt;tr|Q9I4I2|Q9I4I2_PSEAE Ribonucleoside-diphosphate reductase subunit beta OS=Pseudomonas aeruginosa (strain ATCC 15692 / PAO1 / 1C / PRS 101 / LMG 12228) GN=nrdB PE=3 SV=1;&gt;tr|U5QVC2|U5QVC2_PSEAE Ribonucleoside-diphosphate reductase subunit beta OS=Pseudom</t>
  </si>
  <si>
    <t>_SK(ac)DGLSEDERR_</t>
  </si>
  <si>
    <t>SK(1)DGLSEDERR</t>
  </si>
  <si>
    <t>SK(38.78)DGLSEDERR</t>
  </si>
  <si>
    <t>Q9HV22</t>
  </si>
  <si>
    <t>&gt;tr|Q9HV22|Q9HV22_PSEAE Probable short-chain dehydrogenase OS=Pseudomonas aeruginosa (strain ATCC 15692 / PAO1 / 1C / PRS 101 / LMG 12228) GN=PA4786 PE=3 SV=1;&gt;tr|U5R1I5|U5R1I5_PSEAE Short chain dehydrogenase family protein OS=Pseudomonas aeruginosa PAO1-V</t>
  </si>
  <si>
    <t>_VVVLGRPPESLK(ac)DPVTASVQR_</t>
  </si>
  <si>
    <t>VVVLGRPPESLK(1)DPVTASVQR</t>
  </si>
  <si>
    <t>VVVLGRPPESLK(45.7)DPVTASVQR</t>
  </si>
  <si>
    <t>Q9I7B1</t>
  </si>
  <si>
    <t>&gt;sp|Q9I7B1|Y015_PSEAE TPR repeat-containing protein PA0015 OS=Pseudomonas aeruginosa (strain ATCC 15692 / PAO1 / 1C / PRS 101 / LMG 12228) GN=PA0015 PE=4 SV=1;&gt;tr|U5R7R4|U5R7R4_PSEAE Tetratricopeptide repeat family protein OS=Pseudomonas aeruginosa PAO1-VE</t>
  </si>
  <si>
    <t>_CVEQDPK(ac)YSAGWK_</t>
  </si>
  <si>
    <t>CVEQDPK(1)YSAGWK</t>
  </si>
  <si>
    <t>CVEQDPK(63.73)YSAGWK(-63.73)</t>
  </si>
  <si>
    <t>Q9HX12</t>
  </si>
  <si>
    <t>&gt;tr|Q9HX12|Q9HX12_PSEAE Uncharacterized protein OS=Pseudomonas aeruginosa (strain ATCC 15692 / PAO1 / 1C / PRS 101 / LMG 12228) GN=PA4015 PE=4 SV=1;&gt;tr|U5R9V8|U5R9V8_PSEAE MaoC like domain protein OS=Pseudomonas aeruginosa PAO1-VE2 GN=N296_4144 PE=4 SV=1;&gt;</t>
  </si>
  <si>
    <t>_LGLTLLDVNEK(ac)NPGQWLIK_</t>
  </si>
  <si>
    <t>LGLTLLDVNEK(1)NPGQWLIK</t>
  </si>
  <si>
    <t>LGLTLLDVNEK(65.95)NPGQWLIK(-65.95)</t>
  </si>
  <si>
    <t>Q9HWX6</t>
  </si>
  <si>
    <t>&gt;sp|Q9HWX6|NUSB_PSEAE N utilization substance protein B homolog OS=Pseudomonas aeruginosa (strain ATCC 15692 / PAO1 / 1C / PRS 101 / LMG 12228) GN=nusB PE=3 SV=1;&gt;tr|U5R1W7|U5R1W7_PSEAE N utilization substance protein B homolog OS=Pseudomonas aeruginosa PA</t>
  </si>
  <si>
    <t>_TFGATDGHK(ac)FVNGVLDK_</t>
  </si>
  <si>
    <t>TFGATDGHK(1)FVNGVLDK</t>
  </si>
  <si>
    <t>TFGATDGHK(23.64)FVNGVLDK(-23.64)</t>
  </si>
  <si>
    <t>Q9HX76</t>
  </si>
  <si>
    <t>&gt;tr|Q9HX76|Q9HX76_PSEAE Probable DNA binding protein OS=Pseudomonas aeruginosa (strain ATCC 15692 / PAO1 / 1C / PRS 101 / LMG 12228) GN=PA3940 PE=3 SV=1;&gt;tr|U5R0G2|U5R0G2_PSEAE DNA-binding protein HU 1 OS=Pseudomonas aeruginosa PAO1-VE2 GN=hupA PE=3 SV=1;&gt;</t>
  </si>
  <si>
    <t>_RVAK(ac)FVPAK_</t>
  </si>
  <si>
    <t>RVAK(1)FVPAK</t>
  </si>
  <si>
    <t>RVAK(76.22)FVPAK(-76.22)</t>
  </si>
  <si>
    <t>_SFLK(ac)PACVIVK_</t>
  </si>
  <si>
    <t>SFLK(1)PACVIVK</t>
  </si>
  <si>
    <t>SFLK(54.49)PACVIVK(-54.49)</t>
  </si>
  <si>
    <t>_INSAK(ac)DDAAGLQISNR_</t>
  </si>
  <si>
    <t>INSAK(1)DDAAGLQISNR</t>
  </si>
  <si>
    <t>INSAK(92.06)DDAAGLQISNR</t>
  </si>
  <si>
    <t>P15275</t>
  </si>
  <si>
    <t>&gt;sp|P15275|ALGQ_PSEAE Transcriptional regulatory protein AlgQ OS=Pseudomonas aeruginosa (strain ATCC 15692 / PAO1 / 1C / PRS 101 / LMG 12228) GN=algQ PE=3 SV=1;&gt;tr|U5QT63|U5QT63_PSEAE Regulator of RNA polymerase sigma(70) subunit, Rsd/AlgQ family protein O</t>
  </si>
  <si>
    <t>_GLELAK(ac)QIFPR_</t>
  </si>
  <si>
    <t>GLELAK(1)QIFPR</t>
  </si>
  <si>
    <t>GLELAK(112.13)QIFPR</t>
  </si>
  <si>
    <t>Q9HUN0</t>
  </si>
  <si>
    <t>&gt;sp|Q9HUN0|RS18_PSEAE 30S ribosomal protein S18 OS=Pseudomonas aeruginosa (strain ATCC 15692 / PAO1 / 1C / PRS 101 / LMG 12228) GN=rpsR PE=3 SV=1;&gt;tr|U5R9U9|U5R9U9_PSEAE 30S ribosomal protein S18 OS=Pseudomonas aeruginosa PAO1-VE2 GN=rpsR PE=3 SV=1;&gt;tr|U5R</t>
  </si>
  <si>
    <t>_FTAEGVK(ac)EIDYK_</t>
  </si>
  <si>
    <t>FTAEGVK(1)EIDYK</t>
  </si>
  <si>
    <t>FTAEGVK(67.15)EIDYK(-67.15)</t>
  </si>
  <si>
    <t>_SVLQSWADGEWFK(ac)AKPEVPEK_</t>
  </si>
  <si>
    <t>SVLQSWADGEWFK(0.832)AK(0.168)PEVPEK</t>
  </si>
  <si>
    <t>SVLQSWADGEWFK(6.93)AK(-6.93)PEVPEK(-35.75)</t>
  </si>
  <si>
    <t>Q9HYX1</t>
  </si>
  <si>
    <t>&gt;tr|Q9HYX1|Q9HYX1_PSEAE Uncharacterized protein OS=Pseudomonas aeruginosa (strain ATCC 15692 / PAO1 / 1C / PRS 101 / LMG 12228) GN=PA3270 PE=1 SV=1;&gt;tr|U5R443|U5R443_PSEAE Acetyltransferase domain protein OS=Pseudomonas aeruginosa PAO1-VE2 GN=N296_3386 PE=</t>
  </si>
  <si>
    <t>_MIK(ac)YLMLK_</t>
  </si>
  <si>
    <t>MIK(1)YLMLK</t>
  </si>
  <si>
    <t>MIK(38.78)YLMLK(-38.78)</t>
  </si>
  <si>
    <t>Q9HUA6</t>
  </si>
  <si>
    <t xml:space="preserve">&gt;sp|Q9HUA6|OPGH_PSEAE Glucans biosynthesis glucosyltransferase H OS=Pseudomonas aeruginosa (strain ATCC 15692 / PAO1 / 1C / PRS 101 / LMG 12228) GN=opgH PE=3 SV=1;&gt;tr|U5R3S2|U5R3S2_PSEAE Glucans biosynthesis glucosyltransferase H OS=Pseudomonas aeruginosa </t>
  </si>
  <si>
    <t>_IGK(ac)AIDK_</t>
  </si>
  <si>
    <t>IGK(1)AIDK</t>
  </si>
  <si>
    <t>IGK(39.65)AIDK(-39.65)</t>
  </si>
  <si>
    <t>Q9HXJ8</t>
  </si>
  <si>
    <t>&gt;sp|Q9HXJ8|DER_PSEAE GTPase Der OS=Pseudomonas aeruginosa (strain ATCC 15692 / PAO1 / 1C / PRS 101 / LMG 12228) GN=der PE=3 SV=1;&gt;tr|U5QR92|U5QR92_PSEAE GTPase Der OS=Pseudomonas aeruginosa PAO1-VE2 GN=engA PE=3 SV=1;&gt;tr|U5RGY1|U5RGY1_PSEAE GTPase Der OS=P</t>
  </si>
  <si>
    <t>_YLEK(ac)TYR_</t>
  </si>
  <si>
    <t>YLEK(1)TYR</t>
  </si>
  <si>
    <t>YLEK(56.01)TYR</t>
  </si>
  <si>
    <t>Q9I0J7</t>
  </si>
  <si>
    <t>&gt;sp|Q9I0J7|NUOF_PSEAE NADH-quinone oxidoreductase subunit F OS=Pseudomonas aeruginosa (strain ATCC 15692 / PAO1 / 1C / PRS 101 / LMG 12228) GN=nuoF PE=3 SV=1;&gt;tr|U5R3I8|U5R3I8_PSEAE NADH oxidoreductase (Quinone), F subunit OS=Pseudomonas aeruginosa PAO1-VE</t>
  </si>
  <si>
    <t>_ALTQMAQDDIVQTVK(ac)DSGLK_</t>
  </si>
  <si>
    <t>ALTQMAQDDIVQTVK(1)DSGLK</t>
  </si>
  <si>
    <t>ALTQMAQDDIVQTVK(116.82)DSGLK(-116.82)</t>
  </si>
  <si>
    <t>Q9XCL6</t>
  </si>
  <si>
    <t>&gt;sp|Q9XCL6|SYE_PSEAE Glutamate--tRNA ligase OS=Pseudomonas aeruginosa (strain ATCC 15692 / PAO1 / 1C / PRS 101 / LMG 12228) GN=gltX PE=3 SV=2;&gt;tr|U5R082|U5R082_PSEAE Glutamate--tRNA ligase OS=Pseudomonas aeruginosa PAO1-VE2 GN=gltX PE=3 SV=1;&gt;tr|U5RD90|U5R</t>
  </si>
  <si>
    <t>_EWEK(ac)IRDAIPG_</t>
  </si>
  <si>
    <t>EWEK(1)IRDAIPG</t>
  </si>
  <si>
    <t>EWEK(31.48)IRDAIPG</t>
  </si>
  <si>
    <t>Q9I3D2</t>
  </si>
  <si>
    <t>&gt;sp|Q9I3D2|ODO2_PSEAE Dihydrolipoyllysine-residue succinyltransferase component of 2-oxoglutarate dehydrogenase complex OS=Pseudomonas aeruginosa (strain ATCC 15692 / PAO1 / 1C / PRS 101 / LMG 12228) GN=sucB PE=3 SV=1;&gt;tr|U5R312|U5R312_PSEAE Dihydrolipoyll</t>
  </si>
  <si>
    <t>_YK(ac)DLFEK_</t>
  </si>
  <si>
    <t>YK(1)DLFEK</t>
  </si>
  <si>
    <t>YK(45.97)DLFEK(-45.97)</t>
  </si>
  <si>
    <t>Q9HXV4</t>
  </si>
  <si>
    <t>&gt;sp|Q9HXV4|KAD_PSEAE Adenylate kinase OS=Pseudomonas aeruginosa (strain ATCC 15692 / PAO1 / 1C / PRS 101 / LMG 12228) GN=adk PE=3 SV=1;&gt;tr|U5QVX7|U5QVX7_PSEAE Adenylate kinase OS=Pseudomonas aeruginosa PAO1-VE2 GN=adk PE=3 SV=1;&gt;tr|U5R727|U5R727_PSEAE Aden</t>
  </si>
  <si>
    <t>_ITEADCAK(ac)GFLFDGFPR_</t>
  </si>
  <si>
    <t>ITEADCAK(1)GFLFDGFPR</t>
  </si>
  <si>
    <t>ITEADCAK(23.34)GFLFDGFPR</t>
  </si>
  <si>
    <t>Q9I6D1</t>
  </si>
  <si>
    <t>&gt;sp|Q9I6D1|COAD_PSEAE Phosphopantetheine adenylyltransferase OS=Pseudomonas aeruginosa (strain ATCC 15692 / PAO1 / 1C / PRS 101 / LMG 12228) GN=coaD PE=3 SV=1;&gt;tr|U5QXQ3|U5QXQ3_PSEAE Phosphopantetheine adenylyltransferase OS=Pseudomonas aeruginosa PAO1-VE2</t>
  </si>
  <si>
    <t>_VLYPGTFDPITK(ac)GHGDLIER_</t>
  </si>
  <si>
    <t>VLYPGTFDPITK(1)GHGDLIER</t>
  </si>
  <si>
    <t>VLYPGTFDPITK(63.92)GHGDLIER</t>
  </si>
  <si>
    <t>_GETLPVDLK(ac)GR_</t>
  </si>
  <si>
    <t>GETLPVDLK(1)GR</t>
  </si>
  <si>
    <t>GETLPVDLK(82.42)GR</t>
  </si>
  <si>
    <t>_LAMK(ac)YHPDRNPGDK_</t>
  </si>
  <si>
    <t>LAMK(1)YHPDRNPGDK</t>
  </si>
  <si>
    <t>LAMK(46.48)YHPDRNPGDK(-46.48)</t>
  </si>
  <si>
    <t>O33877</t>
  </si>
  <si>
    <t>&gt;sp|O33877|FABA_PSEAE 3-hydroxydecanoyl-[acyl-carrier-protein] dehydratase OS=Pseudomonas aeruginosa (strain ATCC 15692 / PAO1 / 1C / PRS 101 / LMG 12228) GN=fabA PE=1 SV=1;&gt;tr|U5QZW0|U5QZW0_PSEAE 3-hydroxydecanoyl-[acyl-carrier-protein] dehydratase OS=Pse</t>
  </si>
  <si>
    <t>_ALGSGEVK(ac)FFGQVLPTAK_</t>
  </si>
  <si>
    <t>ALGSGEVK(1)FFGQVLPTAK</t>
  </si>
  <si>
    <t>ALGSGEVK(50.08)FFGQVLPTAK(-50.08)</t>
  </si>
  <si>
    <t>G3XD09</t>
  </si>
  <si>
    <t>&gt;tr|G3XD09|G3XD09_PSEAE Glutamate synthase small chain OS=Pseudomonas aeruginosa (strain ATCC 15692 / PAO1 / 1C / PRS 101 / LMG 12228) GN=gltD PE=4 SV=1;&gt;tr|U5R4E1|U5R4E1_PSEAE Glutamate synthase, small subunit domain protein OS=Pseudomonas aeruginosa PAO1</t>
  </si>
  <si>
    <t>_EEGVK(ac)FLFNR_</t>
  </si>
  <si>
    <t>EEGVK(1)FLFNR</t>
  </si>
  <si>
    <t>EEGVK(97.97)FLFNR</t>
  </si>
  <si>
    <t>_EPLIK(ac)DVLEK_</t>
  </si>
  <si>
    <t>EPLIK(1)DVLEK</t>
  </si>
  <si>
    <t>EPLIK(42.34)DVLEK(-42.34)</t>
  </si>
  <si>
    <t>Q9HVY6</t>
  </si>
  <si>
    <t>&gt;tr|Q9HVY6|Q9HVY6_PSEAE Probable cytochrome c1 OS=Pseudomonas aeruginosa (strain ATCC 15692 / PAO1 / 1C / PRS 101 / LMG 12228) GN=PA4429 PE=4 SV=1;&gt;tr|U5R0D1|U5R0D1_PSEAE Cytochrome C1 family protein OS=Pseudomonas aeruginosa PAO1-VE2 GN=N296_4574 PE=4 SV=</t>
  </si>
  <si>
    <t>_TGELNEAQFDEK(ac)VK_</t>
  </si>
  <si>
    <t>TGELNEAQFDEK(1)VK</t>
  </si>
  <si>
    <t>TGELNEAQFDEK(73.93)VK(-73.93)</t>
  </si>
  <si>
    <t>_EQVLENAETYK(ac)SQVFK_</t>
  </si>
  <si>
    <t>EQVLENAETYK(1)SQVFK</t>
  </si>
  <si>
    <t>EQVLENAETYK(63.89)SQVFK(-63.89)</t>
  </si>
  <si>
    <t>_ILK(ac)EGIEK_</t>
  </si>
  <si>
    <t>ILK(1)EGIEK</t>
  </si>
  <si>
    <t>ILK(53.77)EGIEK(-53.77)</t>
  </si>
  <si>
    <t>G3XD36</t>
  </si>
  <si>
    <t>&gt;tr|G3XD36|G3XD36_PSEAE Phosphoenolpyruvate-protein phosphotransferase PtsP OS=Pseudomonas aeruginosa (strain ATCC 15692 / PAO1 / 1C / PRS 101 / LMG 12228) GN=ptsP PE=3 SV=1;&gt;tr|U5QYM8|U5QYM8_PSEAE Phosphoenolpyruvate-protein phosphotransferase OS=Pseudomo</t>
  </si>
  <si>
    <t>_IVQEVNSAK(ac)DLK_</t>
  </si>
  <si>
    <t>IVQEVNSAK(1)DLK</t>
  </si>
  <si>
    <t>IVQEVNSAK(65.84)DLK(-65.84)</t>
  </si>
  <si>
    <t>_ADNGDAWVEVK(ac)GQK_</t>
  </si>
  <si>
    <t>ADNGDAWVEVK(1)GQK</t>
  </si>
  <si>
    <t>ADNGDAWVEVK(41.09)GQK(-41.09)</t>
  </si>
  <si>
    <t>_LRDLETQSQDGTFDK(ac)LTK_</t>
  </si>
  <si>
    <t>LRDLETQSQDGTFDK(1)LTK</t>
  </si>
  <si>
    <t>LRDLETQSQDGTFDK(54.76)LTK(-54.76)</t>
  </si>
  <si>
    <t>Q9I664</t>
  </si>
  <si>
    <t>&gt;tr|Q9I664|Q9I664_PSEAE Uncharacterized protein OS=Pseudomonas aeruginosa (strain ATCC 15692 / PAO1 / 1C / PRS 101 / LMG 12228) GN=PA0454 PE=4 SV=1;&gt;tr|U5QW56|U5QW56_PSEAE Integral membrane , YccS/YhfK family protein OS=Pseudomonas aeruginosa PAO1-VE2 GN=N</t>
  </si>
  <si>
    <t>_QQSNPAWK(ac)GLLR_</t>
  </si>
  <si>
    <t>QQSNPAWK(1)GLLR</t>
  </si>
  <si>
    <t>QQSNPAWK(46.59)GLLR</t>
  </si>
  <si>
    <t>Q9HX89</t>
  </si>
  <si>
    <t>&gt;tr|Q9HX89|Q9HX89_PSEAE Probable medium-chain acyl-CoA ligase OS=Pseudomonas aeruginosa (strain ATCC 15692 / PAO1 / 1C / PRS 101 / LMG 12228) GN=PA3924 PE=4 SV=1;&gt;tr|U5R387|U5R387_PSEAE AMP-binding enzyme family protein OS=Pseudomonas aeruginosa PAO1-VE2 G</t>
  </si>
  <si>
    <t>_EHLK(ac)PFVEQGNINK_</t>
  </si>
  <si>
    <t>EHLK(1)PFVEQGNINK</t>
  </si>
  <si>
    <t>EHLK(56.12)PFVEQGNINK(-56.12)</t>
  </si>
  <si>
    <t>_SFGAPTITK(ac)DGVSVAK_</t>
  </si>
  <si>
    <t>SFGAPTITK(1)DGVSVAK</t>
  </si>
  <si>
    <t>SFGAPTITK(71.69)DGVSVAK(-71.69)</t>
  </si>
  <si>
    <t>Q9HWE9</t>
  </si>
  <si>
    <t>&gt;sp|Q9HWE9|RS8_PSEAE 30S ribosomal protein S8 OS=Pseudomonas aeruginosa (strain ATCC 15692 / PAO1 / 1C / PRS 101 / LMG 12228) GN=rpsH PE=3 SV=1;&gt;tr|U5R2W6|U5R2W6_PSEAE 30S ribosomal protein S8 OS=Pseudomonas aeruginosa PAO1-VE2 GN=rpsH PE=3 SV=1;&gt;tr|U5RBA0</t>
  </si>
  <si>
    <t>_YFEGKPVIEEVK(ac)R_</t>
  </si>
  <si>
    <t>YFEGKPVIEEVK(1)R</t>
  </si>
  <si>
    <t>YFEGK(-46.08)PVIEEVK(46.08)R</t>
  </si>
  <si>
    <t>Q9HZ41</t>
  </si>
  <si>
    <t>&gt;tr|Q9HZ41|Q9HZ41_PSEAE Uncharacterized protein OS=Pseudomonas aeruginosa (strain ATCC 15692 / PAO1 / 1C / PRS 101 / LMG 12228) GN=PA3199 PE=4 SV=1;&gt;tr|U5QXZ5|U5QXZ5_PSEAE tRNA threonylcarbamoyl adenosine modification protein, Sua5/YciO/YrdC/YwlC family OS</t>
  </si>
  <si>
    <t>_IGEK(ac)TAVDR_</t>
  </si>
  <si>
    <t>IGEK(1)TAVDR</t>
  </si>
  <si>
    <t>IGEK(65.31)TAVDR</t>
  </si>
  <si>
    <t>_TVAEFFGK(ac)EAR_</t>
  </si>
  <si>
    <t>TVAEFFGK(1)EAR</t>
  </si>
  <si>
    <t>TVAEFFGK(94.62)EAR</t>
  </si>
  <si>
    <t>_EIELK(ac)DK_</t>
  </si>
  <si>
    <t>EIELK(1)DK</t>
  </si>
  <si>
    <t>EIELK(80.46)DK(-80.46)</t>
  </si>
  <si>
    <t>_EIAALGGDISK(ac)FVHPAVADALAER_</t>
  </si>
  <si>
    <t>EIAALGGDISK(1)FVHPAVADALAER</t>
  </si>
  <si>
    <t>EIAALGGDISK(98.13)FVHPAVADALAER</t>
  </si>
  <si>
    <t>Q9X2T1</t>
  </si>
  <si>
    <t>&gt;sp|Q9X2T1|THIO_PSEAE Thioredoxin OS=Pseudomonas aeruginosa (strain ATCC 15692 / PAO1 / 1C / PRS 101 / LMG 12228) GN=trxA PE=3 SV=1;&gt;tr|U5R3X7|U5R3X7_PSEAE Thioredoxin OS=Pseudomonas aeruginosa PAO1-VE2 GN=trxA PE=3 SV=1;&gt;tr|U5RBJ9|U5RBJ9_PSEAE Thioredoxin</t>
  </si>
  <si>
    <t>_GIPTLMLFK(ac)DGNVEATK_</t>
  </si>
  <si>
    <t>GIPTLMLFK(1)DGNVEATK</t>
  </si>
  <si>
    <t>GIPTLMLFK(45.72)DGNVEATK(-45.72)</t>
  </si>
  <si>
    <t>Q9I0D3</t>
  </si>
  <si>
    <t>&gt;tr|Q9I0D3|Q9I0D3_PSEAE Cysteine synthase OS=Pseudomonas aeruginosa (strain ATCC 15692 / PAO1 / 1C / PRS 101 / LMG 12228) GN=cysK PE=3 SV=1;&gt;tr|U5R6L2|U5R6L2_PSEAE Cysteine synthase OS=Pseudomonas aeruginosa PAO1-VE2 GN=cysK PE=3 SV=1;&gt;tr|U5R869|U5R869_PSE</t>
  </si>
  <si>
    <t>_AEELVAGDPGK(ac)YFMPQQFDNPANPAIHEK_</t>
  </si>
  <si>
    <t>AEELVAGDPGK(1)YFMPQQFDNPANPAIHEK</t>
  </si>
  <si>
    <t>AEELVAGDPGK(39.47)YFMPQQFDNPANPAIHEK(-39.47)</t>
  </si>
  <si>
    <t>_EVGTVK(ac)WFNDAK_</t>
  </si>
  <si>
    <t>EVGTVK(1)WFNDAK</t>
  </si>
  <si>
    <t>EVGTVK(50.95)WFNDAK(-50.95)</t>
  </si>
  <si>
    <t>Q9HZP8</t>
  </si>
  <si>
    <t>&gt;sp|Q9HZP8|Y2950_PSEAE Putative reductase PA2950 OS=Pseudomonas aeruginosa (strain ATCC 15692 / PAO1 / 1C / PRS 101 / LMG 12228) GN=PA2950 PE=3 SV=1;&gt;tr|U5R6D0|U5R6D0_PSEAE Putative reductase N296_3055 OS=Pseudomonas aeruginosa PAO1-VE2 GN=N296_3055 PE=3 S</t>
  </si>
  <si>
    <t>_GLDTDK(ac)EVIK_</t>
  </si>
  <si>
    <t>GLDTDK(1)EVIK</t>
  </si>
  <si>
    <t>GLDTDK(96.14)EVIK(-96.14)</t>
  </si>
  <si>
    <t>P48372</t>
  </si>
  <si>
    <t>&gt;sp|P48372|GYRA_PSEAE DNA gyrase subunit A OS=Pseudomonas aeruginosa (strain ATCC 15692 / PAO1 / 1C / PRS 101 / LMG 12228) GN=gyrA PE=3 SV=1;&gt;tr|U5QVY6|U5QVY6_PSEAE DNA gyrase subunit A OS=Pseudomonas aeruginosa PAO1-VE2 GN=gyrA PE=3 SV=1;&gt;tr|U5RIV5|U5RIV5</t>
  </si>
  <si>
    <t>_IAELVK(ac)EK_</t>
  </si>
  <si>
    <t>IAELVK(1)EK</t>
  </si>
  <si>
    <t>IAELVK(85.21)EK(-85.21)</t>
  </si>
  <si>
    <t>_NPQTGK(ac)AIEIAAK_</t>
  </si>
  <si>
    <t>NPQTGK(1)AIEIAAK</t>
  </si>
  <si>
    <t>NPQTGK(47.04)AIEIAAK(-47.04)</t>
  </si>
  <si>
    <t>_HQFK(ac)DAGVR_</t>
  </si>
  <si>
    <t>HQFK(1)DAGVR</t>
  </si>
  <si>
    <t>HQFK(124.92)DAGVR</t>
  </si>
  <si>
    <t>_LAK(ac)EHGVQCEWQGDELTFK_</t>
  </si>
  <si>
    <t>LAK(1)EHGVQCEWQGDELTFK</t>
  </si>
  <si>
    <t>LAK(21.99)EHGVQCEWQGDELTFK(-21.99)</t>
  </si>
  <si>
    <t>_VGDEVGTGDLILK(ac)LK_</t>
  </si>
  <si>
    <t>VGDEVGTGDLILK(1)LK</t>
  </si>
  <si>
    <t>VGDEVGTGDLILK(43.18)LK(-43.18)</t>
  </si>
  <si>
    <t>_YK(ac)DLDETRR_</t>
  </si>
  <si>
    <t>YK(1)DLDETRR</t>
  </si>
  <si>
    <t>YK(101.64)DLDETRR</t>
  </si>
  <si>
    <t>_TALAVDAIINQK(ac)DSGIK_</t>
  </si>
  <si>
    <t>TALAVDAIINQK(1)DSGIK</t>
  </si>
  <si>
    <t>TALAVDAIINQK(107.61)DSGIK(-107.61)</t>
  </si>
  <si>
    <t>_DGK(ac)YDLEGEGK_</t>
  </si>
  <si>
    <t>DGK(1)YDLEGEGK</t>
  </si>
  <si>
    <t>DGK(47.29)YDLEGEGK(-47.29)</t>
  </si>
  <si>
    <t xml:space="preserve">&gt;sp|Q9I0A0|IF3_PSEAE Translation initiation factor IF-3 OS=Pseudomonas aeruginosa (strain ATCC 15692 / PAO1 / 1C / PRS 101 / LMG 12228) GN=infC PE=3 SV=1;&gt;tr|U5R6U7|U5R6U7_PSEAE Translation initiation factor IF-3 OS=Pseudomonas aeruginosa PAO1-VE2 GN=infC </t>
  </si>
  <si>
    <t>_GREMAHQELGM(ox)ELLK(ac)R_</t>
  </si>
  <si>
    <t>GREMAHQELGMELLK(1)R</t>
  </si>
  <si>
    <t>GREMAHQELGMELLK(28.58)R</t>
  </si>
  <si>
    <t>Q9HUM6</t>
  </si>
  <si>
    <t>&gt;sp|Q9HUM6|PURA_PSEAE Adenylosuccinate synthetase OS=Pseudomonas aeruginosa (strain ATCC 15692 / PAO1 / 1C / PRS 101 / LMG 12228) GN=purA PE=3 SV=1;&gt;tr|U5R2Y5|U5R2Y5_PSEAE Adenylosuccinate synthetase OS=Pseudomonas aeruginosa PAO1-VE2 GN=purA PE=3 SV=1;&gt;tr</t>
  </si>
  <si>
    <t>_GIGPAYEDK(ac)VAR_</t>
  </si>
  <si>
    <t>GIGPAYEDK(1)VAR</t>
  </si>
  <si>
    <t>GIGPAYEDK(77.06)VAR</t>
  </si>
  <si>
    <t>Q9I4I1</t>
  </si>
  <si>
    <t>&gt;tr|Q9I4I1|Q9I4I1_PSEAE Ribonucleoside-diphosphate reductase OS=Pseudomonas aeruginosa (strain ATCC 15692 / PAO1 / 1C / PRS 101 / LMG 12228) GN=nrdA PE=3 SV=1;&gt;tr|U5R437|U5R437_PSEAE Ribonucleoside-diphosphate reductase OS=Pseudomonas aeruginosa PAO1-VE2 G</t>
  </si>
  <si>
    <t>_VVQAK(ac)DLWR_</t>
  </si>
  <si>
    <t>VVQAK(1)DLWR</t>
  </si>
  <si>
    <t>VVQAK(112.84)DLWR</t>
  </si>
  <si>
    <t>Q51455</t>
  </si>
  <si>
    <t>&gt;sp|Q51455|CHEY_PSEAE Chemotaxis protein CheY OS=Pseudomonas aeruginosa (strain ATCC 15692 / PAO1 / 1C / PRS 101 / LMG 12228) GN=cheY PE=1 SV=1;&gt;tr|U5R758|U5R758_PSEAE Chemotaxis protein CheY OS=Pseudomonas aeruginosa PAO1-VE2 GN=cheY PE=4 SV=1;&gt;tr|U5RKE0|</t>
  </si>
  <si>
    <t>_RIIK(ac)NLLR_</t>
  </si>
  <si>
    <t>RIIK(1)NLLR</t>
  </si>
  <si>
    <t>RIIK(56.38)NLLR</t>
  </si>
  <si>
    <t>Q9HT21</t>
  </si>
  <si>
    <t>&gt;sp|Q9HT21|ATPE_PSEAE ATP synthase epsilon chain OS=Pseudomonas aeruginosa (strain ATCC 15692 / PAO1 / 1C / PRS 101 / LMG 12228) GN=atpC PE=3 SV=1;&gt;tr|U5QT65|U5QT65_PSEAE ATP synthase epsilon chain OS=Pseudomonas aeruginosa PAO1-VE2 GN=atpC PE=3 SV=1;&gt;tr|U</t>
  </si>
  <si>
    <t>_AGDLDEAAAQEALK(ac)AAEK_</t>
  </si>
  <si>
    <t>AGDLDEAAAQEALK(1)AAEK</t>
  </si>
  <si>
    <t>AGDLDEAAAQEALK(74.12)AAEK(-74.12)</t>
  </si>
  <si>
    <t>_NIPVGSTVHGIELK(ac)PGK_</t>
  </si>
  <si>
    <t>NIPVGSTVHGIELK(1)PGK</t>
  </si>
  <si>
    <t>NIPVGSTVHGIELK(20.25)PGK(-20.25)</t>
  </si>
  <si>
    <t>_SNEYANLIGGK(ac)LYEPEEENPMLGFR_</t>
  </si>
  <si>
    <t>SNEYANLIGGK(1)LYEPEEENPMLGFR</t>
  </si>
  <si>
    <t>SNEYANLIGGK(43.16)LYEPEEENPMLGFR</t>
  </si>
  <si>
    <t>_PLVDFYQK(ac)LSAAEGTPK_</t>
  </si>
  <si>
    <t>PLVDFYQK(1)LSAAEGTPK</t>
  </si>
  <si>
    <t>PLVDFYQK(95.43)LSAAEGTPK(-95.43)</t>
  </si>
  <si>
    <t>_LAAAQK(ac)DTGEK_</t>
  </si>
  <si>
    <t>LAAAQK(1)DTGEK</t>
  </si>
  <si>
    <t>LAAAQK(94.3)DTGEK(-94.3)</t>
  </si>
  <si>
    <t>_FGHLPTVFVPAGPMPTGISNK(ac)EK_</t>
  </si>
  <si>
    <t>FGHLPTVFVPAGPMPTGISNK(1)EK</t>
  </si>
  <si>
    <t>FGHLPTVFVPAGPMPTGISNK(49.09)EK(-49.09)</t>
  </si>
  <si>
    <t>_PANFLDVGGGATK(ac)ER_</t>
  </si>
  <si>
    <t>PANFLDVGGGATK(1)ER</t>
  </si>
  <si>
    <t>PANFLDVGGGATK(95.65)ER</t>
  </si>
  <si>
    <t>_QLLK(ac)AGEFADDR_</t>
  </si>
  <si>
    <t>QLLK(1)AGEFADDR</t>
  </si>
  <si>
    <t>QLLK(87.36)AGEFADDR</t>
  </si>
  <si>
    <t>_VCK(ac)LNIDENQDTPPK_</t>
  </si>
  <si>
    <t>VCK(1)LNIDENQDTPPK</t>
  </si>
  <si>
    <t>VCK(40.02)LNIDENQDTPPK(-40.02)</t>
  </si>
  <si>
    <t>Q9HV67</t>
  </si>
  <si>
    <t>&gt;sp|Q9HV67|G6PI_PSEAE Glucose-6-phosphate isomerase OS=Pseudomonas aeruginosa (strain ATCC 15692 / PAO1 / 1C / PRS 101 / LMG 12228) GN=pgi PE=3 SV=1;&gt;tr|U5R3M7|U5R3M7_PSEAE Glucose-6-phosphate isomerase OS=Pseudomonas aeruginosa PAO1-VE2 GN=pgi PE=3 SV=1;&gt;</t>
  </si>
  <si>
    <t>_SFGTLETLK(ac)NAQAAR_</t>
  </si>
  <si>
    <t>SFGTLETLK(1)NAQAAR</t>
  </si>
  <si>
    <t>SFGTLETLK(131.26)NAQAAR</t>
  </si>
  <si>
    <t>Q9HW06</t>
  </si>
  <si>
    <t>&gt;tr|Q9HW06|Q9HW06_PSEAE Probable pyrophosphohydrolase OS=Pseudomonas aeruginosa (strain ATCC 15692 / PAO1 / 1C / PRS 101 / LMG 12228) GN=PA4400 PE=4 SV=1;&gt;tr|U5QVQ2|U5QVQ2_PSEAE Mutator mutT family protein OS=Pseudomonas aeruginosa PAO1-VE2 GN=N296_4545 PE</t>
  </si>
  <si>
    <t>_HQGGLWEFPGGK(ac)VEDGEPVR_</t>
  </si>
  <si>
    <t>HQGGLWEFPGGK(1)VEDGEPVR</t>
  </si>
  <si>
    <t>HQGGLWEFPGGK(82.48)VEDGEPVR</t>
  </si>
  <si>
    <t>_ADLQK(ac)VYETGR_</t>
  </si>
  <si>
    <t>ADLQK(1)VYETGR</t>
  </si>
  <si>
    <t>ADLQK(94.47)VYETGR</t>
  </si>
  <si>
    <t>_TNITGSAK(ac)FAR_</t>
  </si>
  <si>
    <t>TNITGSAK(1)FAR</t>
  </si>
  <si>
    <t>TNITGSAK(89.8)FAR</t>
  </si>
  <si>
    <t>_YHYLCDAPQK(ac)DPDGRPAVIR_</t>
  </si>
  <si>
    <t>YHYLCDAPQK(1)DPDGRPAVIR</t>
  </si>
  <si>
    <t>YHYLCDAPQK(39.66)DPDGRPAVIR</t>
  </si>
  <si>
    <t>_PMLSHPDK(ac)IYPGQVLR_</t>
  </si>
  <si>
    <t>PMLSHPDK(1)IYPGQVLR</t>
  </si>
  <si>
    <t>PMLSHPDK(67.33)IYPGQVLR</t>
  </si>
  <si>
    <t>_DLGK(ac)PQR_</t>
  </si>
  <si>
    <t>DLGK(1)PQR</t>
  </si>
  <si>
    <t>DLGK(53.55)PQR</t>
  </si>
  <si>
    <t>_TYSFK(ac)VNEVLNK_</t>
  </si>
  <si>
    <t>TYSFK(1)VNEVLNK</t>
  </si>
  <si>
    <t>TYSFK(31.99)VNEVLNK(-31.99)</t>
  </si>
  <si>
    <t>_HNDFVK(ac)R_</t>
  </si>
  <si>
    <t>HNDFVK(1)R</t>
  </si>
  <si>
    <t>HNDFVK(140.98)R</t>
  </si>
  <si>
    <t>_IQGIGAGFVPK(ac)NLDLSLVDRVEK_</t>
  </si>
  <si>
    <t>IQGIGAGFVPK(1)NLDLSLVDRVEK</t>
  </si>
  <si>
    <t>IQGIGAGFVPK(69.12)NLDLSLVDRVEK(-69.12)</t>
  </si>
  <si>
    <t>Q9I0J9</t>
  </si>
  <si>
    <t>&gt;sp|Q9I0J9|NUOCD_PSEAE NADH-quinone oxidoreductase subunit C/D OS=Pseudomonas aeruginosa (strain ATCC 15692 / PAO1 / 1C / PRS 101 / LMG 12228) GN=nuoC PE=3 SV=1;&gt;tr|U5R4J1|U5R4J1_PSEAE NADH-quinone oxidoreductase subunit C/D OS=Pseudomonas aeruginosa PAO1-</t>
  </si>
  <si>
    <t>_FKPEDWGMK(ac)R_</t>
  </si>
  <si>
    <t>FKPEDWGMK(1)R</t>
  </si>
  <si>
    <t>FK(-48.95)PEDWGMK(48.95)R</t>
  </si>
  <si>
    <t>_TLEALGHAFAK(ac)IR_</t>
  </si>
  <si>
    <t>TLEALGHAFAK(1)IR</t>
  </si>
  <si>
    <t>TLEALGHAFAK(127.52)IR</t>
  </si>
  <si>
    <t>_SDGQPVEIGGTEK(ac)MSK_</t>
  </si>
  <si>
    <t>SDGQPVEIGGTEK(1)MSK</t>
  </si>
  <si>
    <t>SDGQPVEIGGTEK(82.1)MSK(-82.1)</t>
  </si>
  <si>
    <t>Q51366</t>
  </si>
  <si>
    <t>&gt;sp|Q51366|GM4D_PSEAE GDP-mannose 4,6-dehydratase OS=Pseudomonas aeruginosa (strain ATCC 15692 / PAO1 / 1C / PRS 101 / LMG 12228) GN=gmd PE=1 SV=2;&gt;tr|U5QTX3|U5QTX3_PSEAE GDP-mannose 4,6-dehydratase OS=Pseudomonas aeruginosa PAO1-VE2 GN=gmd PE=3 SV=1;&gt;tr|U</t>
  </si>
  <si>
    <t>_LLLEK(ac)GYR_</t>
  </si>
  <si>
    <t>LLLEK(1)GYR</t>
  </si>
  <si>
    <t>LLLEK(75.11)GYR</t>
  </si>
  <si>
    <t>_AGATPPTTLDELFVAADK(ac)LK_</t>
  </si>
  <si>
    <t>AGATPPTTLDELFVAADK(1)LK</t>
  </si>
  <si>
    <t>AGATPPTTLDELFVAADK(32.56)LK(-32.56)</t>
  </si>
  <si>
    <t>_AISK(ac)LINHCYR_</t>
  </si>
  <si>
    <t>AISK(1)LINHCYR</t>
  </si>
  <si>
    <t>AISK(162.36)LINHCYR</t>
  </si>
  <si>
    <t>Q9I2Y7</t>
  </si>
  <si>
    <t>&gt;tr|Q9I2Y7|Q9I2Y7_PSEAE Phospho-2-dehydro-3-deoxyheptonate aldolase OS=Pseudomonas aeruginosa (strain ATCC 15692 / PAO1 / 1C / PRS 101 / LMG 12228) GN=PA1750 PE=3 SV=1;&gt;tr|U5R531|U5R531_PSEAE Phospho-2-dehydro-3-deoxyheptonate aldolase OS=Pseudomonas aerug</t>
  </si>
  <si>
    <t>_DILDGK(ac)DHR_</t>
  </si>
  <si>
    <t>DILDGK(1)DHR</t>
  </si>
  <si>
    <t>DILDGK(88.82)DHR</t>
  </si>
  <si>
    <t>_LLGVTEK(ac)NLR_</t>
  </si>
  <si>
    <t>LLGVTEK(1)NLR</t>
  </si>
  <si>
    <t>LLGVTEK(145.17)NLR</t>
  </si>
  <si>
    <t>_EGIDK(ac)DLAK_</t>
  </si>
  <si>
    <t>EGIDK(1)DLAK</t>
  </si>
  <si>
    <t>EGIDK(60.02)DLAK(-60.02)</t>
  </si>
  <si>
    <t>Q9HV96</t>
  </si>
  <si>
    <t>&gt;tr|Q9HV96|Q9HV96_PSEAE Uncharacterized protein OS=Pseudomonas aeruginosa (strain ATCC 15692 / PAO1 / 1C / PRS 101 / LMG 12228) GN=PA4701 PE=4 SV=1;&gt;tr|U5R4N5|U5R4N5_PSEAE Phosphotransferase enzyme family protein OS=Pseudomonas aeruginosa PAO1-VE2 GN=N296_</t>
  </si>
  <si>
    <t>_QNFEQVRPLLK(ac)DK_</t>
  </si>
  <si>
    <t>QNFEQVRPLLK(1)DK</t>
  </si>
  <si>
    <t>QNFEQVRPLLK(73.85)DK(-73.85)</t>
  </si>
  <si>
    <t>_EYWK(ac)DVH_</t>
  </si>
  <si>
    <t>EYWK(1)DVH</t>
  </si>
  <si>
    <t>EYWK(40.95)DVH</t>
  </si>
  <si>
    <t>Q9HU73</t>
  </si>
  <si>
    <t>&gt;sp|Q9HU73|F16PA_PSEAE Fructose-1,6-bisphosphatase class 1 OS=Pseudomonas aeruginosa (strain ATCC 15692 / PAO1 / 1C / PRS 101 / LMG 12228) GN=fbp PE=3 SV=1;&gt;tr|U5R5G2|U5R5G2_PSEAE Fructose-1,6-bisphosphatase class 1 OS=Pseudomonas aeruginosa PAO1-VE2 GN=fb</t>
  </si>
  <si>
    <t>_DAREPEK(ac)PGK_</t>
  </si>
  <si>
    <t>DAREPEK(1)PGK</t>
  </si>
  <si>
    <t>DAREPEK(22.47)PGK(-22.47)</t>
  </si>
  <si>
    <t>Q9I5R1</t>
  </si>
  <si>
    <t>&gt;tr|Q9I5R1|Q9I5R1_PSEAE Uncharacterized protein OS=Pseudomonas aeruginosa (strain ATCC 15692 / PAO1 / 1C / PRS 101 / LMG 12228) GN=PA0660 PE=4 SV=1;&gt;tr|U5R1H9|U5R1H9_PSEAE Nitronate monooxygenase family protein OS=Pseudomonas aeruginosa PAO1-VE2 GN=N296_67</t>
  </si>
  <si>
    <t>_LKPVNDEAK(ac)AWK_</t>
  </si>
  <si>
    <t>LK(0.003)PVNDEAK(0.997)AWK</t>
  </si>
  <si>
    <t>LK(-25.23)PVNDEAK(25.23)AWK(-28.81)</t>
  </si>
  <si>
    <t>Q9HYG6</t>
  </si>
  <si>
    <t>&gt;tr|Q9HYG6|Q9HYG6_PSEAE Uncharacterized protein OS=Pseudomonas aeruginosa (strain ATCC 15692 / PAO1 / 1C / PRS 101 / LMG 12228) GN=PA3440 PE=4 SV=1;&gt;tr|U5QW83|U5QW83_PSEAE Uncharacterized protein OS=Pseudomonas aeruginosa PAO1-VE2 GN=N296_3562 PE=4 SV=1;&gt;t</t>
  </si>
  <si>
    <t>_NCLSK(ac)WYK_</t>
  </si>
  <si>
    <t>NCLSK(1)WYK</t>
  </si>
  <si>
    <t>NCLSK(86.83)WYK(-86.83)</t>
  </si>
  <si>
    <t>_AVDDATGGAISAVLK(ac)R_</t>
  </si>
  <si>
    <t>AVDDATGGAISAVLK(1)R</t>
  </si>
  <si>
    <t>AVDDATGGAISAVLK(66.28)R</t>
  </si>
  <si>
    <t>Q9HZJ3</t>
  </si>
  <si>
    <t>&gt;sp|Q9HZJ3|FADA_PSEAE 3-ketoacyl-CoA thiolase OS=Pseudomonas aeruginosa (strain ATCC 15692 / PAO1 / 1C / PRS 101 / LMG 12228) GN=fadA PE=3 SV=1;&gt;tr|U5QU74|U5QU74_PSEAE 3-ketoacyl-CoA thiolase OS=Pseudomonas aeruginosa PAO1-VE2 GN=fadA PE=3 SV=1;&gt;tr|U5RCI0|</t>
  </si>
  <si>
    <t>_LLDK(ac)MDEK_</t>
  </si>
  <si>
    <t>LLDK(1)MDEK</t>
  </si>
  <si>
    <t>LLDK(52.79)MDEK(-52.79)</t>
  </si>
  <si>
    <t>_DQVMFYREDK(ac)K_</t>
  </si>
  <si>
    <t>DQVMFYREDK(1)K</t>
  </si>
  <si>
    <t>DQVMFYREDK(28.81)K(-28.81)</t>
  </si>
  <si>
    <t>_FHAGYGVGLGK(ac)DHTLFAK_</t>
  </si>
  <si>
    <t>FHAGYGVGLGK(1)DHTLFAK</t>
  </si>
  <si>
    <t>FHAGYGVGLGK(24.05)DHTLFAK(-24.05)</t>
  </si>
  <si>
    <t>Q9I0T9</t>
  </si>
  <si>
    <t>&gt;tr|Q9I0T9|Q9I0T9_PSEAE Exodeoxyribonuclease III OS=Pseudomonas aeruginosa (strain ATCC 15692 / PAO1 / 1C / PRS 101 / LMG 12228) GN=xthA PE=4 SV=1;&gt;tr|U5R330|U5R330_PSEAE Exodeoxyribonuclease III OS=Pseudomonas aeruginosa PAO1-VE2 GN=xth PE=4 SV=1;&gt;tr|U5RP</t>
  </si>
  <si>
    <t>_EHPTK(ac)FPAK_</t>
  </si>
  <si>
    <t>EHPTK(1)FPAK</t>
  </si>
  <si>
    <t>EHPTK(40.99)FPAK(-40.99)</t>
  </si>
  <si>
    <t>_EYIPAIQK(ac)GIEEQMK_</t>
  </si>
  <si>
    <t>EYIPAIQK(1)GIEEQMK</t>
  </si>
  <si>
    <t>EYIPAIQK(66.28)GIEEQMK(-66.28)</t>
  </si>
  <si>
    <t>Q9HZP1</t>
  </si>
  <si>
    <t>&gt;tr|Q9HZP1|Q9HZP1_PSEAE Probable transcriptional regulator OS=Pseudomonas aeruginosa (strain ATCC 15692 / PAO1 / 1C / PRS 101 / LMG 12228) GN=PA2957 PE=4 SV=1;&gt;tr|U5R5P2|U5R5P2_PSEAE Bacterial regulatory s, tetR family protein OS=Pseudomonas aeruginosa PAO</t>
  </si>
  <si>
    <t>_GTIYK(ac)HFK_</t>
  </si>
  <si>
    <t>GTIYK(1)HFK</t>
  </si>
  <si>
    <t>GTIYK(24.52)HFK(-24.52)</t>
  </si>
  <si>
    <t>_GAFLIDK(ac)EGVVR_</t>
  </si>
  <si>
    <t>GAFLIDK(1)EGVVR</t>
  </si>
  <si>
    <t>GAFLIDK(93.26)EGVVR</t>
  </si>
  <si>
    <t>Q59653</t>
  </si>
  <si>
    <t>&gt;sp|Q59653|PYRB_PSEAE Aspartate carbamoyltransferase OS=Pseudomonas aeruginosa (strain ATCC 15692 / PAO1 / 1C / PRS 101 / LMG 12228) GN=pyrB PE=3 SV=2;&gt;tr|U5QSU3|U5QSU3_PSEAE Aspartate carbamoyltransferase OS=Pseudomonas aeruginosa PAO1-VE2 GN=pyrB PE=3 SV</t>
  </si>
  <si>
    <t>_LYGLTEK(ac)R_</t>
  </si>
  <si>
    <t>LYGLTEK(1)R</t>
  </si>
  <si>
    <t>LYGLTEK(116.88)R</t>
  </si>
  <si>
    <t>_SK(ac)AEIYLR_</t>
  </si>
  <si>
    <t>SK(1)AEIYLR</t>
  </si>
  <si>
    <t>SK(51.07)AEIYLR</t>
  </si>
  <si>
    <t>Q9I2V3</t>
  </si>
  <si>
    <t>&gt;tr|Q9I2V3|Q9I2V3_PSEAE Uncharacterized protein OS=Pseudomonas aeruginosa (strain ATCC 15692 / PAO1 / 1C / PRS 101 / LMG 12228) GN=PA1789 PE=1 SV=1;&gt;tr|U5QZ56|U5QZ56_PSEAE Universal stress family protein OS=Pseudomonas aeruginosa PAO1-VE2 GN=N296_1837 PE=4</t>
  </si>
  <si>
    <t>_AILTPDDWK(ac)LLR_</t>
  </si>
  <si>
    <t>AILTPDDWK(1)LLR</t>
  </si>
  <si>
    <t>AILTPDDWK(168.22)LLR</t>
  </si>
  <si>
    <t>Q9HWF0</t>
  </si>
  <si>
    <t>&gt;sp|Q9HWF0|RL6_PSEAE 50S ribosomal protein L6 OS=Pseudomonas aeruginosa (strain ATCC 15692 / PAO1 / 1C / PRS 101 / LMG 12228) GN=rplF PE=3 SV=1;&gt;tr|U5R9V3|U5R9V3_PSEAE 50S ribosomal protein L6 OS=Pseudomonas aeruginosa PAO1-VE2 GN=rplF PE=3 SV=1;&gt;tr|U5RLM7</t>
  </si>
  <si>
    <t>_DFRPPEPYK(ac)GK_</t>
  </si>
  <si>
    <t>DFRPPEPYK(1)GK</t>
  </si>
  <si>
    <t>DFRPPEPYK(23.47)GK(-23.47)</t>
  </si>
  <si>
    <t>Q9I2W7</t>
  </si>
  <si>
    <t>&gt;sp|Q9I2W7|RRAAH_PSEAE Putative regulator of ribonuclease activity OS=Pseudomonas aeruginosa (strain ATCC 15692 / PAO1 / 1C / PRS 101 / LMG 12228) GN=PA1772 PE=1 SV=1;&gt;tr|U5R6L1|U5R6L1_PSEAE RraA family protein OS=Pseudomonas aeruginosa PAO1-VE2 GN=N296_18</t>
  </si>
  <si>
    <t>_ALLGDMLAEK(ac)AAK_</t>
  </si>
  <si>
    <t>ALLGDMLAEK(1)AAK</t>
  </si>
  <si>
    <t>ALLGDMLAEK(83.31)AAK(-83.31)</t>
  </si>
  <si>
    <t>_VADEK(ac)IR_</t>
  </si>
  <si>
    <t>VADEK(1)IR</t>
  </si>
  <si>
    <t>VADEK(151.51)IR</t>
  </si>
  <si>
    <t>_YSAGWK(ac)LLGK_</t>
  </si>
  <si>
    <t>YSAGWK(1)LLGK</t>
  </si>
  <si>
    <t>YSAGWK(50.11)LLGK(-50.11)</t>
  </si>
  <si>
    <t>Q9HWC6</t>
  </si>
  <si>
    <t>&gt;sp|Q9HWC6|RL1_PSEAE 50S ribosomal protein L1 OS=Pseudomonas aeruginosa (strain ATCC 15692 / PAO1 / 1C / PRS 101 / LMG 12228) GN=rplA PE=3 SV=1;&gt;tr|U5QT23|U5QT23_PSEAE 50S ribosomal protein L1 OS=Pseudomonas aeruginosa PAO1-VE2 GN=rplA PE=3 SV=1;&gt;tr|U5RK32</t>
  </si>
  <si>
    <t>_GLMPNPK(ac)VGTVTPDVATAVK_</t>
  </si>
  <si>
    <t>GLMPNPK(1)VGTVTPDVATAVK</t>
  </si>
  <si>
    <t>GLMPNPK(30.43)VGTVTPDVATAVK(-30.43)</t>
  </si>
  <si>
    <t>_ILQAGYPVVIDAAYLK(ac)QNQR_</t>
  </si>
  <si>
    <t>ILQAGYPVVIDAAYLK(1)QNQR</t>
  </si>
  <si>
    <t>ILQAGYPVVIDAAYLK(70.34)QNQR</t>
  </si>
  <si>
    <t>Q9I662</t>
  </si>
  <si>
    <t>&gt;tr|Q9I662|Q9I662_PSEAE Probable cold-shock protein OS=Pseudomonas aeruginosa (strain ATCC 15692 / PAO1 / 1C / PRS 101 / LMG 12228) GN=PA0456 PE=3 SV=1;&gt;tr|U5QRB6|U5QRB6_PSEAE Cold shock protein CapB OS=Pseudomonas aeruginosa PAO1-VE2 GN=capB PE=3 SV=1;&gt;tr</t>
  </si>
  <si>
    <t>_VSFEVVQGQK(ac)GMQAER_</t>
  </si>
  <si>
    <t>VSFEVVQGQK(1)GMQAER</t>
  </si>
  <si>
    <t>VSFEVVQGQK(73.89)GMQAER</t>
  </si>
  <si>
    <t>Q9X4P2</t>
  </si>
  <si>
    <t>&gt;sp|Q9X4P2|RPPH_PSEAE RNA pyrophosphohydrolase OS=Pseudomonas aeruginosa (strain ATCC 15692 / PAO1 / 1C / PRS 101 / LMG 12228) GN=rppH PE=3 SV=1;&gt;tr|U5R287|U5R287_PSEAE RNA pyrophosphohydrolase OS=Pseudomonas aeruginosa PAO1-VE2 GN=rppH PE=3 SV=1;&gt;tr|U5RJS</t>
  </si>
  <si>
    <t>_MDITSK(ac)PEFDGWR_</t>
  </si>
  <si>
    <t>MDITSK(1)PEFDGWR</t>
  </si>
  <si>
    <t>MDITSK(40.07)PEFDGWR</t>
  </si>
  <si>
    <t>_VSEEYVEK(ac)FTNGAVTGK_</t>
  </si>
  <si>
    <t>VSEEYVEK(1)FTNGAVTGK</t>
  </si>
  <si>
    <t>VSEEYVEK(59.86)FTNGAVTGK(-59.86)</t>
  </si>
  <si>
    <t>_LFETLVK(ac)DGEK_</t>
  </si>
  <si>
    <t>LFETLVK(1)DGEK</t>
  </si>
  <si>
    <t>LFETLVK(91.85)DGEK(-91.85)</t>
  </si>
  <si>
    <t>Q9HXY1</t>
  </si>
  <si>
    <t>&gt;tr|Q9HXY1|Q9HXY1_PSEAE Methionine aminopeptidase OS=Pseudomonas aeruginosa (strain ATCC 15692 / PAO1 / 1C / PRS 101 / LMG 12228) GN=map PE=1 SV=1;&gt;tr|U5R5A7|U5R5A7_PSEAE Methionine aminopeptidase OS=Pseudomonas aeruginosa PAO1-VE2 GN=map PE=3 SV=1;&gt;tr|U5R</t>
  </si>
  <si>
    <t>_HAEK(ac)NGFSVVR_</t>
  </si>
  <si>
    <t>HAEK(1)NGFSVVR</t>
  </si>
  <si>
    <t>HAEK(77.38)NGFSVVR</t>
  </si>
  <si>
    <t>_ALEEAGAK(ac)VELK_</t>
  </si>
  <si>
    <t>ALEEAGAK(1)VELK</t>
  </si>
  <si>
    <t>ALEEAGAK(99.52)VELK(-99.52)</t>
  </si>
  <si>
    <t>_TGLGMMECK(ac)K_</t>
  </si>
  <si>
    <t>TGLGMMECK(1)K</t>
  </si>
  <si>
    <t>TGLGMMECK(79.15)K(-79.15)</t>
  </si>
  <si>
    <t>_LVTAIIK(ac)PFK_</t>
  </si>
  <si>
    <t>LVTAIIK(1)PFK</t>
  </si>
  <si>
    <t>LVTAIIK(78.94)PFK(-78.94)</t>
  </si>
  <si>
    <t>_LFVVIGPCSIHDIK(ac)AAHEYADR_</t>
  </si>
  <si>
    <t>LFVVIGPCSIHDIK(1)AAHEYADR</t>
  </si>
  <si>
    <t>LFVVIGPCSIHDIK(51.57)AAHEYADR</t>
  </si>
  <si>
    <t>_DLELAHEK(ac)AGQQLR_</t>
  </si>
  <si>
    <t>DLELAHEK(1)AGQQLR</t>
  </si>
  <si>
    <t>DLELAHEK(133.15)AGQQLR</t>
  </si>
  <si>
    <t>_MVQMHANQREEIK(ac)EVR_</t>
  </si>
  <si>
    <t>MVQMHANQREEIK(1)EVR</t>
  </si>
  <si>
    <t>MVQMHANQREEIK(15.84)EVR</t>
  </si>
  <si>
    <t>_EILK(ac)DISLSFFPGAK_</t>
  </si>
  <si>
    <t>EILK(1)DISLSFFPGAK</t>
  </si>
  <si>
    <t>EILK(47.53)DISLSFFPGAK(-47.53)</t>
  </si>
  <si>
    <t>Q9HT76</t>
  </si>
  <si>
    <t>&gt;tr|Q9HT76|Q9HT76_PSEAE NrdJa OS=Pseudomonas aeruginosa (strain ATCC 15692 / PAO1 / 1C / PRS 101 / LMG 12228) GN=nrdJa PE=4 SV=1;&gt;tr|U5QUS2|U5QUS2_PSEAE Ribonucleoside-diphosphate reductase, adenosylcobalamin-dependent OS=Pseudomonas aeruginosa PAO1-VE2 GN</t>
  </si>
  <si>
    <t>_ALADVEDK(ac)ASR_</t>
  </si>
  <si>
    <t>ALADVEDK(1)ASR</t>
  </si>
  <si>
    <t>ALADVEDK(159.4)ASR</t>
  </si>
  <si>
    <t>_VMDSNDQEK(ac)ER_</t>
  </si>
  <si>
    <t>VMDSNDQEK(1)ER</t>
  </si>
  <si>
    <t>VMDSNDQEK(87.3)ER</t>
  </si>
  <si>
    <t>_AM(ox)LK(ac)LADLPESGQMR_</t>
  </si>
  <si>
    <t>AMLK(1)LADLPESGQMR</t>
  </si>
  <si>
    <t>AMLK(31.83)LADLPESGQMR</t>
  </si>
  <si>
    <t>_RAELEK(ac)AAAEK_</t>
  </si>
  <si>
    <t>RAELEK(1)AAAEK</t>
  </si>
  <si>
    <t>RAELEK(64.12)AAAEK(-64.12)</t>
  </si>
  <si>
    <t>Q9HW21</t>
  </si>
  <si>
    <t>&gt;tr|Q9HW21|Q9HW21_PSEAE Probable two-component response regulator OS=Pseudomonas aeruginosa (strain ATCC 15692 / PAO1 / 1C / PRS 101 / LMG 12228) GN=PA4381 PE=4 SV=1;&gt;tr|U5R6G4|U5R6G4_PSEAE Response regulator OS=Pseudomonas aeruginosa PAO1-VE2 GN=N296_4525</t>
  </si>
  <si>
    <t>_QVIDK(ac)PFSVALLHTVHGVGYR_</t>
  </si>
  <si>
    <t>QVIDK(1)PFSVALLHTVHGVGYR</t>
  </si>
  <si>
    <t>QVIDK(51.35)PFSVALLHTVHGVGYR</t>
  </si>
  <si>
    <t>_TVVSMPSSK(ac)LK_</t>
  </si>
  <si>
    <t>TVVSMPSSK(1)LK</t>
  </si>
  <si>
    <t>TVVSMPSSK(66.6)LK(-66.6)</t>
  </si>
  <si>
    <t>_LIAVPHDK(ac)LSVLYK_</t>
  </si>
  <si>
    <t>LIAVPHDK(1)LSVLYK</t>
  </si>
  <si>
    <t>LIAVPHDK(67.52)LSVLYK(-67.52)</t>
  </si>
  <si>
    <t>_QSLEAAGYDLK(ac)R_</t>
  </si>
  <si>
    <t>QSLEAAGYDLK(1)R</t>
  </si>
  <si>
    <t>QSLEAAGYDLK(89.8)R</t>
  </si>
  <si>
    <t>_AVDK(ac)FEYR_</t>
  </si>
  <si>
    <t>AVDK(1)FEYR</t>
  </si>
  <si>
    <t>AVDK(136.11)FEYR</t>
  </si>
  <si>
    <t>Q9HZK6</t>
  </si>
  <si>
    <t>&gt;sp|Q9HZK6|NQRA_PSEAE Na(+)-translocating NADH-quinone reductase subunit A OS=Pseudomonas aeruginosa (strain ATCC 15692 / PAO1 / 1C / PRS 101 / LMG 12228) GN=nqrA PE=3 SV=1;&gt;tr|U5R6X8|U5R6X8_PSEAE Na(+)-translocating NADH-quinone reductase subunit A OS=Pse</t>
  </si>
  <si>
    <t>_VIALAGPVVEK(ac)PR_</t>
  </si>
  <si>
    <t>VIALAGPVVEK(1)PR</t>
  </si>
  <si>
    <t>VIALAGPVVEK(95.02)PR</t>
  </si>
  <si>
    <t>Q9HY84</t>
  </si>
  <si>
    <t>&gt;sp|Q9HY84|ASSY_PSEAE Argininosuccinate synthase OS=Pseudomonas aeruginosa (strain ATCC 15692 / PAO1 / 1C / PRS 101 / LMG 12228) GN=argG PE=3 SV=1;&gt;tr|U5QWN4|U5QWN4_PSEAE Argininosuccinate synthase OS=Pseudomonas aeruginosa PAO1-VE2 GN=argG PE=3 SV=1;&gt;tr|U</t>
  </si>
  <si>
    <t>_EK(ac)LMDYAEK_</t>
  </si>
  <si>
    <t>EK(1)LMDYAEK</t>
  </si>
  <si>
    <t>EK(43.51)LMDYAEK(-43.51)</t>
  </si>
  <si>
    <t>_LLEVFSVDK(ac)FPK_</t>
  </si>
  <si>
    <t>LLEVFSVDK(1)FPK</t>
  </si>
  <si>
    <t>LLEVFSVDK(99.52)FPK(-99.52)</t>
  </si>
  <si>
    <t>U5QWA3</t>
  </si>
  <si>
    <t>&gt;tr|U5QWA3|U5QWA3_PSEAE Uncharacterized protein OS=Pseudomonas aeruginosa PAO1-VE2 GN=N296_1988 PE=4 SV=1;&gt;tr|U5RR84|U5RR84_PSEAE Uncharacterized protein OS=Pseudomonas aeruginosa PAO1-VE13 GN=N297_1988 PE=4 SV=1</t>
  </si>
  <si>
    <t>_IQVELPADISEK(ac)DR_</t>
  </si>
  <si>
    <t>IQVELPADISEK(1)DR</t>
  </si>
  <si>
    <t>IQVELPADISEK(40.02)DR</t>
  </si>
  <si>
    <t>_SPK(ac)FGAIAGCMVTEGMVHR_</t>
  </si>
  <si>
    <t>SPK(1)FGAIAGCMVTEGMVHR</t>
  </si>
  <si>
    <t>SPK(135.28)FGAIAGCMVTEGMVHR</t>
  </si>
  <si>
    <t>_IVGLIK(ac)ER_</t>
  </si>
  <si>
    <t>IVGLIK(1)ER</t>
  </si>
  <si>
    <t>IVGLIK(155.51)ER</t>
  </si>
  <si>
    <t>_TGEYM(ox)QK(ac)GIAQLADLR_</t>
  </si>
  <si>
    <t>TGEYMQK(1)GIAQLADLR</t>
  </si>
  <si>
    <t>TGEYMQK(62.38)GIAQLADLR</t>
  </si>
  <si>
    <t>_AEK(ac)GEEPIK_</t>
  </si>
  <si>
    <t>AEK(1)GEEPIK</t>
  </si>
  <si>
    <t>AEK(61.76)GEEPIK(-61.76)</t>
  </si>
  <si>
    <t>_VIDHDQAGSMEEK(ac)K_</t>
  </si>
  <si>
    <t>VIDHDQAGSMEEK(1)K</t>
  </si>
  <si>
    <t>VIDHDQAGSMEEK(33.69)K(-33.69)</t>
  </si>
  <si>
    <t>_TSSLHFVPMSALK(ac)GDNVVNK_</t>
  </si>
  <si>
    <t>TSSLHFVPMSALK(1)GDNVVNK</t>
  </si>
  <si>
    <t>TSSLHFVPMSALK(45.22)GDNVVNK(-45.22)</t>
  </si>
  <si>
    <t>Q9HUJ8</t>
  </si>
  <si>
    <t>&gt;sp|Q9HUJ8|PARE_PSEAE DNA topoisomerase 4 subunit B OS=Pseudomonas aeruginosa (strain ATCC 15692 / PAO1 / 1C / PRS 101 / LMG 12228) GN=parE PE=3 SV=1;&gt;tr|U5QX24|U5QX24_PSEAE DNA topoisomerase 4 subunit B OS=Pseudomonas aeruginosa PAO1-VE2 GN=parE PE=3 SV=1</t>
  </si>
  <si>
    <t>_YFDSAK(ac)FSVSR_</t>
  </si>
  <si>
    <t>YFDSAK(1)FSVSR</t>
  </si>
  <si>
    <t>YFDSAK(113.93)FSVSR</t>
  </si>
  <si>
    <t>_ALQAIEGLK(ac)GDNEEQNVGIALLR_</t>
  </si>
  <si>
    <t>ALQAIEGLK(1)GDNEEQNVGIALLR</t>
  </si>
  <si>
    <t>ALQAIEGLK(117.55)GDNEEQNVGIALLR</t>
  </si>
  <si>
    <t>Q9HZP6</t>
  </si>
  <si>
    <t>&gt;sp|Q9HZP6|ETFB_PSEAE Electron transfer flavoprotein subunit beta OS=Pseudomonas aeruginosa (strain ATCC 15692 / PAO1 / 1C / PRS 101 / LMG 12228) GN=etfB PE=3 SV=1;&gt;tr|U5R1G3|U5R1G3_PSEAE Electron transfer flavodomain protein OS=Pseudomonas aeruginosa PAO1</t>
  </si>
  <si>
    <t>_VK(ac)SVAELVEK_</t>
  </si>
  <si>
    <t>VK(1)SVAELVEK</t>
  </si>
  <si>
    <t>VK(90.83)SVAELVEK(-90.83)</t>
  </si>
  <si>
    <t>Q9I2R4</t>
  </si>
  <si>
    <t>&gt;tr|Q9I2R4|Q9I2R4_PSEAE Uncharacterized protein OS=Pseudomonas aeruginosa (strain ATCC 15692 / PAO1 / 1C / PRS 101 / LMG 12228) GN=PA1831 PE=4 SV=1;&gt;tr|U5QWH1|U5QWH1_PSEAE Histidine phosphatase super family protein OS=Pseudomonas aeruginosa PAO1-VE2 GN=N29</t>
  </si>
  <si>
    <t>_LLAQASGK(ac)DR_</t>
  </si>
  <si>
    <t>LLAQASGK(1)DR</t>
  </si>
  <si>
    <t>LLAQASGK(122.28)DR</t>
  </si>
  <si>
    <t>_TAGGIVLPGSAAEK(ac)PNRGEVVAVGTGR_</t>
  </si>
  <si>
    <t>TAGGIVLPGSAAEK(1)PNRGEVVAVGTGR</t>
  </si>
  <si>
    <t>TAGGIVLPGSAAEK(140.17)PNRGEVVAVGTGR</t>
  </si>
  <si>
    <t>_LPPWDAK(ac)VEHLSGGEK_</t>
  </si>
  <si>
    <t>LPPWDAK(1)VEHLSGGEK</t>
  </si>
  <si>
    <t>LPPWDAK(82.92)VEHLSGGEK(-82.92)</t>
  </si>
  <si>
    <t>Q9HXI8</t>
  </si>
  <si>
    <t>&gt;sp|Q9HXI8|ISCS_PSEAE Cysteine desulfurase IscS OS=Pseudomonas aeruginosa (strain ATCC 15692 / PAO1 / 1C / PRS 101 / LMG 12228) GN=iscS PE=3 SV=1;&gt;tr|U5QVX4|U5QVX4_PSEAE Cysteine desulfurase IscS OS=Pseudomonas aeruginosa PAO1-VE2 GN=iscS PE=3 SV=1;&gt;tr|U5R</t>
  </si>
  <si>
    <t>_VEIDLDK(ac)LK_</t>
  </si>
  <si>
    <t>VEIDLDK(1)LK</t>
  </si>
  <si>
    <t>VEIDLDK(78.93)LK(-78.93)</t>
  </si>
  <si>
    <t>_IGVNAGSLEK(ac)DLQK_</t>
  </si>
  <si>
    <t>IGVNAGSLEK(1)DLQK</t>
  </si>
  <si>
    <t>IGVNAGSLEK(59.9)DLQK(-59.9)</t>
  </si>
  <si>
    <t>_TEVELLK(ac)TPNLGK_</t>
  </si>
  <si>
    <t>TEVELLK(1)TPNLGK</t>
  </si>
  <si>
    <t>TEVELLK(104.87)TPNLGK(-104.87)</t>
  </si>
  <si>
    <t>_DAEANAEEDRK(ac)FEELAAAR_</t>
  </si>
  <si>
    <t>DAEANAEEDRK(1)FEELAAAR</t>
  </si>
  <si>
    <t>DAEANAEEDRK(79.8)FEELAAAR</t>
  </si>
  <si>
    <t>_VNVIK(ac)VVR_</t>
  </si>
  <si>
    <t>VNVIK(1)VVR</t>
  </si>
  <si>
    <t>VNVIK(134.81)VVR</t>
  </si>
  <si>
    <t>Q9I4D4</t>
  </si>
  <si>
    <t>&gt;tr|Q9I4D4|Q9I4D4_PSEAE Uncharacterized protein OS=Pseudomonas aeruginosa (strain ATCC 15692 / PAO1 / 1C / PRS 101 / LMG 12228) GN=PA1204 PE=1 SV=1;&gt;tr|U5QYY4|U5QYY4_PSEAE NADPH-dependent FMN reductase family protein OS=Pseudomonas aeruginosa PAO1-VE2 GN=N</t>
  </si>
  <si>
    <t>_LLDDK(ac)AR_</t>
  </si>
  <si>
    <t>LLDDK(1)AR</t>
  </si>
  <si>
    <t>LLDDK(29.15)AR</t>
  </si>
  <si>
    <t>O85732</t>
  </si>
  <si>
    <t>&gt;sp|O85732|FMT_PSEAE Methionyl-tRNA formyltransferase OS=Pseudomonas aeruginosa (strain ATCC 15692 / PAO1 / 1C / PRS 101 / LMG 12228) GN=fmt PE=3 SV=1;&gt;tr|U5R347|U5R347_PSEAE Methionyl-tRNA formyltransferase OS=Pseudomonas aeruginosa PAO1-VE2 GN=fmt PE=3 S</t>
  </si>
  <si>
    <t>_LNK(ac)DEAR_</t>
  </si>
  <si>
    <t>LNK(1)DEAR</t>
  </si>
  <si>
    <t>LNK(58.98)DEAR</t>
  </si>
  <si>
    <t>Q51382</t>
  </si>
  <si>
    <t>&gt;sp|Q51382|HSCA_PSEAE Chaperone protein HscA homolog OS=Pseudomonas aeruginosa (strain ATCC 15692 / PAO1 / 1C / PRS 101 / LMG 12228) GN=hscA PE=3 SV=2;&gt;tr|U5R4V0|U5R4V0_PSEAE Chaperone protein HscA homolog OS=Pseudomonas aeruginosa PAO1-VE2 GN=hscA PE=3 SV</t>
  </si>
  <si>
    <t>_ELVK(ac)DCR_</t>
  </si>
  <si>
    <t>ELVK(1)DCR</t>
  </si>
  <si>
    <t>ELVK(62.71)DCR</t>
  </si>
  <si>
    <t>Q9I5A6</t>
  </si>
  <si>
    <t>&gt;tr|Q9I5A6|Q9I5A6_PSEAE Uncharacterized protein OS=Pseudomonas aeruginosa (strain ATCC 15692 / PAO1 / 1C / PRS 101 / LMG 12228) GN=PA0834 PE=4 SV=1;&gt;tr|U5RA66|U5RA66_PSEAE Acyltransferase family protein OS=Pseudomonas aeruginosa PAO1-VE2 GN=N296_861 PE=4 S</t>
  </si>
  <si>
    <t>_K(ac)GQDLATTR_</t>
  </si>
  <si>
    <t>K(1)GQDLATTR</t>
  </si>
  <si>
    <t>K(116.37)GQDLATTR</t>
  </si>
  <si>
    <t>Q9I0T1</t>
  </si>
  <si>
    <t xml:space="preserve">&gt;tr|Q9I0T1|Q9I0T1_PSEAE Probable acyl-CoA thiolase OS=Pseudomonas aeruginosa (strain ATCC 15692 / PAO1 / 1C / PRS 101 / LMG 12228) GN=PA2553 PE=3 SV=1;&gt;tr|U5QXU0|U5QXU0_PSEAE Acetyl-CoA C-acetyltransferase family protein OS=Pseudomonas aeruginosa PAO1-VE2 </t>
  </si>
  <si>
    <t>_IPTLK(ac)PAFR_</t>
  </si>
  <si>
    <t>IPTLK(1)PAFR</t>
  </si>
  <si>
    <t>IPTLK(80.24)PAFR</t>
  </si>
  <si>
    <t>_LK(ac)EIYRK_</t>
  </si>
  <si>
    <t>LK(1)EIYRK</t>
  </si>
  <si>
    <t>LK(55.68)EIYRK(-55.68)</t>
  </si>
  <si>
    <t>Q9X6P4</t>
  </si>
  <si>
    <t>&gt;sp|Q9X6P4|LPXA_PSEAE Acyl-[acyl-carrier-protein]--UDP-N-acetylglucosamine O-acyltransferase OS=Pseudomonas aeruginosa (strain ATCC 15692 / PAO1 / 1C / PRS 101 / LMG 12228) GN=lpxA PE=3 SV=1;&gt;tr|U5R4B4|U5R4B4_PSEAE Acyl-[acyl-carrier-protein]--UDP-N-acetyl</t>
  </si>
  <si>
    <t>_AYK(ac)VVYR_</t>
  </si>
  <si>
    <t>AYK(1)VVYR</t>
  </si>
  <si>
    <t>AYK(64.76)VVYR</t>
  </si>
  <si>
    <t>_GLLYGSYQK(ac)PR_</t>
  </si>
  <si>
    <t>GLLYGSYQK(1)PR</t>
  </si>
  <si>
    <t>GLLYGSYQK(73.5)PR</t>
  </si>
  <si>
    <t>Q9I0L8</t>
  </si>
  <si>
    <t>&gt;tr|Q9I0L8|Q9I0L8_PSEAE ATP-binding protease component ClpA OS=Pseudomonas aeruginosa (strain ATCC 15692 / PAO1 / 1C / PRS 101 / LMG 12228) GN=clpA PE=3 SV=1;&gt;tr|U5R4N2|U5R4N2_PSEAE ATP-dependent Clp protease ATP-binding subunit ClpA OS=Pseudomonas aerugin</t>
  </si>
  <si>
    <t>_YRGDFEK(ac)R_</t>
  </si>
  <si>
    <t>YRGDFEK(1)R</t>
  </si>
  <si>
    <t>YRGDFEK(113.71)R</t>
  </si>
  <si>
    <t>E1JGJ8</t>
  </si>
  <si>
    <t xml:space="preserve">&gt;tr|E1JGJ8|E1JGJ8_PSEAE Peptide chain release factor 2 OS=Pseudomonas aeruginosa (strain ATCC 15692 / PAO1 / 1C / PRS 101 / LMG 12228) GN=prfB PE=3 SV=1;&gt;tr|U5R2R7|U5R2R7_PSEAE Peptide chain release factor 2 OS=Pseudomonas aeruginosa PAO1-VE2 GN=prfB PE=3 </t>
  </si>
  <si>
    <t>_SQHANK(ac)DTAMK_</t>
  </si>
  <si>
    <t>SQHANK(1)DTAMK</t>
  </si>
  <si>
    <t>SQHANK(45.88)DTAMK(-45.88)</t>
  </si>
  <si>
    <t>_WLGGMLTNYK(ac)TIR_</t>
  </si>
  <si>
    <t>WLGGMLTNYK(1)TIR</t>
  </si>
  <si>
    <t>WLGGMLTNYK(106.01)TIR</t>
  </si>
  <si>
    <t>Q9HX01</t>
  </si>
  <si>
    <t xml:space="preserve">&gt;tr|Q9HX01|Q9HX01_PSEAE Probable acetyltransferase OS=Pseudomonas aeruginosa (strain ATCC 15692 / PAO1 / 1C / PRS 101 / LMG 12228) GN=PA4026 PE=1 SV=1;&gt;tr|U5QTB2|U5QTB2_PSEAE Acetyltransferase domain protein OS=Pseudomonas aeruginosa PAO1-VE2 GN=N296_4155 </t>
  </si>
  <si>
    <t>_IVQATLEHLDLLAPLFVK(ac)YR_</t>
  </si>
  <si>
    <t>IVQATLEHLDLLAPLFVK(1)YR</t>
  </si>
  <si>
    <t>IVQATLEHLDLLAPLFVK(102.37)YR</t>
  </si>
  <si>
    <t>_DTTHLEGK(ac)ELEFK_</t>
  </si>
  <si>
    <t>DTTHLEGK(1)ELEFK</t>
  </si>
  <si>
    <t>DTTHLEGK(91.91)ELEFK(-91.91)</t>
  </si>
  <si>
    <t>_LFPNHETDEK(ac)WVDSVLK_</t>
  </si>
  <si>
    <t>LFPNHETDEK(1)WVDSVLK</t>
  </si>
  <si>
    <t>LFPNHETDEK(19.76)WVDSVLK(-19.76)</t>
  </si>
  <si>
    <t>Q9I2U8</t>
  </si>
  <si>
    <t>&gt;sp|Q9I2U8|SYQ_PSEAE Glutamine--tRNA ligase OS=Pseudomonas aeruginosa (strain ATCC 15692 / PAO1 / 1C / PRS 101 / LMG 12228) GN=glnS PE=3 SV=1;&gt;tr|U5R0K6|U5R0K6_PSEAE Glutamine--tRNA ligase OS=Pseudomonas aeruginosa PAO1-VE2 GN=glnS PE=3 SV=1;&gt;tr|U5RAP4|U5R</t>
  </si>
  <si>
    <t>_QIVQADLDAGK(ac)HAK_</t>
  </si>
  <si>
    <t>QIVQADLDAGK(1)HAK</t>
  </si>
  <si>
    <t>QIVQADLDAGK(41.09)HAK(-41.09)</t>
  </si>
  <si>
    <t>Q9HYF1</t>
  </si>
  <si>
    <t>&gt;tr|Q9HYF1|Q9HYF1_PSEAE Uncharacterized protein OS=Pseudomonas aeruginosa (strain ATCC 15692 / PAO1 / 1C / PRS 101 / LMG 12228) GN=PA3455 PE=1 SV=1;&gt;tr|U5R136|U5R136_PSEAE AMP phosphotransferase OS=Pseudomonas aeruginosa PAO1-VE2 GN=pap PE=4 SV=1;&gt;tr|U5RFX</t>
  </si>
  <si>
    <t>_DAYK(ac)EQLAAEQAR_</t>
  </si>
  <si>
    <t>DAYK(1)EQLAAEQAR</t>
  </si>
  <si>
    <t>DAYK(77.74)EQLAAEQAR</t>
  </si>
  <si>
    <t>_LQQNVEALLADLK(ac)R_</t>
  </si>
  <si>
    <t>LQQNVEALLADLK(1)R</t>
  </si>
  <si>
    <t>LQQNVEALLADLK(145.29)R</t>
  </si>
  <si>
    <t>_NAEFMSLAEIEGGIANFGK(ac)K_</t>
  </si>
  <si>
    <t>NAEFMSLAEIEGGIANFGK(1)K</t>
  </si>
  <si>
    <t>NAEFMSLAEIEGGIANFGK(62.2)K(-62.2)</t>
  </si>
  <si>
    <t>_FNFK(ac)GADQQK_</t>
  </si>
  <si>
    <t>FNFK(1)GADQQK</t>
  </si>
  <si>
    <t>FNFK(52.73)GADQQK(-52.73)</t>
  </si>
  <si>
    <t>Q9HTN8</t>
  </si>
  <si>
    <t>&gt;sp|Q9HTN8|RL28_PSEAE 50S ribosomal protein L28 OS=Pseudomonas aeruginosa (strain ATCC 15692 / PAO1 / 1C / PRS 101 / LMG 12228) GN=rpmB PE=3 SV=1;&gt;tr|U5RA32|U5RA32_PSEAE 50S ribosomal protein L28 OS=Pseudomonas aeruginosa PAO1-VE2 GN=rpmB PE=3 SV=1;&gt;tr|U5R</t>
  </si>
  <si>
    <t>_FWVESEK(ac)R_</t>
  </si>
  <si>
    <t>FWVESEK(1)R</t>
  </si>
  <si>
    <t>FWVESEK(111.01)R</t>
  </si>
  <si>
    <t>P57665</t>
  </si>
  <si>
    <t>&gt;sp|P57665|ORN_PSEAE Oligoribonuclease OS=Pseudomonas aeruginosa (strain ATCC 15692 / PAO1 / 1C / PRS 101 / LMG 12228) GN=orn PE=3 SV=1;&gt;tr|U5R171|U5R171_PSEAE Oligoribonuclease OS=Pseudomonas aeruginosa PAO1-VE2 GN=orn PE=3 SV=1;&gt;tr|U5R979|U5R979_PSEAE Ol</t>
  </si>
  <si>
    <t>_NLDVSTLK(ac)ELAAR_</t>
  </si>
  <si>
    <t>NLDVSTLK(1)ELAAR</t>
  </si>
  <si>
    <t>NLDVSTLK(84.36)ELAAR</t>
  </si>
  <si>
    <t>Q9HTI8</t>
  </si>
  <si>
    <t>&gt;tr|Q9HTI8|Q9HTI8_PSEAE Probable ATP-binding component of ABC transporter OS=Pseudomonas aeruginosa (strain ATCC 15692 / PAO1 / 1C / PRS 101 / LMG 12228) GN=PA5376 PE=3 SV=1;&gt;tr|U5QW89|U5QW89_PSEAE Choline ABC transporter, ATP-binding protein OS=Pseudomona</t>
  </si>
  <si>
    <t>_DK(ac)RPDSLSGGMQQR_</t>
  </si>
  <si>
    <t>DK(1)RPDSLSGGMQQR</t>
  </si>
  <si>
    <t>DK(50.16)RPDSLSGGMQQR</t>
  </si>
  <si>
    <t>_WFEGVPSPVK(ac)K_</t>
  </si>
  <si>
    <t>WFEGVPSPVK(1)K</t>
  </si>
  <si>
    <t>WFEGVPSPVK(37.43)K(-37.43)</t>
  </si>
  <si>
    <t>_LIYCSITGFGQSGPYAK(ac)R_</t>
  </si>
  <si>
    <t>LIYCSITGFGQSGPYAK(1)R</t>
  </si>
  <si>
    <t>LIYCSITGFGQSGPYAK(58.67)R</t>
  </si>
  <si>
    <t>_VAPNIQK(ac)YHMEDVHR_</t>
  </si>
  <si>
    <t>VAPNIQK(1)YHMEDVHR</t>
  </si>
  <si>
    <t>VAPNIQK(87.18)YHMEDVHR</t>
  </si>
  <si>
    <t>_IYGTAWADK(ac)K_</t>
  </si>
  <si>
    <t>IYGTAWADK(1)K</t>
  </si>
  <si>
    <t>IYGTAWADK(52.79)K(-52.79)</t>
  </si>
  <si>
    <t>Q9I1F5</t>
  </si>
  <si>
    <t>&gt;tr|Q9I1F5|Q9I1F5_PSEAE Probable glyceraldehyde-3-phosphate dehydrogenase OS=Pseudomonas aeruginosa (strain ATCC 15692 / PAO1 / 1C / PRS 101 / LMG 12228) GN=PA2323 PE=3 SV=1;&gt;tr|U5R5R1|U5R5R1_PSEAE Aldehyde dehydrogenase family protein OS=Pseudomonas aerug</t>
  </si>
  <si>
    <t>_DSEK(ac)EFDR_</t>
  </si>
  <si>
    <t>DSEK(1)EFDR</t>
  </si>
  <si>
    <t>DSEK(82.45)EFDR</t>
  </si>
  <si>
    <t>Q9LCT3</t>
  </si>
  <si>
    <t>&gt;sp|Q9LCT3|SECA_PSEAE Protein translocase subunit SecA OS=Pseudomonas aeruginosa (strain ATCC 15692 / PAO1 / 1C / PRS 101 / LMG 12228) GN=secA PE=3 SV=1;&gt;tr|U5R8F2|U5R8F2_PSEAE Protein translocase subunit SecA OS=Pseudomonas aeruginosa PAO1-VE2 GN=secA PE=</t>
  </si>
  <si>
    <t>_MVTNAIEK(ac)AQR_</t>
  </si>
  <si>
    <t>MVTNAIEK(1)AQR</t>
  </si>
  <si>
    <t>MVTNAIEK(131.28)AQR</t>
  </si>
  <si>
    <t>Q9I4M0</t>
  </si>
  <si>
    <t xml:space="preserve">&gt;tr|Q9I4M0|Q9I4M0_PSEAE Uncharacterized protein OS=Pseudomonas aeruginosa (strain ATCC 15692 / PAO1 / 1C / PRS 101 / LMG 12228) GN=PA1115 PE=4 SV=1;&gt;tr|U5R8P2|U5R8P2_PSEAE Type I phosphodiesterase / nucleotide pyrophosphatase family protein OS=Pseudomonas </t>
  </si>
  <si>
    <t>_TTVTLK(ac)IR_</t>
  </si>
  <si>
    <t>TTVTLK(1)IR</t>
  </si>
  <si>
    <t>TTVTLK(18.31)IR</t>
  </si>
  <si>
    <t>_ETGLDGFRAEVQK(ac)NMER_</t>
  </si>
  <si>
    <t>ETGLDGFRAEVQK(1)NMER</t>
  </si>
  <si>
    <t>ETGLDGFRAEVQK(43.86)NMER</t>
  </si>
  <si>
    <t>_GQDK(ac)FEIK_</t>
  </si>
  <si>
    <t>GQDK(1)FEIK</t>
  </si>
  <si>
    <t>GQDK(60.91)FEIK(-60.91)</t>
  </si>
  <si>
    <t>_VNAFHNGK(ac)FIEVTEESLK_</t>
  </si>
  <si>
    <t>VNAFHNGK(1)FIEVTEESLK</t>
  </si>
  <si>
    <t>VNAFHNGK(51.76)FIEVTEESLK(-51.76)</t>
  </si>
  <si>
    <t>_VLASASTLDK(ac)DLR_</t>
  </si>
  <si>
    <t>VLASASTLDK(1)DLR</t>
  </si>
  <si>
    <t>VLASASTLDK(143.17)DLR</t>
  </si>
  <si>
    <t>_GLK(ac)ENVVVGR_</t>
  </si>
  <si>
    <t>GLK(1)ENVVVGR</t>
  </si>
  <si>
    <t>GLK(77.53)ENVVVGR</t>
  </si>
  <si>
    <t>Q9HZ38</t>
  </si>
  <si>
    <t>&gt;tr|Q9HZ38|Q9HZ38_PSEAE Uncharacterized protein OS=Pseudomonas aeruginosa (strain ATCC 15692 / PAO1 / 1C / PRS 101 / LMG 12228) GN=PA3202 PE=4 SV=1;&gt;tr|U5QVI3|U5QVI3_PSEAE Protein yciI OS=Pseudomonas aeruginosa PAO1-VE2 GN=yciI PE=4 SV=1;&gt;tr|U5RHJ4|U5RHJ4_</t>
  </si>
  <si>
    <t>_LEQLK(ac)EEGR_</t>
  </si>
  <si>
    <t>LEQLK(1)EEGR</t>
  </si>
  <si>
    <t>LEQLK(104.2)EEGR</t>
  </si>
  <si>
    <t>_VLYAMSELGNDWNK(ac)PYK_</t>
  </si>
  <si>
    <t>VLYAMSELGNDWNK(1)PYK</t>
  </si>
  <si>
    <t>VLYAMSELGNDWNK(53.99)PYK(-53.99)</t>
  </si>
  <si>
    <t>_IPESTQTGK(ac)LFR_</t>
  </si>
  <si>
    <t>IPESTQTGK(1)LFR</t>
  </si>
  <si>
    <t>IPESTQTGK(86.46)LFR</t>
  </si>
  <si>
    <t>_LHPGQK(ac)PK_</t>
  </si>
  <si>
    <t>LHPGQK(1)PK</t>
  </si>
  <si>
    <t>LHPGQK(53.17)PK(-53.17)</t>
  </si>
  <si>
    <t>Q9HVW7</t>
  </si>
  <si>
    <t>&gt;sp|Q9HVW7|MURA_PSEAE UDP-N-acetylglucosamine 1-carboxyvinyltransferase OS=Pseudomonas aeruginosa (strain ATCC 15692 / PAO1 / 1C / PRS 101 / LMG 12228) GN=murA PE=3 SV=1;&gt;tr|U5RAE0|U5RAE0_PSEAE UDP-N-acetylglucosamine 1-carboxyvinyltransferase OS=Pseudomon</t>
  </si>
  <si>
    <t>_GYECIEEK(ac)LQLLGAK_</t>
  </si>
  <si>
    <t>GYECIEEK(1)LQLLGAK</t>
  </si>
  <si>
    <t>GYECIEEK(16.74)LQLLGAK(-16.74)</t>
  </si>
  <si>
    <t>Q9I000</t>
  </si>
  <si>
    <t>&gt;tr|Q9I000|Q9I000_PSEAE Probable aldolase OS=Pseudomonas aeruginosa (strain ATCC 15692 / PAO1 / 1C / PRS 101 / LMG 12228) GN=PA2843 PE=4 SV=1;&gt;tr|U5R661|U5R661_PSEAE 3-deoxy-7-phosphoheptulonate synthase OS=Pseudomonas aeruginosa PAO1-VE2 GN=N296_2945 PE=4</t>
  </si>
  <si>
    <t>_MAGQFAK(ac)PR_</t>
  </si>
  <si>
    <t>MAGQFAK(1)PR</t>
  </si>
  <si>
    <t>MAGQFAK(66.62)PR</t>
  </si>
  <si>
    <t>Q9HUC8</t>
  </si>
  <si>
    <t>&gt;sp|Q9HUC8|SYR_PSEAE Arginine--tRNA ligase OS=Pseudomonas aeruginosa (strain ATCC 15692 / PAO1 / 1C / PRS 101 / LMG 12228) GN=argS PE=3 SV=1;&gt;tr|U5QVN3|U5QVN3_PSEAE Arginine--tRNA ligase OS=Pseudomonas aeruginosa PAO1-VE2 GN=argS PE=3 SV=1;&gt;tr|U5RGC5|U5RGC</t>
  </si>
  <si>
    <t>_VVIDLSSPNLAK(ac)EMHVGHLR_</t>
  </si>
  <si>
    <t>VVIDLSSPNLAK(1)EMHVGHLR</t>
  </si>
  <si>
    <t>VVIDLSSPNLAK(30.43)EMHVGHLR</t>
  </si>
  <si>
    <t>_VCQGAEK(ac)HPTSQK_</t>
  </si>
  <si>
    <t>VCQGAEK(1)HPTSQK</t>
  </si>
  <si>
    <t>VCQGAEK(26.97)HPTSQK(-26.97)</t>
  </si>
  <si>
    <t>P22608</t>
  </si>
  <si>
    <t>&gt;sp|P22608|PILB_PSEAE Type 4 fimbrial assembly protein PilB OS=Pseudomonas aeruginosa (strain ATCC 15692 / PAO1 / 1C / PRS 101 / LMG 12228) GN=pilB PE=3 SV=2;&gt;tr|U5R8K0|U5R8K0_PSEAE Type IV-A pilus assembly ATPase PilB OS=Pseudomonas aeruginosa PAO1-VE2 GN</t>
  </si>
  <si>
    <t>_DAISEK(ac)LVR_</t>
  </si>
  <si>
    <t>DAISEK(1)LVR</t>
  </si>
  <si>
    <t>DAISEK(73.23)LVR</t>
  </si>
  <si>
    <t>_CFEDNSLVK(ac)EQVDK_</t>
  </si>
  <si>
    <t>CFEDNSLVK(1)EQVDK</t>
  </si>
  <si>
    <t>CFEDNSLVK(70.41)EQVDK(-70.41)</t>
  </si>
  <si>
    <t>_YGVENPYEK(ac)LK_</t>
  </si>
  <si>
    <t>YGVENPYEK(1)LK</t>
  </si>
  <si>
    <t>YGVENPYEK(29.05)LK(-29.05)</t>
  </si>
  <si>
    <t>Q9HVJ7</t>
  </si>
  <si>
    <t>&gt;tr|Q9HVJ7|Q9HVJ7_PSEAE Glutamate dehydrogenase OS=Pseudomonas aeruginosa (strain ATCC 15692 / PAO1 / 1C / PRS 101 / LMG 12228) GN=gdhA PE=3 SV=1;&gt;tr|U5QVN0|U5QVN0_PSEAE Glutamate dehydrogenase OS=Pseudomonas aeruginosa PAO1-VE2 GN=N296_4739 PE=3 SV=1;&gt;tr|</t>
  </si>
  <si>
    <t>_GGSDFDPK(ac)GK_</t>
  </si>
  <si>
    <t>GGSDFDPK(1)GK</t>
  </si>
  <si>
    <t>GGSDFDPK(50.35)GK(-50.35)</t>
  </si>
  <si>
    <t>_GFNVEEYLSAK(ac)EAR_</t>
  </si>
  <si>
    <t>GFNVEEYLSAK(1)EAR</t>
  </si>
  <si>
    <t>GFNVEEYLSAK(112.51)EAR</t>
  </si>
  <si>
    <t>_EQIIFPEIDYDK(ac)IDALR_</t>
  </si>
  <si>
    <t>EQIIFPEIDYDK(1)IDALR</t>
  </si>
  <si>
    <t>EQIIFPEIDYDK(129.38)IDALR</t>
  </si>
  <si>
    <t>Q9I3G5</t>
  </si>
  <si>
    <t>&gt;tr|Q9I3G5|Q9I3G5_PSEAE Cbb3-type cytochrome c oxidase subunit OS=Pseudomonas aeruginosa (strain ATCC 15692 / PAO1 / 1C / PRS 101 / LMG 12228) GN=ccoP1 PE=3 SV=1;&gt;tr|U5QRR8|U5QRR8_PSEAE Cbb3-type cytochrome c oxidase subunit OS=Pseudomonas aeruginosa PAO1-</t>
  </si>
  <si>
    <t>_FAAMPIEEVAK(ac)DPQAVK_</t>
  </si>
  <si>
    <t>FAAMPIEEVAK(1)DPQAVK</t>
  </si>
  <si>
    <t>FAAMPIEEVAK(21.53)DPQAVK(-21.53)</t>
  </si>
  <si>
    <t>Q9HZF8</t>
  </si>
  <si>
    <t>&gt;sp|Q9HZF8|PYRD_PSEAE Dihydroorotate dehydrogenase (quinone) OS=Pseudomonas aeruginosa (strain ATCC 15692 / PAO1 / 1C / PRS 101 / LMG 12228) GN=pyrD PE=3 SV=1;&gt;tr|U5R0C1|U5R0C1_PSEAE Dihydroorotate dehydrogenase (quinone) OS=Pseudomonas aeruginosa PAO1-VE2</t>
  </si>
  <si>
    <t>_GVLGINIGK(ac)NFDTPVER_</t>
  </si>
  <si>
    <t>GVLGINIGK(1)NFDTPVER</t>
  </si>
  <si>
    <t>GVLGINIGK(55.19)NFDTPVER</t>
  </si>
  <si>
    <t>P45684</t>
  </si>
  <si>
    <t>&gt;sp|P45684|RPOS_PSEAE RNA polymerase sigma factor RpoS OS=Pseudomonas aeruginosa (strain ATCC 15692 / PAO1 / 1C / PRS 101 / LMG 12228) GN=rpoS PE=3 SV=1;&gt;tr|U5R7X4|U5R7X4_PSEAE RNA polymerase sigma factor RpoS OS=Pseudomonas aeruginosa PAO1-VE2 GN=rpoS PE=</t>
  </si>
  <si>
    <t>_AVEK(ac)FDPER_</t>
  </si>
  <si>
    <t>AVEK(1)FDPER</t>
  </si>
  <si>
    <t>AVEK(95.1)FDPER</t>
  </si>
  <si>
    <t>Q9HZM8</t>
  </si>
  <si>
    <t>&gt;tr|Q9HZM8|Q9HZM8_PSEAE Ribonuclease E OS=Pseudomonas aeruginosa (strain ATCC 15692 / PAO1 / 1C / PRS 101 / LMG 12228) GN=rne PE=3 SV=1;&gt;tr|U5R7C7|U5R7C7_PSEAE Ribonuclease E OS=Pseudomonas aeruginosa PAO1-VE2 GN=rne PE=3 SV=1;&gt;tr|U5R835|U5R835_PSEAE Ribon</t>
  </si>
  <si>
    <t>_HGFLPLK(ac)EISR_</t>
  </si>
  <si>
    <t>HGFLPLK(1)EISR</t>
  </si>
  <si>
    <t>HGFLPLK(93.1)EISR</t>
  </si>
  <si>
    <t>Q9I2T9</t>
  </si>
  <si>
    <t>&gt;tr|Q9I2T9|Q9I2T9_PSEAE Lon protease OS=Pseudomonas aeruginosa (strain ATCC 15692 / PAO1 / 1C / PRS 101 / LMG 12228) GN=lon PE=3 SV=1;&gt;tr|U5QYJ4|U5QYJ4_PSEAE Lon protease OS=Pseudomonas aeruginosa PAO1-VE2 GN=lon PE=3 SV=1;&gt;tr|U5R8L9|U5R8L9_PSEAE Lon prote</t>
  </si>
  <si>
    <t>_LIQK(ac)MTK_</t>
  </si>
  <si>
    <t>LIQK(1)MTK</t>
  </si>
  <si>
    <t>LIQK(69.34)MTK(-69.34)</t>
  </si>
  <si>
    <t>O05927</t>
  </si>
  <si>
    <t>&gt;sp|O05927|CYSH_PSEAE Phosphoadenosine phosphosulfate reductase OS=Pseudomonas aeruginosa (strain ATCC 15692 / PAO1 / 1C / PRS 101 / LMG 12228) GN=cysH PE=1 SV=2;&gt;tr|U5R3C5|U5R3C5_PSEAE Phosphoadenosine phosphosulfate reductase OS=Pseudomonas aeruginosa PA</t>
  </si>
  <si>
    <t>_KIEPLK(ac)R_</t>
  </si>
  <si>
    <t>KIEPLK(1)R</t>
  </si>
  <si>
    <t>K(-57.65)IEPLK(57.65)R</t>
  </si>
  <si>
    <t>Q9I2X0</t>
  </si>
  <si>
    <t>&gt;sp|Q9I2X0|PSRP_PSEAE Putative phosphoenolpyruvate synthase regulatory protein OS=Pseudomonas aeruginosa (strain ATCC 15692 / PAO1 / 1C / PRS 101 / LMG 12228) GN=PA1769 PE=3 SV=1;&gt;tr|U5R328|U5R328_PSEAE Putative phosphoenolpyruvate synthase regulatory prot</t>
  </si>
  <si>
    <t>_LTRPYIDTEEK(ac)AR_</t>
  </si>
  <si>
    <t>LTRPYIDTEEK(1)AR</t>
  </si>
  <si>
    <t>LTRPYIDTEEK(24.42)AR</t>
  </si>
  <si>
    <t>Q9HUH4</t>
  </si>
  <si>
    <t>&gt;tr|Q9HUH4|Q9HUH4_PSEAE Uncharacterized protein OS=Pseudomonas aeruginosa (strain ATCC 15692 / PAO1 / 1C / PRS 101 / LMG 12228) GN=PA4991 PE=4 SV=1;&gt;tr|U5QXQ2|U5QXQ2_PSEAE FAD dependent oxidoreductase family protein OS=Pseudomonas aeruginosa PAO1-VE2 GN=N2</t>
  </si>
  <si>
    <t>_LLVGWPTK(ac)LALAPDFADR_</t>
  </si>
  <si>
    <t>LLVGWPTK(1)LALAPDFADR</t>
  </si>
  <si>
    <t>LLVGWPTK(78.93)LALAPDFADR</t>
  </si>
  <si>
    <t>_VDGPSNTPQLDK(ac)FSR_</t>
  </si>
  <si>
    <t>VDGPSNTPQLDK(1)FSR</t>
  </si>
  <si>
    <t>VDGPSNTPQLDK(38.03)FSR</t>
  </si>
  <si>
    <t>Q9HUV8</t>
  </si>
  <si>
    <t>&gt;sp|Q9HUV8|PUR2_PSEAE Phosphoribosylamine--glycine ligase OS=Pseudomonas aeruginosa (strain ATCC 15692 / PAO1 / 1C / PRS 101 / LMG 12228) GN=purD PE=3 SV=1;&gt;tr|U5R6L8|U5R6L8_PSEAE Phosphoribosylamine--glycine ligase OS=Pseudomonas aeruginosa PAO1-VE2 GN=pu</t>
  </si>
  <si>
    <t>_VFHAGTALK(ac)DGQVVTSGGR_</t>
  </si>
  <si>
    <t>VFHAGTALK(1)DGQVVTSGGR</t>
  </si>
  <si>
    <t>VFHAGTALK(131.56)DGQVVTSGGR</t>
  </si>
  <si>
    <t>_NAQMAEK(ac)TVVSMPSSK_</t>
  </si>
  <si>
    <t>NAQMAEK(1)TVVSMPSSK</t>
  </si>
  <si>
    <t>NAQMAEK(39.63)TVVSMPSSK(-39.63)</t>
  </si>
  <si>
    <t>_FAFEK(ac)FPK_</t>
  </si>
  <si>
    <t>FAFEK(1)FPK</t>
  </si>
  <si>
    <t>FAFEK(60.97)FPK(-60.97)</t>
  </si>
  <si>
    <t>Q9I5I5</t>
  </si>
  <si>
    <t>&gt;tr|Q9I5I5|Q9I5I5_PSEAE Probable enoyl-CoA hydratase/isomerase OS=Pseudomonas aeruginosa (strain ATCC 15692 / PAO1 / 1C / PRS 101 / LMG 12228) GN=PA0744 PE=4 SV=1;&gt;tr|U5QSN1|U5QSN1_PSEAE Enoyl-CoA hydratase/isomerase family protein OS=Pseudomonas aeruginos</t>
  </si>
  <si>
    <t>_K(ac)LVDACR_</t>
  </si>
  <si>
    <t>K(1)LVDACR</t>
  </si>
  <si>
    <t>K(74.42)LVDACR</t>
  </si>
  <si>
    <t>Q9HV42</t>
  </si>
  <si>
    <t>&gt;sp|Q9HV42|GRPE_PSEAE Protein GrpE OS=Pseudomonas aeruginosa (strain ATCC 15692 / PAO1 / 1C / PRS 101 / LMG 12228) GN=grpE PE=3 SV=1;&gt;tr|U5R0F3|U5R0F3_PSEAE Protein GrpE OS=Pseudomonas aeruginosa PAO1-VE2 GN=grpE PE=3 SV=1;&gt;tr|U5RKM3|U5RKM3_PSEAE Protein G</t>
  </si>
  <si>
    <t>_RAEQDVEK(ac)AHK_</t>
  </si>
  <si>
    <t>RAEQDVEK(1)AHK</t>
  </si>
  <si>
    <t>RAEQDVEK(59.57)AHK(-59.57)</t>
  </si>
  <si>
    <t>_QLTVADSHFDNK(ac)PVDMPLEVLLGK_</t>
  </si>
  <si>
    <t>QLTVADSHFDNK(1)PVDMPLEVLLGK</t>
  </si>
  <si>
    <t>QLTVADSHFDNK(28.3)PVDMPLEVLLGK(-28.3)</t>
  </si>
  <si>
    <t>Q9HVD5</t>
  </si>
  <si>
    <t>&gt;tr|Q9HVD5|Q9HVD5_PSEAE Uncharacterized protein OS=Pseudomonas aeruginosa (strain ATCC 15692 / PAO1 / 1C / PRS 101 / LMG 12228) GN=PA4657 PE=4 SV=1;&gt;tr|U5QS16|U5QS16_PSEAE Pyridine nucleotide-disulfide oxidoreductase family protein OS=Pseudomonas aeruginos</t>
  </si>
  <si>
    <t>_SAGQTVQLFDK(ac)GHGSGGR_</t>
  </si>
  <si>
    <t>SAGQTVQLFDK(1)GHGSGGR</t>
  </si>
  <si>
    <t>SAGQTVQLFDK(114.29)GHGSGGR</t>
  </si>
  <si>
    <t>O86428</t>
  </si>
  <si>
    <t xml:space="preserve">&gt;sp|O86428|ILVE_PSEAE Branched-chain-amino-acid aminotransferase OS=Pseudomonas aeruginosa (strain ATCC 15692 / PAO1 / 1C / PRS 101 / LMG 12228) GN=ilvE PE=1 SV=2;&gt;tr|U5R1Z7|U5R1Z7_PSEAE Branched-chain amino acid aminotransferase OS=Pseudomonas aeruginosa </t>
  </si>
  <si>
    <t>_RGPVTEK(ac)LQK_</t>
  </si>
  <si>
    <t>RGPVTEK(1)LQK</t>
  </si>
  <si>
    <t>RGPVTEK(119.22)LQK(-119.22)</t>
  </si>
  <si>
    <t>Q9HXP8</t>
  </si>
  <si>
    <t>&gt;tr|Q9HXP8|Q9HXP8_PSEAE Signal recognition particle protein OS=Pseudomonas aeruginosa (strain ATCC 15692 / PAO1 / 1C / PRS 101 / LMG 12228) GN=ffh PE=3 SV=1;&gt;tr|U5R364|U5R364_PSEAE Signal recognition particle protein OS=Pseudomonas aeruginosa PAO1-VE2 GN=f</t>
  </si>
  <si>
    <t>_LTEDNIK(ac)DTLR_</t>
  </si>
  <si>
    <t>LTEDNIK(1)DTLR</t>
  </si>
  <si>
    <t>LTEDNIK(110.46)DTLR</t>
  </si>
  <si>
    <t>P48247</t>
  </si>
  <si>
    <t>&gt;sp|P48247|GSA_PSEAE Glutamate-1-semialdehyde 2,1-aminomutase OS=Pseudomonas aeruginosa (strain ATCC 15692 / PAO1 / 1C / PRS 101 / LMG 12228) GN=hemL PE=3 SV=2;&gt;tr|U5R4Q2|U5R4Q2_PSEAE Glutamate-1-semialdehyde 2,1-aminomutase OS=Pseudomonas aeruginosa PAO1-</t>
  </si>
  <si>
    <t>_AGSGALTFGVPNSPGVPAAFAK(ac)HTLTLPFNDIEAVRK_</t>
  </si>
  <si>
    <t>AGSGALTFGVPNSPGVPAAFAK(1)HTLTLPFNDIEAVRK</t>
  </si>
  <si>
    <t>AGSGALTFGVPNSPGVPAAFAK(64.7)HTLTLPFNDIEAVRK(-64.7)</t>
  </si>
  <si>
    <t>_VIADAK(ac)TDR_</t>
  </si>
  <si>
    <t>VIADAK(1)TDR</t>
  </si>
  <si>
    <t>VIADAK(111.95)TDR</t>
  </si>
  <si>
    <t>Q9I4T8</t>
  </si>
  <si>
    <t>&gt;tr|Q9I4T8|Q9I4T8_PSEAE Uncharacterized protein OS=Pseudomonas aeruginosa (strain ATCC 15692 / PAO1 / 1C / PRS 101 / LMG 12228) GN=PA1036 PE=4 SV=1;&gt;tr|U5QRC6|U5QRC6_PSEAE Uncharacterized protein OS=Pseudomonas aeruginosa PAO1-VE2 GN=N296_1072 PE=4 SV=1;&gt;t</t>
  </si>
  <si>
    <t>_VVIK(ac)NNLDAASAEK_</t>
  </si>
  <si>
    <t>VVIK(1)NNLDAASAEK</t>
  </si>
  <si>
    <t>VVIK(102.66)NNLDAASAEK(-102.66)</t>
  </si>
  <si>
    <t>_DK(ac)ELGPR_</t>
  </si>
  <si>
    <t>DK(1)ELGPR</t>
  </si>
  <si>
    <t>DK(89.14)ELGPR</t>
  </si>
  <si>
    <t>_QVSK(ac)IYEDR_</t>
  </si>
  <si>
    <t>QVSK(1)IYEDR</t>
  </si>
  <si>
    <t>QVSK(84.61)IYEDR</t>
  </si>
  <si>
    <t>_K(ac)QIEETTSDYDREK_</t>
  </si>
  <si>
    <t>K(1)QIEETTSDYDREK</t>
  </si>
  <si>
    <t>K(51.55)QIEETTSDYDREK(-51.55)</t>
  </si>
  <si>
    <t>_FLPAADEQIAK(ac)EALK_</t>
  </si>
  <si>
    <t>FLPAADEQIAK(1)EALK</t>
  </si>
  <si>
    <t>FLPAADEQIAK(83.73)EALK(-83.73)</t>
  </si>
  <si>
    <t>_AAEMTK(ac)LLENIHR_</t>
  </si>
  <si>
    <t>AAEMTK(1)LLENIHR</t>
  </si>
  <si>
    <t>AAEMTK(81.92)LLENIHR</t>
  </si>
  <si>
    <t>_ASDVK(ac)DTSLR_</t>
  </si>
  <si>
    <t>ASDVK(1)DTSLR</t>
  </si>
  <si>
    <t>ASDVK(61.65)DTSLR</t>
  </si>
  <si>
    <t>_FENMGAQLVK(ac)DVASK_</t>
  </si>
  <si>
    <t>FENMGAQLVK(1)DVASK</t>
  </si>
  <si>
    <t>FENMGAQLVK(82.1)DVASK(-82.1)</t>
  </si>
  <si>
    <t>Q9I697</t>
  </si>
  <si>
    <t>&gt;sp|Q9I697|GSHB_PSEAE Glutathione synthetase OS=Pseudomonas aeruginosa (strain ATCC 15692 / PAO1 / 1C / PRS 101 / LMG 12228) GN=gshB PE=3 SV=1;&gt;tr|U5QXE4|U5QXE4_PSEAE Glutathione synthetase OS=Pseudomonas aeruginosa PAO1-VE2 GN=gshB PE=3 SV=1;&gt;tr|U5RBT5|U5</t>
  </si>
  <si>
    <t>_YLPEIK(ac)DGDK_</t>
  </si>
  <si>
    <t>YLPEIK(1)DGDK</t>
  </si>
  <si>
    <t>YLPEIK(52.28)DGDK(-52.28)</t>
  </si>
  <si>
    <t>_LAGQQLSIK(ac)GAK_</t>
  </si>
  <si>
    <t>LAGQQLSIK(1)GAK</t>
  </si>
  <si>
    <t>LAGQQLSIK(67.15)GAK(-67.15)</t>
  </si>
  <si>
    <t>_IVDIK(ac)GR_</t>
  </si>
  <si>
    <t>IVDIK(1)GR</t>
  </si>
  <si>
    <t>IVDIK(49.06)GR</t>
  </si>
  <si>
    <t>Q9HWE1</t>
  </si>
  <si>
    <t>&gt;sp|Q9HWE1|RS3_PSEAE 30S ribosomal protein S3 OS=Pseudomonas aeruginosa (strain ATCC 15692 / PAO1 / 1C / PRS 101 / LMG 12228) GN=rpsC PE=3 SV=1;&gt;tr|U5QW58|U5QW58_PSEAE 30S ribosomal protein S3 OS=Pseudomonas aeruginosa PAO1-VE2 GN=rpsC PE=3 SV=1;&gt;tr|U5RG54</t>
  </si>
  <si>
    <t>_KGEDVEK(ac)LR_</t>
  </si>
  <si>
    <t>K(0.001)GEDVEK(0.999)LR</t>
  </si>
  <si>
    <t>K(-32.73)GEDVEK(32.73)LR</t>
  </si>
  <si>
    <t>P72173</t>
  </si>
  <si>
    <t>&gt;sp|P72173|AAT_PSEAE Aspartate aminotransferase OS=Pseudomonas aeruginosa (strain ATCC 15692 / PAO1 / 1C / PRS 101 / LMG 12228) GN=aspC PE=3 SV=2;&gt;tr|U5QS21|U5QS21_PSEAE Aminotransferase class I and II family protein OS=Pseudomonas aeruginosa PAO1-VE2 GN=N</t>
  </si>
  <si>
    <t>_QVLDVLK(ac)AK_</t>
  </si>
  <si>
    <t>QVLDVLK(1)AK</t>
  </si>
  <si>
    <t>QVLDVLK(55.55)AK(-55.55)</t>
  </si>
  <si>
    <t>_TVGAGVVAK(ac)IIE_</t>
  </si>
  <si>
    <t>TVGAGVVAK(1)IIE</t>
  </si>
  <si>
    <t>TVGAGVVAK(51.29)IIE</t>
  </si>
  <si>
    <t>_ADLAVSK(ac)HQFDIVSTR_</t>
  </si>
  <si>
    <t>ADLAVSK(1)HQFDIVSTR</t>
  </si>
  <si>
    <t>ADLAVSK(55.19)HQFDIVSTR</t>
  </si>
  <si>
    <t>Q9I7C2</t>
  </si>
  <si>
    <t>&gt;sp|Q9I7C2|GYRB_PSEAE DNA gyrase subunit B OS=Pseudomonas aeruginosa (strain ATCC 15692 / PAO1 / 1C / PRS 101 / LMG 12228) GN=gyrB PE=3 SV=1;&gt;tr|U5QWT3|U5QWT3_PSEAE DNA gyrase subunit B OS=Pseudomonas aeruginosa PAO1-VE2 GN=gyrB PE=3 SV=1;&gt;tr|U5R7T7|U5R7T7</t>
  </si>
  <si>
    <t>_VPDPK(ac)FSSQTK_</t>
  </si>
  <si>
    <t>VPDPK(1)FSSQTK</t>
  </si>
  <si>
    <t>VPDPK(36.53)FSSQTK(-36.53)</t>
  </si>
  <si>
    <t>_GLAYIK(ac)VNER_</t>
  </si>
  <si>
    <t>GLAYIK(1)VNER</t>
  </si>
  <si>
    <t>GLAYIK(82.75)VNER</t>
  </si>
  <si>
    <t>_LFPAEVSGGPAALK(ac)AFSGPFPDIR_</t>
  </si>
  <si>
    <t>LFPAEVSGGPAALK(1)AFSGPFPDIR</t>
  </si>
  <si>
    <t>LFPAEVSGGPAALK(32.08)AFSGPFPDIR</t>
  </si>
  <si>
    <t>_NRELMGATDPK(ac)K_</t>
  </si>
  <si>
    <t>NRELMGATDPK(1)K</t>
  </si>
  <si>
    <t>NRELMGATDPK(34.18)K(-34.18)</t>
  </si>
  <si>
    <t>_EQAEK(ac)EGLDR_</t>
  </si>
  <si>
    <t>EQAEK(1)EGLDR</t>
  </si>
  <si>
    <t>EQAEK(74.16)EGLDR</t>
  </si>
  <si>
    <t>_EDGSQDSFK(ac)VLCR_</t>
  </si>
  <si>
    <t>EDGSQDSFK(1)VLCR</t>
  </si>
  <si>
    <t>EDGSQDSFK(131.37)VLCR</t>
  </si>
  <si>
    <t>_VPNIIGIK(ac)EATGDLQR_</t>
  </si>
  <si>
    <t>VPNIIGIK(1)EATGDLQR</t>
  </si>
  <si>
    <t>VPNIIGIK(58.08)EATGDLQR</t>
  </si>
  <si>
    <t>Q9HVM4</t>
  </si>
  <si>
    <t>&gt;sp|Q9HVM4|SYI_PSEAE Isoleucine--tRNA ligase OS=Pseudomonas aeruginosa (strain ATCC 15692 / PAO1 / 1C / PRS 101 / LMG 12228) GN=ileS PE=3 SV=1;&gt;tr|U5QWC2|U5QWC2_PSEAE Isoleucine--tRNA ligase OS=Pseudomonas aeruginosa PAO1-VE2 GN=ileS PE=3 SV=1;&gt;tr|U5RDX3|U</t>
  </si>
  <si>
    <t>_VETTHGK(ac)NLPADK_</t>
  </si>
  <si>
    <t>VETTHGK(1)NLPADK</t>
  </si>
  <si>
    <t>VETTHGK(26.11)NLPADK(-26.11)</t>
  </si>
  <si>
    <t>_ANGMPELHK(ac)LTPFLGVLQDR_</t>
  </si>
  <si>
    <t>ANGMPELHK(1)LTPFLGVLQDR</t>
  </si>
  <si>
    <t>ANGMPELHK(60.53)LTPFLGVLQDR</t>
  </si>
  <si>
    <t>Q9HVA2</t>
  </si>
  <si>
    <t>&gt;sp|Q9HVA2|ILVC_PSEAE Ketol-acid reductoisomerase OS=Pseudomonas aeruginosa (strain ATCC 15692 / PAO1 / 1C / PRS 101 / LMG 12228) GN=ilvC PE=1 SV=1;&gt;tr|U5QZZ1|U5QZZ1_PSEAE Ketol-acid reductoisomerase OS=Pseudomonas aeruginosa PAO1-VE2 GN=ilvC PE=3 SV=1;&gt;tr</t>
  </si>
  <si>
    <t>_SGSATVAK(ac)AEAHGLK_</t>
  </si>
  <si>
    <t>SGSATVAK(1)AEAHGLK</t>
  </si>
  <si>
    <t>SGSATVAK(79.87)AEAHGLK(-79.87)</t>
  </si>
  <si>
    <t>_SAFVGEELAK(ac)SDRPELTAAK_</t>
  </si>
  <si>
    <t>SAFVGEELAK(1)SDRPELTAAK</t>
  </si>
  <si>
    <t>SAFVGEELAK(66.78)SDRPELTAAK(-66.78)</t>
  </si>
  <si>
    <t>_RYVEELLAGK(ac)EGPLGK_</t>
  </si>
  <si>
    <t>RYVEELLAGK(1)EGPLGK</t>
  </si>
  <si>
    <t>RYVEELLAGK(79.02)EGPLGK(-79.02)</t>
  </si>
  <si>
    <t>Q9I0V4</t>
  </si>
  <si>
    <t>&gt;tr|Q9I0V4|Q9I0V4_PSEAE Uncharacterized protein OS=Pseudomonas aeruginosa (strain ATCC 15692 / PAO1 / 1C / PRS 101 / LMG 12228) GN=PA2529 PE=4 SV=1;&gt;tr|U5QZQ6|U5QZQ6_PSEAE Modulator of DNA gyrase family protein OS=Pseudomonas aeruginosa PAO1-VE2 GN=N296_26</t>
  </si>
  <si>
    <t>_K(ac)EYLIREGR_</t>
  </si>
  <si>
    <t>K(1)EYLIREGR</t>
  </si>
  <si>
    <t>K(33.38)EYLIREGR</t>
  </si>
  <si>
    <t>Q9HTJ6</t>
  </si>
  <si>
    <t>&gt;tr|Q9HTJ6|Q9HTJ6_PSEAE Probable two-component response regulator OS=Pseudomonas aeruginosa (strain ATCC 15692 / PAO1 / 1C / PRS 101 / LMG 12228) GN=PA5364 PE=4 SV=1;&gt;tr|U5QRV3|U5QRV3_PSEAE Response regulator OS=Pseudomonas aeruginosa PAO1-VE2 GN=N296_5544</t>
  </si>
  <si>
    <t>_PFSNDQLVAK(ac)IK_</t>
  </si>
  <si>
    <t>PFSNDQLVAK(1)IK</t>
  </si>
  <si>
    <t>PFSNDQLVAK(49.08)IK(-49.08)</t>
  </si>
  <si>
    <t>_VGDLAK(ac)QAGAEIVSFVR_</t>
  </si>
  <si>
    <t>VGDLAK(1)QAGAEIVSFVR</t>
  </si>
  <si>
    <t>VGDLAK(86.38)QAGAEIVSFVR</t>
  </si>
  <si>
    <t>_VIK(ac)LDQK_</t>
  </si>
  <si>
    <t>VIK(1)LDQK</t>
  </si>
  <si>
    <t>VIK(100.74)LDQK(-100.74)</t>
  </si>
  <si>
    <t>O52759</t>
  </si>
  <si>
    <t>&gt;sp|O52759|RS4_PSEAE 30S ribosomal protein S4 OS=Pseudomonas aeruginosa (strain ATCC 15692 / PAO1 / 1C / PRS 101 / LMG 12228) GN=rpsD PE=3 SV=2;&gt;tr|U5QYQ7|U5QYQ7_PSEAE 30S ribosomal protein S4 OS=Pseudomonas aeruginosa PAO1-VE2 GN=rpsD PE=3 SV=1;&gt;tr|U5RHW8</t>
  </si>
  <si>
    <t>_EGTDLFLK(ac)SGAR_</t>
  </si>
  <si>
    <t>EGTDLFLK(1)SGAR</t>
  </si>
  <si>
    <t>EGTDLFLK(81.62)SGAR</t>
  </si>
  <si>
    <t>_ANEK(ac)DELR_</t>
  </si>
  <si>
    <t>ANEK(1)DELR</t>
  </si>
  <si>
    <t>ANEK(50.61)DELR</t>
  </si>
  <si>
    <t>G3XD61</t>
  </si>
  <si>
    <t>&gt;sp|G3XD61|WBPI_PSEAE UDP-2,3-diacetamido-2,3-dideoxy-D-glucuronate 2-epimerase OS=Pseudomonas aeruginosa (strain ATCC 15692 / PAO1 / 1C / PRS 101 / LMG 12228) GN=wbpI PE=1 SV=1;&gt;tr|U5R4J8|U5R4J8_PSEAE UDP-N-acetylglucosamine 2-epimerase OS=Pseudomonas aer</t>
  </si>
  <si>
    <t>_VAIDNLK(ac)NEGFER_</t>
  </si>
  <si>
    <t>VAIDNLK(1)NEGFER</t>
  </si>
  <si>
    <t>VAIDNLK(146.36)NEGFER</t>
  </si>
  <si>
    <t>_GM(ox)QNGDNFK(ac)ILYALADK_</t>
  </si>
  <si>
    <t>GMQNGDNFK(1)ILYALADK</t>
  </si>
  <si>
    <t>GMQNGDNFK(51.15)ILYALADK(-51.15)</t>
  </si>
  <si>
    <t>_SGTADFLK(ac)NLSGDQK_</t>
  </si>
  <si>
    <t>SGTADFLK(1)NLSGDQK</t>
  </si>
  <si>
    <t>SGTADFLK(78.81)NLSGDQK(-78.81)</t>
  </si>
  <si>
    <t>_RVLDMLEK(ac)LAK_</t>
  </si>
  <si>
    <t>RVLDMLEK(1)LAK</t>
  </si>
  <si>
    <t>RVLDMLEK(109.72)LAK(-109.72)</t>
  </si>
  <si>
    <t>_YADLSK(ac)HR_</t>
  </si>
  <si>
    <t>YADLSK(1)HR</t>
  </si>
  <si>
    <t>YADLSK(109.86)HR</t>
  </si>
  <si>
    <t>_QIEAK(ac)ALR_</t>
  </si>
  <si>
    <t>QIEAK(1)ALR</t>
  </si>
  <si>
    <t>QIEAK(69.6)ALR</t>
  </si>
  <si>
    <t>_VTVPHIDFLAK(ac)INAVR_</t>
  </si>
  <si>
    <t>VTVPHIDFLAK(1)INAVR</t>
  </si>
  <si>
    <t>VTVPHIDFLAK(61.66)INAVR</t>
  </si>
  <si>
    <t>_YFQDASAGAEK(ac)LVPEGIEGR_</t>
  </si>
  <si>
    <t>YFQDASAGAEK(1)LVPEGIEGR</t>
  </si>
  <si>
    <t>YFQDASAGAEK(67.42)LVPEGIEGR</t>
  </si>
  <si>
    <t>_AAIETGVATLPYPK(ac)NYPLK_</t>
  </si>
  <si>
    <t>AAIETGVATLPYPK(1)NYPLK</t>
  </si>
  <si>
    <t>AAIETGVATLPYPK(42.91)NYPLK(-42.91)</t>
  </si>
  <si>
    <t>_DIRPAVK(ac)LIDAAGK_</t>
  </si>
  <si>
    <t>DIRPAVK(1)LIDAAGK</t>
  </si>
  <si>
    <t>DIRPAVK(43.81)LIDAAGK(-43.81)</t>
  </si>
  <si>
    <t>_MAEANK(ac)AFSHYR_</t>
  </si>
  <si>
    <t>MAEANK(1)AFSHYR</t>
  </si>
  <si>
    <t>MAEANK(104.82)AFSHYR</t>
  </si>
  <si>
    <t>_FREGFVK(ac)NR_</t>
  </si>
  <si>
    <t>FREGFVK(1)NR</t>
  </si>
  <si>
    <t>FREGFVK(74.27)NR</t>
  </si>
  <si>
    <t>_MLDEIGDVSNIDK(ac)FVEK_</t>
  </si>
  <si>
    <t>MLDEIGDVSNIDK(1)FVEK</t>
  </si>
  <si>
    <t>MLDEIGDVSNIDK(33.31)FVEK(-33.31)</t>
  </si>
  <si>
    <t>Q9I2U1</t>
  </si>
  <si>
    <t>&gt;sp|Q9I2U1|CLPP1_PSEAE ATP-dependent Clp protease proteolytic subunit 1 OS=Pseudomonas aeruginosa (strain ATCC 15692 / PAO1 / 1C / PRS 101 / LMG 12228) GN=clpP1 PE=3 SV=1;&gt;tr|U5R224|U5R224_PSEAE ATP-dependent Clp protease proteolytic subunit OS=Pseudomonas</t>
  </si>
  <si>
    <t>_FMSGDEAVK(ac)YGLIDK_</t>
  </si>
  <si>
    <t>FMSGDEAVK(1)YGLIDK</t>
  </si>
  <si>
    <t>FMSGDEAVK(63.19)YGLIDK(-63.19)</t>
  </si>
  <si>
    <t>Q9HXM6</t>
  </si>
  <si>
    <t>&gt;sp|Q9HXM6|GUAA_PSEAE GMP synthase [glutamine-hydrolyzing] OS=Pseudomonas aeruginosa (strain ATCC 15692 / PAO1 / 1C / PRS 101 / LMG 12228) GN=guaA PE=3 SV=1;&gt;tr|U5R121|U5R121_PSEAE GMP synthase [glutamine-hydrolyzing] OS=Pseudomonas aeruginosa PAO1-VE2 GN=</t>
  </si>
  <si>
    <t>_ANAEDK(ac)FLGR_</t>
  </si>
  <si>
    <t>ANAEDK(1)FLGR</t>
  </si>
  <si>
    <t>ANAEDK(58.7)FLGR</t>
  </si>
  <si>
    <t>Q9I612</t>
  </si>
  <si>
    <t xml:space="preserve">&gt;tr|Q9I612|Q9I612_PSEAE Probable acyl-CoA dehydrogenase OS=Pseudomonas aeruginosa (strain ATCC 15692 / PAO1 / 1C / PRS 101 / LMG 12228) GN=PA0506 PE=3 SV=1;&gt;tr|U5R1E0|U5R1E0_PSEAE Uncharacterized protein OS=Pseudomonas aeruginosa PAO1-VE2 GN=N296_518 PE=3 </t>
  </si>
  <si>
    <t>_IVHK(ac)FCQANEANEAVK_</t>
  </si>
  <si>
    <t>IVHK(1)FCQANEANEAVK</t>
  </si>
  <si>
    <t>IVHK(83.69)FCQANEANEAVK(-83.69)</t>
  </si>
  <si>
    <t>O68282</t>
  </si>
  <si>
    <t>&gt;sp|O68282|G6PD_PSEAE Glucose-6-phosphate 1-dehydrogenase OS=Pseudomonas aeruginosa (strain ATCC 15692 / PAO1 / 1C / PRS 101 / LMG 12228) GN=zwf PE=1 SV=1;&gt;tr|U5R2C1|U5R2C1_PSEAE Glucose-6-phosphate 1-dehydrogenase OS=Pseudomonas aeruginosa PAO1-VE2 GN=zwf</t>
  </si>
  <si>
    <t>_LSEAPK(ac)PYPAGSWGPVASVALVAR_</t>
  </si>
  <si>
    <t>LSEAPK(1)PYPAGSWGPVASVALVAR</t>
  </si>
  <si>
    <t>LSEAPK(28.68)PYPAGSWGPVASVALVAR</t>
  </si>
  <si>
    <t>Q9HZZ2</t>
  </si>
  <si>
    <t>&gt;sp|Q9HZZ2|EFP_PSEAE Elongation factor P OS=Pseudomonas aeruginosa (strain ATCC 15692 / PAO1 / 1C / PRS 101 / LMG 12228) GN=efp PE=1 SV=1;&gt;tr|U5QYC3|U5QYC3_PSEAE Elongation factor P OS=Pseudomonas aeruginosa PAO1-VE2 GN=efp PE=3 SV=1;&gt;tr|U5RE14|U5RE14_PSEA</t>
  </si>
  <si>
    <t>_ADDK(ac)LEPIILDRK_</t>
  </si>
  <si>
    <t>ADDK(1)LEPIILDRK</t>
  </si>
  <si>
    <t>ADDK(40.55)LEPIILDRK(-40.55)</t>
  </si>
  <si>
    <t>_TPDDIEK(ac)MR_</t>
  </si>
  <si>
    <t>TPDDIEK(1)MR</t>
  </si>
  <si>
    <t>TPDDIEK(66.27)MR</t>
  </si>
  <si>
    <t>Q9HX74</t>
  </si>
  <si>
    <t>&gt;tr|Q9HX74|Q9HX74_PSEAE Acyl-CoA thioesterase II OS=Pseudomonas aeruginosa (strain ATCC 15692 / PAO1 / 1C / PRS 101 / LMG 12228) GN=tesB PE=4 SV=1;&gt;tr|U5R7B5|U5R7B5_PSEAE Acyl-CoA thioesterase II OS=Pseudomonas aeruginosa PAO1-VE2 GN=tesB PE=4 SV=1;&gt;tr|U5R</t>
  </si>
  <si>
    <t>_IRDK(ac)LLYPK_</t>
  </si>
  <si>
    <t>IRDK(1)LLYPK</t>
  </si>
  <si>
    <t>IRDK(73.07)LLYPK(-73.07)</t>
  </si>
  <si>
    <t>Q9I553</t>
  </si>
  <si>
    <t>&gt;sp|Q9I553|SYA_PSEAE Alanine--tRNA ligase OS=Pseudomonas aeruginosa (strain ATCC 15692 / PAO1 / 1C / PRS 101 / LMG 12228) GN=alaS PE=3 SV=1;&gt;tr|U5R679|U5R679_PSEAE Alanine--tRNA ligase OS=Pseudomonas aeruginosa PAO1-VE2 GN=alaS PE=3 SV=1;&gt;tr|U5RF38|U5RF38_</t>
  </si>
  <si>
    <t>_TEEEQFAK(ac)TLEQGLK_</t>
  </si>
  <si>
    <t>TEEEQFAK(1)TLEQGLK</t>
  </si>
  <si>
    <t>TEEEQFAK(51.55)TLEQGLK(-51.55)</t>
  </si>
  <si>
    <t>_AMCVLK(ac)PLK_</t>
  </si>
  <si>
    <t>AMCVLK(1)PLK</t>
  </si>
  <si>
    <t>AMCVLK(69.81)PLK(-69.81)</t>
  </si>
  <si>
    <t>Q9HUM9</t>
  </si>
  <si>
    <t>&gt;sp|Q9HUM9|RS6_PSEAE 30S ribosomal protein S6 OS=Pseudomonas aeruginosa (strain ATCC 15692 / PAO1 / 1C / PRS 101 / LMG 12228) GN=rpsF PE=3 SV=1;&gt;tr|U5QYM2|U5QYM2_PSEAE 30S ribosomal protein S6 OS=Pseudomonas aeruginosa PAO1-VE2 GN=rpsF PE=3 SV=1;&gt;tr|U5RNV4</t>
  </si>
  <si>
    <t>_YTK(ac)AIEEDGGK_</t>
  </si>
  <si>
    <t>YTK(1)AIEEDGGK</t>
  </si>
  <si>
    <t>YTK(49.5)AIEEDGGK(-49.5)</t>
  </si>
  <si>
    <t>_LLK(ac)YGPSVPVQEPSGR_</t>
  </si>
  <si>
    <t>LLK(1)YGPSVPVQEPSGR</t>
  </si>
  <si>
    <t>LLK(94.73)YGPSVPVQEPSGR</t>
  </si>
  <si>
    <t>_LNALAEIVK(ac)PER_</t>
  </si>
  <si>
    <t>LNALAEIVK(1)PER</t>
  </si>
  <si>
    <t>LNALAEIVK(97.91)PER</t>
  </si>
  <si>
    <t>_TFK(ac)PERDGLFCAK_</t>
  </si>
  <si>
    <t>TFK(1)PERDGLFCAK</t>
  </si>
  <si>
    <t>TFK(25.72)PERDGLFCAK(-25.72)</t>
  </si>
  <si>
    <t>_GDDLEHYK(ac)GER_</t>
  </si>
  <si>
    <t>GDDLEHYK(1)GER</t>
  </si>
  <si>
    <t>GDDLEHYK(58.68)GER</t>
  </si>
  <si>
    <t>P34003</t>
  </si>
  <si>
    <t>&gt;sp|P34003|AROK_PSEAE Shikimate kinase OS=Pseudomonas aeruginosa (strain ATCC 15692 / PAO1 / 1C / PRS 101 / LMG 12228) GN=aroK PE=3 SV=2;&gt;tr|U5R6K9|U5R6K9_PSEAE Shikimate kinase OS=Pseudomonas aeruginosa PAO1-VE2 GN=aroK PE=3 SV=1;&gt;tr|U5RDJ6|U5RDJ6_PSEAE S</t>
  </si>
  <si>
    <t>_DSDK(ac)EIEQR_</t>
  </si>
  <si>
    <t>DSDK(1)EIEQR</t>
  </si>
  <si>
    <t>DSDK(57.6)EIEQR</t>
  </si>
  <si>
    <t>_VVDAAVEK(ac)AYK_</t>
  </si>
  <si>
    <t>VVDAAVEK(1)AYK</t>
  </si>
  <si>
    <t>VVDAAVEK(93.06)AYK(-93.06)</t>
  </si>
  <si>
    <t>_GTK(ac)REDVER_</t>
  </si>
  <si>
    <t>GTK(1)REDVER</t>
  </si>
  <si>
    <t>GTK(25.94)REDVER</t>
  </si>
  <si>
    <t>_SETLFNNAQK(ac)HIPGGVNSPVR_</t>
  </si>
  <si>
    <t>SETLFNNAQK(1)HIPGGVNSPVR</t>
  </si>
  <si>
    <t>SETLFNNAQK(52.3)HIPGGVNSPVR</t>
  </si>
  <si>
    <t>Q9I043</t>
  </si>
  <si>
    <t>&gt;tr|Q9I043|Q9I043_PSEAE Uncharacterized protein OS=Pseudomonas aeruginosa (strain ATCC 15692 / PAO1 / 1C / PRS 101 / LMG 12228) GN=PA2800 PE=4 SV=1;&gt;tr|U5QZ11|U5QZ11_PSEAE VacJ like lipofamily protein OS=Pseudomonas aeruginosa PAO1-VE2 GN=N296_2900 PE=4 SV</t>
  </si>
  <si>
    <t>_NLANNLLQAK(ac)FHNAGVDTSR_</t>
  </si>
  <si>
    <t>NLANNLLQAK(1)FHNAGVDTSR</t>
  </si>
  <si>
    <t>NLANNLLQAK(101.96)FHNAGVDTSR</t>
  </si>
  <si>
    <t>Q9HTW6</t>
  </si>
  <si>
    <t>&gt;tr|Q9HTW6|Q9HTW6_PSEAE Aminopeptidase P OS=Pseudomonas aeruginosa (strain ATCC 15692 / PAO1 / 1C / PRS 101 / LMG 12228) GN=pepP PE=4 SV=1;&gt;tr|U5R323|U5R323_PSEAE Uncharacterized protein OS=Pseudomonas aeruginosa PAO1-VE2 GN=N296_5402 PE=4 SV=1;&gt;tr|U5R9Q2|</t>
  </si>
  <si>
    <t>_LGLLEGDVDELIAHEAYK(ac)AFYM(ox)HR_</t>
  </si>
  <si>
    <t>LGLLEGDVDELIAHEAYK(1)AFYMHR</t>
  </si>
  <si>
    <t>LGLLEGDVDELIAHEAYK(10.42)AFYMHR</t>
  </si>
  <si>
    <t>Q9HTZ7</t>
  </si>
  <si>
    <t>&gt;sp|Q9HTZ7|PCKA_PSEAE Phosphoenolpyruvate carboxykinase [ATP] OS=Pseudomonas aeruginosa (strain ATCC 15692 / PAO1 / 1C / PRS 101 / LMG 12228) GN=pckA PE=3 SV=1;&gt;tr|U5QV75|U5QV75_PSEAE Phosphoenolpyruvate carboxykinase [ATP] OS=Pseudomonas aeruginosa PAO1-V</t>
  </si>
  <si>
    <t>_CIDLSEK(ac)NEPVIWK_</t>
  </si>
  <si>
    <t>CIDLSEK(1)NEPVIWK</t>
  </si>
  <si>
    <t>CIDLSEK(42.79)NEPVIWK(-42.79)</t>
  </si>
  <si>
    <t>G3XCU6</t>
  </si>
  <si>
    <t>&gt;tr|G3XCU6|G3XCU6_PSEAE Transcriptional regulator CysB OS=Pseudomonas aeruginosa (strain ATCC 15692 / PAO1 / 1C / PRS 101 / LMG 12228) GN=cysB PE=4 SV=1;&gt;tr|U5R576|U5R576_PSEAE Bacterial regulatory helix-turn-helix , lysR family protein OS=Pseudomonas aeru</t>
  </si>
  <si>
    <t>_AVQCHNK(ac)AELDELFDGIELPVY_</t>
  </si>
  <si>
    <t>AVQCHNK(1)AELDELFDGIELPVY</t>
  </si>
  <si>
    <t>AVQCHNK(6.99)AELDELFDGIELPVY</t>
  </si>
  <si>
    <t>Q9I244</t>
  </si>
  <si>
    <t>&gt;sp|Q9I244|EFG2_PSEAE Elongation factor G 2 OS=Pseudomonas aeruginosa (strain ATCC 15692 / PAO1 / 1C / PRS 101 / LMG 12228) GN=fusB PE=3 SV=1;&gt;tr|U5RAL3|U5RAL3_PSEAE Elongation factor G OS=Pseudomonas aeruginosa PAO1-VE2 GN=fusA PE=3 SV=1;&gt;tr|U5RLP3|U5RLP3</t>
  </si>
  <si>
    <t>_NTCEIEGK(ac)FVR_</t>
  </si>
  <si>
    <t>NTCEIEGK(1)FVR</t>
  </si>
  <si>
    <t>NTCEIEGK(68.07)FVR</t>
  </si>
  <si>
    <t>_CYGSTNPVNVVYATFK(ac)GLK_</t>
  </si>
  <si>
    <t>CYGSTNPVNVVYATFK(1)GLK</t>
  </si>
  <si>
    <t>CYGSTNPVNVVYATFK(40.52)GLK(-40.52)</t>
  </si>
  <si>
    <t>_VLDIVQPTDK(ac)TVDALMK_</t>
  </si>
  <si>
    <t>VLDIVQPTDK(1)TVDALMK</t>
  </si>
  <si>
    <t>VLDIVQPTDK(60.47)TVDALMK(-60.47)</t>
  </si>
  <si>
    <t>_SELIDAIAASADIPK(ac)AVAGR_</t>
  </si>
  <si>
    <t>SELIDAIAASADIPK(1)AVAGR</t>
  </si>
  <si>
    <t>SELIDAIAASADIPK(108.49)AVAGR</t>
  </si>
  <si>
    <t>Q9HWF4</t>
  </si>
  <si>
    <t>&gt;sp|Q9HWF4|RL15_PSEAE 50S ribosomal protein L15 OS=Pseudomonas aeruginosa (strain ATCC 15692 / PAO1 / 1C / PRS 101 / LMG 12228) GN=rplO PE=3 SV=1;&gt;tr|U5R1H7|U5R1H7_PSEAE 50S ribosomal protein L15 OS=Pseudomonas aeruginosa PAO1-VE2 GN=rplO PE=3 SV=1;&gt;tr|U5R</t>
  </si>
  <si>
    <t>_VEGDVVSLQTLK(ac)DANLINQHVQR_</t>
  </si>
  <si>
    <t>VEGDVVSLQTLK(1)DANLINQHVQR</t>
  </si>
  <si>
    <t>VEGDVVSLQTLK(73.29)DANLINQHVQR</t>
  </si>
  <si>
    <t>_VFYDK(ac)DCDLSIIQGK_</t>
  </si>
  <si>
    <t>VFYDK(1)DCDLSIIQGK</t>
  </si>
  <si>
    <t>VFYDK(68.83)DCDLSIIQGK(-68.83)</t>
  </si>
  <si>
    <t>Q9HXJ3</t>
  </si>
  <si>
    <t>&gt;tr|Q9HXJ3|Q9HXJ3_PSEAE Uncharacterized protein OS=Pseudomonas aeruginosa (strain ATCC 15692 / PAO1 / 1C / PRS 101 / LMG 12228) GN=PA3804 PE=4 SV=1;&gt;tr|U5QRH1|U5QRH1_PSEAE Helix-turn-helix family protein OS=Pseudomonas aeruginosa PAO1-VE2 GN=N296_3929 PE=4</t>
  </si>
  <si>
    <t>_QLENGAFDK(ac)LPGHTFSR_</t>
  </si>
  <si>
    <t>QLENGAFDK(1)LPGHTFSR</t>
  </si>
  <si>
    <t>QLENGAFDK(50.61)LPGHTFSR</t>
  </si>
  <si>
    <t>_SQDVK(ac)FVAQELK_</t>
  </si>
  <si>
    <t>SQDVK(1)FVAQELK</t>
  </si>
  <si>
    <t>SQDVK(95.4)FVAQELK(-95.4)</t>
  </si>
  <si>
    <t>_AMEDANGVDLTQFK(ac)R_</t>
  </si>
  <si>
    <t>AMEDANGVDLTQFK(1)R</t>
  </si>
  <si>
    <t>AMEDANGVDLTQFK(87.5)R</t>
  </si>
  <si>
    <t>_LVITPNDGSDPYEELIPK(ac)WR_</t>
  </si>
  <si>
    <t>LVITPNDGSDPYEELIPK(1)WR</t>
  </si>
  <si>
    <t>LVITPNDGSDPYEELIPK(77.47)WR</t>
  </si>
  <si>
    <t>_IPGFK(ac)AGK_</t>
  </si>
  <si>
    <t>IPGFK(1)AGK</t>
  </si>
  <si>
    <t>IPGFK(60.97)AGK(-60.97)</t>
  </si>
  <si>
    <t>G3XCV0</t>
  </si>
  <si>
    <t xml:space="preserve">&gt;tr|G3XCV0|G3XCV0_PSEAE Transcriptional regulator FleQ OS=Pseudomonas aeruginosa (strain ATCC 15692 / PAO1 / 1C / PRS 101 / LMG 12228) GN=fleQ PE=4 SV=1;&gt;tr|U5QUH0|U5QUH0_PSEAE AAA domain family protein OS=Pseudomonas aeruginosa PAO1-VE2 GN=N296_1134 PE=4 </t>
  </si>
  <si>
    <t>_IIAATHK(ac)NLEK_</t>
  </si>
  <si>
    <t>IIAATHK(1)NLEK</t>
  </si>
  <si>
    <t>IIAATHK(45.43)NLEK(-45.43)</t>
  </si>
  <si>
    <t>_IQANMDPK(ac)HR_</t>
  </si>
  <si>
    <t>IQANMDPK(1)HR</t>
  </si>
  <si>
    <t>IQANMDPK(42.39)HR</t>
  </si>
  <si>
    <t>_LLAELSTIK(ac)FK_</t>
  </si>
  <si>
    <t>LLAELSTIK(1)FK</t>
  </si>
  <si>
    <t>LLAELSTIK(48.74)FK(-48.74)</t>
  </si>
  <si>
    <t>_VSIEAVK(ac)AAGK_</t>
  </si>
  <si>
    <t>VSIEAVK(1)AAGK</t>
  </si>
  <si>
    <t>VSIEAVK(47.29)AAGK(-47.29)</t>
  </si>
  <si>
    <t>Q9I5F9</t>
  </si>
  <si>
    <t>&gt;tr|Q9I5F9|Q9I5F9_PSEAE Lon protease OS=Pseudomonas aeruginosa (strain ATCC 15692 / PAO1 / 1C / PRS 101 / LMG 12228) GN=lon PE=3 SV=1;&gt;tr|U5R6F2|U5R6F2_PSEAE Lon protease OS=Pseudomonas aeruginosa PAO1-VE2 GN=lon PE=3 SV=1;&gt;tr|U5RN21|U5RN21_PSEAE Lon prote</t>
  </si>
  <si>
    <t>_QLEK(ac)QLGK_</t>
  </si>
  <si>
    <t>QLEK(1)QLGK</t>
  </si>
  <si>
    <t>QLEK(25.57)QLGK(-25.57)</t>
  </si>
  <si>
    <t>_AAVAK(ac)VLK_</t>
  </si>
  <si>
    <t>AAVAK(1)VLK</t>
  </si>
  <si>
    <t>AAVAK(60.48)VLK(-60.48)</t>
  </si>
  <si>
    <t>_VDVFAFIGTHSGASDLK(ac)K_</t>
  </si>
  <si>
    <t>VDVFAFIGTHSGASDLK(1)K</t>
  </si>
  <si>
    <t>VDVFAFIGTHSGASDLK(83.42)K(-83.42)</t>
  </si>
  <si>
    <t>_RNAITK(ac)IELR_</t>
  </si>
  <si>
    <t>RNAITK(1)IELR</t>
  </si>
  <si>
    <t>RNAITK(16.38)IELR</t>
  </si>
  <si>
    <t>Q9I346</t>
  </si>
  <si>
    <t>&gt;tr|Q9I346|Q9I346_PSEAE Uncharacterized protein OS=Pseudomonas aeruginosa (strain ATCC 15692 / PAO1 / 1C / PRS 101 / LMG 12228) GN=PA1679 PE=4 SV=1;&gt;tr|U5R2U6|U5R2U6_PSEAE Uncharacterized protein OS=Pseudomonas aeruginosa PAO1-VE2 GN=N296_1725 PE=4 SV=1;&gt;t</t>
  </si>
  <si>
    <t>_VEGGALALK(ac)DGLTEDAR_</t>
  </si>
  <si>
    <t>VEGGALALK(1)DGLTEDAR</t>
  </si>
  <si>
    <t>VEGGALALK(96.16)DGLTEDAR</t>
  </si>
  <si>
    <t>Q9I2A0</t>
  </si>
  <si>
    <t xml:space="preserve">&gt;tr|Q9I2A0|Q9I2A0_PSEAE 3-hydroxy-3-methylglutaryl-CoA lyase OS=Pseudomonas aeruginosa (strain ATCC 15692 / PAO1 / 1C / PRS 101 / LMG 12228) GN=liuE PE=1 SV=1;&gt;tr|U5R010|U5R010_PSEAE HMGL-like family protein OS=Pseudomonas aeruginosa PAO1-VE2 GN=N296_2074 </t>
  </si>
  <si>
    <t>_DGLQNEK(ac)QPIEVADK_</t>
  </si>
  <si>
    <t>DGLQNEK(1)QPIEVADK</t>
  </si>
  <si>
    <t>DGLQNEK(100.11)QPIEVADK(-100.11)</t>
  </si>
  <si>
    <t>Q9I747</t>
  </si>
  <si>
    <t>&gt;sp|Q9I747|HCP1_PSEAE Protein hcp1 OS=Pseudomonas aeruginosa (strain ATCC 15692 / PAO1 / 1C / PRS 101 / LMG 12228) GN=hcp1 PE=1 SV=1;&gt;tr|U5QVC7|U5QVC7_PSEAE Protein hcp1 OS=Pseudomonas aeruginosa PAO1-VE2 GN=hcp1 PE=4 SV=1;&gt;tr|U5RPX4|U5RPX4_PSEAE Protein h</t>
  </si>
  <si>
    <t>_DGGPVK(ac)YGWNIR_</t>
  </si>
  <si>
    <t>DGGPVK(1)YGWNIR</t>
  </si>
  <si>
    <t>DGGPVK(51.84)YGWNIR</t>
  </si>
  <si>
    <t>Q9I3X2</t>
  </si>
  <si>
    <t>&gt;tr|Q9I3X2|Q9I3X2_PSEAE Uncharacterized protein OS=Pseudomonas aeruginosa (strain ATCC 15692 / PAO1 / 1C / PRS 101 / LMG 12228) GN=PA1372 PE=4 SV=1;&gt;tr|U5QXT1|U5QXT1_PSEAE Uncharacterized protein OS=Pseudomonas aeruginosa PAO1-VE2 GN=N296_1413 PE=4 SV=1;&gt;t</t>
  </si>
  <si>
    <t>_LESEIANFDQK(ac)QR_</t>
  </si>
  <si>
    <t>LESEIANFDQK(1)QR</t>
  </si>
  <si>
    <t>LESEIANFDQK(99.5)QR</t>
  </si>
  <si>
    <t>_PGSATRPFFGVQPVLLDEK(ac)GK_</t>
  </si>
  <si>
    <t>PGSATRPFFGVQPVLLDEK(1)GK</t>
  </si>
  <si>
    <t>PGSATRPFFGVQPVLLDEK(21.13)GK(-21.13)</t>
  </si>
  <si>
    <t>_NINCSIK(ac)DSLER_</t>
  </si>
  <si>
    <t>NINCSIK(1)DSLER</t>
  </si>
  <si>
    <t>NINCSIK(99.52)DSLER</t>
  </si>
  <si>
    <t>&gt;tr|E1JGJ8|E1JGJ8_PSEAE Peptide chain release factor 2 OS=Pseudomonas aeruginosa (strain ATCC 15692 / PAO1 / 1C / PRS 101 / LMG 12228) GN=prfB PE=3 SV=1</t>
  </si>
  <si>
    <t>_GYLDYDQK(ac)HDR_</t>
  </si>
  <si>
    <t>GYLDYDQK(1)HDR</t>
  </si>
  <si>
    <t>GYLDYDQK(17.37)HDR</t>
  </si>
  <si>
    <t>Q9HV59</t>
  </si>
  <si>
    <t>&gt;sp|Q9HV59|PNP_PSEAE Polyribonucleotide nucleotidyltransferase OS=Pseudomonas aeruginosa (strain ATCC 15692 / PAO1 / 1C / PRS 101 / LMG 12228) GN=pnp PE=3 SV=1;&gt;tr|U5R2F1|U5R2F1_PSEAE Polyribonucleotide nucleotidyltransferase OS=Pseudomonas aeruginosa PAO1</t>
  </si>
  <si>
    <t>_PAWDWK(ac)APAENTVLVNAIK_</t>
  </si>
  <si>
    <t>PAWDWK(1)APAENTVLVNAIK</t>
  </si>
  <si>
    <t>PAWDWK(36.64)APAENTVLVNAIK(-36.64)</t>
  </si>
  <si>
    <t>_ALDAIAPLVEVK(ac)SR_</t>
  </si>
  <si>
    <t>ALDAIAPLVEVK(1)SR</t>
  </si>
  <si>
    <t>ALDAIAPLVEVK(110.29)SR</t>
  </si>
  <si>
    <t>_EVEEAAK(ac)LLR_</t>
  </si>
  <si>
    <t>EVEEAAK(1)LLR</t>
  </si>
  <si>
    <t>EVEEAAK(109.66)LLR</t>
  </si>
  <si>
    <t>Q9HTL9</t>
  </si>
  <si>
    <t>&gt;tr|Q9HTL9|Q9HTL9_PSEAE Uncharacterized protein OS=Pseudomonas aeruginosa (strain ATCC 15692 / PAO1 / 1C / PRS 101 / LMG 12228) GN=PA5339 PE=4 SV=1;&gt;tr|U5R2G3|U5R2G3_PSEAE Endoribonuclease L-PSP, putative OS=Pseudomonas aeruginosa PAO1-VE2 GN=N296_5519 PE=</t>
  </si>
  <si>
    <t>_LNIFLTDLSHFAK(ac)VNEIMGR_</t>
  </si>
  <si>
    <t>LNIFLTDLSHFAK(1)VNEIMGR</t>
  </si>
  <si>
    <t>LNIFLTDLSHFAK(85.81)VNEIMGR</t>
  </si>
  <si>
    <t>_PIDVK(ac)THHTLPDFIMTR_</t>
  </si>
  <si>
    <t>PIDVK(1)THHTLPDFIMTR</t>
  </si>
  <si>
    <t>PIDVK(79.65)THHTLPDFIMTR</t>
  </si>
  <si>
    <t>_MLDMGFIHDVK(ac)K_</t>
  </si>
  <si>
    <t>MLDMGFIHDVK(1)K</t>
  </si>
  <si>
    <t>MLDMGFIHDVK(79.82)K(-79.82)</t>
  </si>
  <si>
    <t>_RGLNVDSTGAAISVPVGK(ac)ATLGR_</t>
  </si>
  <si>
    <t>RGLNVDSTGAAISVPVGK(1)ATLGR</t>
  </si>
  <si>
    <t>RGLNVDSTGAAISVPVGK(46.35)ATLGR</t>
  </si>
  <si>
    <t>Q9HXL0</t>
  </si>
  <si>
    <t>&gt;tr|Q9HXL0|Q9HXL0_PSEAE Uncharacterized protein OS=Pseudomonas aeruginosa (strain ATCC 15692 / PAO1 / 1C / PRS 101 / LMG 12228) GN=PA3785 PE=4 SV=1;&gt;tr|U5QZX0|U5QZX0_PSEAE Uncharacterized protein OS=Pseudomonas aeruginosa PAO1-VE2 GN=N296_3910 PE=4 SV=1;&gt;t</t>
  </si>
  <si>
    <t>_VDSVDVAPGK(ac)DLR_</t>
  </si>
  <si>
    <t>VDSVDVAPGK(1)DLR</t>
  </si>
  <si>
    <t>VDSVDVAPGK(96.64)DLR</t>
  </si>
  <si>
    <t>_SAEDFVDMK(ac)GK_</t>
  </si>
  <si>
    <t>SAEDFVDMK(1)GK</t>
  </si>
  <si>
    <t>SAEDFVDMK(46.8)GK(-46.8)</t>
  </si>
  <si>
    <t>_LIAK(ac)MPTIAAMVYK_</t>
  </si>
  <si>
    <t>LIAK(1)MPTIAAMVYK</t>
  </si>
  <si>
    <t>LIAK(62.89)MPTIAAMVYK(-62.89)</t>
  </si>
  <si>
    <t>_QHELK(ac)ADEGR_</t>
  </si>
  <si>
    <t>QHELK(1)ADEGR</t>
  </si>
  <si>
    <t>QHELK(76.28)ADEGR</t>
  </si>
  <si>
    <t>P27726</t>
  </si>
  <si>
    <t>&gt;sp|P27726|G3P_PSEAE Glyceraldehyde-3-phosphate dehydrogenase OS=Pseudomonas aeruginosa (strain ATCC 15692 / PAO1 / 1C / PRS 101 / LMG 12228) GN=gap PE=3 SV=3;&gt;tr|U5R5C7|U5R5C7_PSEAE Glyceraldehyde-3-phosphate dehydrogenase, type I OS=Pseudomonas aeruginos</t>
  </si>
  <si>
    <t>_VLISAPGK(ac)DVEATVVYGVNHEVLR_</t>
  </si>
  <si>
    <t>VLISAPGK(1)DVEATVVYGVNHEVLR</t>
  </si>
  <si>
    <t>VLISAPGK(120.56)DVEATVVYGVNHEVLR</t>
  </si>
  <si>
    <t>Q9HXI5</t>
  </si>
  <si>
    <t>&gt;tr|Q9HXI5|Q9HXI5_PSEAE Probable methyltransferase OS=Pseudomonas aeruginosa (strain ATCC 15692 / PAO1 / 1C / PRS 101 / LMG 12228) GN=PA3817 PE=4 SV=1;&gt;tr|U5R174|U5R174_PSEAE tRNA (Cytidine/uridine-2'-O-)-methyltransferase TrmJ OS=Pseudomonas aeruginosa PA</t>
  </si>
  <si>
    <t>_TLIDIGFLDPEK(ac)PR_</t>
  </si>
  <si>
    <t>TLIDIGFLDPEK(1)PR</t>
  </si>
  <si>
    <t>TLIDIGFLDPEK(80.31)PR</t>
  </si>
  <si>
    <t>_ASLDGQYGLEK(ac)R_</t>
  </si>
  <si>
    <t>ASLDGQYGLEK(1)R</t>
  </si>
  <si>
    <t>ASLDGQYGLEK(125.74)R</t>
  </si>
  <si>
    <t>_AGVYQK(ac)LDK_</t>
  </si>
  <si>
    <t>AGVYQK(1)LDK</t>
  </si>
  <si>
    <t>AGVYQK(57.6)LDK(-57.6)</t>
  </si>
  <si>
    <t>_IAGKPENIVENMVK(ac)GR_</t>
  </si>
  <si>
    <t>IAGKPENIVENMVK(1)GR</t>
  </si>
  <si>
    <t>IAGK(-72.33)PENIVENMVK(72.33)GR</t>
  </si>
  <si>
    <t>_TSAADNVQVK(ac)NGGTIR_</t>
  </si>
  <si>
    <t>TSAADNVQVK(1)NGGTIR</t>
  </si>
  <si>
    <t>TSAADNVQVK(73.16)NGGTIR</t>
  </si>
  <si>
    <t>_YAGK(ac)TSSLRPIFSEYGLIR_</t>
  </si>
  <si>
    <t>YAGK(1)TSSLRPIFSEYGLIR</t>
  </si>
  <si>
    <t>YAGK(65.11)TSSLRPIFSEYGLIR</t>
  </si>
  <si>
    <t>Q9I6M4</t>
  </si>
  <si>
    <t>&gt;sp|Q9I6M4|DAVT_PSEAE 5-aminovalerate aminotransferase DavT OS=Pseudomonas aeruginosa (strain ATCC 15692 / PAO1 / 1C / PRS 101 / LMG 12228) GN=davT PE=1 SV=1;&gt;tr|U5R5D9|U5R5D9_PSEAE 4-aminobutyrate transaminase OS=Pseudomonas aeruginosa PAO1-VE2 GN=gabT PE</t>
  </si>
  <si>
    <t>_TNESLLK(ac)R_</t>
  </si>
  <si>
    <t>TNESLLK(1)R</t>
  </si>
  <si>
    <t>TNESLLK(127.56)R</t>
  </si>
  <si>
    <t>Q9HT05</t>
  </si>
  <si>
    <t>&gt;sp|Q9HT05|RNPA_PSEAE Ribonuclease P protein component OS=Pseudomonas aeruginosa (strain ATCC 15692 / PAO1 / 1C / PRS 101 / LMG 12228) GN=rnpA PE=3 SV=1;&gt;tr|U5R562|U5R562_PSEAE Ribonuclease P protein component OS=Pseudomonas aeruginosa PAO1-VE2 GN=rnpA PE=</t>
  </si>
  <si>
    <t>_GLGELENPELHQQFGK(ac)LWK_</t>
  </si>
  <si>
    <t>GLGELENPELHQQFGK(1)LWK</t>
  </si>
  <si>
    <t>GLGELENPELHQQFGK(39.35)LWK(-39.35)</t>
  </si>
  <si>
    <t>Q9HZ51</t>
  </si>
  <si>
    <t>&gt;tr|Q9HZ51|Q9HZ51_PSEAE Probable ATP-binding component of ABC transporter OS=Pseudomonas aeruginosa (strain ATCC 15692 / PAO1 / 1C / PRS 101 / LMG 12228) GN=PA3187 PE=4 SV=1;&gt;tr|U5R0E7|U5R0E7_PSEAE ABC transporter family protein OS=Pseudomonas aeruginosa P</t>
  </si>
  <si>
    <t>_VYLFDEPLSNLDAK(ac)LR_</t>
  </si>
  <si>
    <t>VYLFDEPLSNLDAK(1)LR</t>
  </si>
  <si>
    <t>VYLFDEPLSNLDAK(68.04)LR</t>
  </si>
  <si>
    <t>_GESVNK(ac)FNR_</t>
  </si>
  <si>
    <t>GESVNK(1)FNR</t>
  </si>
  <si>
    <t>GESVNK(133.86)FNR</t>
  </si>
  <si>
    <t>Q9HTC5</t>
  </si>
  <si>
    <t>&gt;tr|Q9HTC5|Q9HTC5_PSEAE Uncharacterized protein OS=Pseudomonas aeruginosa (strain ATCC 15692 / PAO1 / 1C / PRS 101 / LMG 12228) GN=PA5441 PE=4 SV=1;&gt;tr|U5R485|U5R485_PSEAE Uncharacterized protein OS=Pseudomonas aeruginosa PAO1-VE2 GN=N296_5629 PE=4 SV=1;&gt;t</t>
  </si>
  <si>
    <t>_GLYAASAK(ac)GLQR_</t>
  </si>
  <si>
    <t>GLYAASAK(1)GLQR</t>
  </si>
  <si>
    <t>GLYAASAK(16.14)GLQR</t>
  </si>
  <si>
    <t>_AIYWNDDDK(ac)GMTYREEEIPAELK_</t>
  </si>
  <si>
    <t>AIYWNDDDK(1)GMTYREEEIPAELK</t>
  </si>
  <si>
    <t>AIYWNDDDK(34.15)GMTYREEEIPAELK(-34.15)</t>
  </si>
  <si>
    <t>_LNPAGSPSVEPK(ac)SFEK_</t>
  </si>
  <si>
    <t>LNPAGSPSVEPK(1)SFEK</t>
  </si>
  <si>
    <t>LNPAGSPSVEPK(45.86)SFEK(-45.86)</t>
  </si>
  <si>
    <t>Q9HUP3</t>
  </si>
  <si>
    <t>&gt;sp|Q9HUP3|NADE_PSEAE NH(3)-dependent NAD(+) synthetase OS=Pseudomonas aeruginosa (strain ATCC 15692 / PAO1 / 1C / PRS 101 / LMG 12228) GN=nadE PE=3 SV=1;&gt;tr|U5QZW5|U5QZW5_PSEAE NH(3)-dependent NAD(+) synthetase OS=Pseudomonas aeruginosa PAO1-VE2 GN=nadE P</t>
  </si>
  <si>
    <t>_RIAFIQQCLK(ac)DSGLK_</t>
  </si>
  <si>
    <t>RIAFIQQCLK(1)DSGLK</t>
  </si>
  <si>
    <t>RIAFIQQCLK(69.72)DSGLK(-69.72)</t>
  </si>
  <si>
    <t>Q9HYT6</t>
  </si>
  <si>
    <t>&gt;sp|Q9HYT6|RAPA_PSEAE RNA polymerase-associated protein RapA OS=Pseudomonas aeruginosa (strain ATCC 15692 / PAO1 / 1C / PRS 101 / LMG 12228) GN=rapA PE=3 SV=1;&gt;tr|U5QTL1|U5QTL1_PSEAE RNA polymerase-associated protein RapA OS=Pseudomonas aeruginosa PAO1-VE2</t>
  </si>
  <si>
    <t>_VSANK(ac)FVQAQR_</t>
  </si>
  <si>
    <t>VSANK(1)FVQAQR</t>
  </si>
  <si>
    <t>VSANK(106.62)FVQAQR</t>
  </si>
  <si>
    <t>_GDLDLGSLDSEEDK(ac)K_</t>
  </si>
  <si>
    <t>GDLDLGSLDSEEDK(1)K</t>
  </si>
  <si>
    <t>GDLDLGSLDSEEDK(47.53)K(-47.53)</t>
  </si>
  <si>
    <t>P72139</t>
  </si>
  <si>
    <t>&gt;sp|P72139|HIS62_PSEAE Putative imidazole glycerol phosphate synthase subunit hisF2 OS=Pseudomonas aeruginosa (strain ATCC 15692 / PAO1 / 1C / PRS 101 / LMG 12228) GN=hisF2 PE=3 SV=1;&gt;tr|U5QYC2|U5QYC2_PSEAE Glycosyl amidation-associated protein WbuZ OS=Pse</t>
  </si>
  <si>
    <t>_VIPCLLLK(ac)DR_</t>
  </si>
  <si>
    <t>VIPCLLLK(1)DR</t>
  </si>
  <si>
    <t>VIPCLLLK(61.16)DR</t>
  </si>
  <si>
    <t>_YFIHK(ac)DGIR_</t>
  </si>
  <si>
    <t>YFIHK(1)DGIR</t>
  </si>
  <si>
    <t>YFIHK(56.73)DGIR</t>
  </si>
  <si>
    <t>_VTPK(ac)GETQLTPEEK_</t>
  </si>
  <si>
    <t>VTPK(1)GETQLTPEEK</t>
  </si>
  <si>
    <t>VTPK(32.73)GETQLTPEEK(-32.73)</t>
  </si>
  <si>
    <t>_LVPK(ac)QFDALVAR_</t>
  </si>
  <si>
    <t>LVPK(1)QFDALVAR</t>
  </si>
  <si>
    <t>LVPK(92.61)QFDALVAR</t>
  </si>
  <si>
    <t>_VGHDLK(ac)LLTR_</t>
  </si>
  <si>
    <t>VGHDLK(1)LLTR</t>
  </si>
  <si>
    <t>VGHDLK(108.67)LLTR</t>
  </si>
  <si>
    <t>_GNIMK(ac)FTEGAFK_</t>
  </si>
  <si>
    <t>GNIMK(1)FTEGAFK</t>
  </si>
  <si>
    <t>GNIMK(85.29)FTEGAFK(-85.29)</t>
  </si>
  <si>
    <t>_RTPLSK(ac)FPR_</t>
  </si>
  <si>
    <t>RTPLSK(1)FPR</t>
  </si>
  <si>
    <t>RTPLSK(57.35)FPR</t>
  </si>
  <si>
    <t>_LNK(ac)DVPLTDIEGLISQHNPWVK_</t>
  </si>
  <si>
    <t>LNK(1)DVPLTDIEGLISQHNPWVK</t>
  </si>
  <si>
    <t>LNK(69.76)DVPLTDIEGLISQHNPWVK(-69.76)</t>
  </si>
  <si>
    <t>_SNPWEDFSSQFNK(ac)GDR_</t>
  </si>
  <si>
    <t>SNPWEDFSSQFNK(1)GDR</t>
  </si>
  <si>
    <t>SNPWEDFSSQFNK(60.92)GDR</t>
  </si>
  <si>
    <t>Q9HVQ3</t>
  </si>
  <si>
    <t>&gt;tr|Q9HVQ3|Q9HVQ3_PSEAE Ornithine decarboxylase OS=Pseudomonas aeruginosa (strain ATCC 15692 / PAO1 / 1C / PRS 101 / LMG 12228) GN=speC PE=3 SV=1;&gt;tr|U5R022|U5R022_PSEAE Uncharacterized protein OS=Pseudomonas aeruginosa PAO1-VE2 GN=N296_4665 PE=3 SV=1;&gt;tr|</t>
  </si>
  <si>
    <t>_AFADK(ac)QETPFVVIDK_</t>
  </si>
  <si>
    <t>AFADK(1)QETPFVVIDK</t>
  </si>
  <si>
    <t>AFADK(31.83)QETPFVVIDK(-31.83)</t>
  </si>
  <si>
    <t>_IVYVNK(ac)MDR_</t>
  </si>
  <si>
    <t>IVYVNK(1)MDR</t>
  </si>
  <si>
    <t>IVYVNK(152.63)MDR</t>
  </si>
  <si>
    <t>Q9I045</t>
  </si>
  <si>
    <t>&gt;tr|Q9I045|Q9I045_PSEAE Probable two-component response regulator OS=Pseudomonas aeruginosa (strain ATCC 15692 / PAO1 / 1C / PRS 101 / LMG 12228) GN=PA2798 PE=1 SV=1;&gt;tr|U5QZX4|U5QZX4_PSEAE Stage II sporulation E family protein OS=Pseudomonas aeruginosa PA</t>
  </si>
  <si>
    <t>_YRDK(ac)LEAANR_</t>
  </si>
  <si>
    <t>YRDK(1)LEAANR</t>
  </si>
  <si>
    <t>YRDK(82.42)LEAANR</t>
  </si>
  <si>
    <t>_AGTFK(ac)SAPAR_</t>
  </si>
  <si>
    <t>AGTFK(1)SAPAR</t>
  </si>
  <si>
    <t>AGTFK(80.69)SAPAR</t>
  </si>
  <si>
    <t>_AAGK(ac)LLDK_</t>
  </si>
  <si>
    <t>AAGK(1)LLDK</t>
  </si>
  <si>
    <t>AAGK(60.97)LLDK(-60.97)</t>
  </si>
  <si>
    <t>_LMDYAEK(ac)HGIPIER_</t>
  </si>
  <si>
    <t>LMDYAEK(1)HGIPIER</t>
  </si>
  <si>
    <t>LMDYAEK(41.64)HGIPIER</t>
  </si>
  <si>
    <t>_LEEK(ac)GVPVR_</t>
  </si>
  <si>
    <t>LEEK(1)GVPVR</t>
  </si>
  <si>
    <t>LEEK(92.06)GVPVR</t>
  </si>
  <si>
    <t>Q9HTF4</t>
  </si>
  <si>
    <t>&gt;tr|Q9HTF4|Q9HTF4_PSEAE GbcA OS=Pseudomonas aeruginosa (strain ATCC 15692 / PAO1 / 1C / PRS 101 / LMG 12228) GN=gbcA PE=4 SV=1;&gt;tr|U5QVM0|U5QVM0_PSEAE Ring hydroxylating alpha subunit family protein OS=Pseudomonas aeruginosa PAO1-VE2 GN=N296_5596 PE=4 SV=1</t>
  </si>
  <si>
    <t>_IK(ac)NPDLGSMR_</t>
  </si>
  <si>
    <t>IK(1)NPDLGSMR</t>
  </si>
  <si>
    <t>IK(52.55)NPDLGSMR</t>
  </si>
  <si>
    <t>_DALTK(ac)EGVEK_</t>
  </si>
  <si>
    <t>DALTK(1)EGVEK</t>
  </si>
  <si>
    <t>DALTK(27.43)EGVEK(-27.43)</t>
  </si>
  <si>
    <t>_EFVAPLAQLNK(ac)EWGDLTMK_</t>
  </si>
  <si>
    <t>EFVAPLAQLNK(1)EWGDLTMK</t>
  </si>
  <si>
    <t>EFVAPLAQLNK(63.15)EWGDLTMK(-63.15)</t>
  </si>
  <si>
    <t>_SEAFPTEHFGAPLGGSLIPWIDK(ac)ELPNGQSR_</t>
  </si>
  <si>
    <t>SEAFPTEHFGAPLGGSLIPWIDK(1)ELPNGQSR</t>
  </si>
  <si>
    <t>SEAFPTEHFGAPLGGSLIPWIDK(71.97)ELPNGQSR</t>
  </si>
  <si>
    <t>Q9I2X3</t>
  </si>
  <si>
    <t>&gt;tr|Q9I2X3|Q9I2X3_PSEAE Uncharacterized protein OS=Pseudomonas aeruginosa (strain ATCC 15692 / PAO1 / 1C / PRS 101 / LMG 12228) GN=PA1766 PE=4 SV=1;&gt;tr|U5R2Z2|U5R2Z2_PSEAE Prokaryotic glutathione synthetase, ATP-grasp domain protein OS=Pseudomonas aerugino</t>
  </si>
  <si>
    <t>_NADYVLK(ac)YNK_</t>
  </si>
  <si>
    <t>NADYVLK(1)YNK</t>
  </si>
  <si>
    <t>NADYVLK(35.65)YNK(-35.65)</t>
  </si>
  <si>
    <t>_VGK(ac)FAGYGK_</t>
  </si>
  <si>
    <t>VGK(1)FAGYGK</t>
  </si>
  <si>
    <t>VGK(66.43)FAGYGK(-66.43)</t>
  </si>
  <si>
    <t>_GASESDLEASFK(ac)R_</t>
  </si>
  <si>
    <t>GASESDLEASFK(1)R</t>
  </si>
  <si>
    <t>GASESDLEASFK(130.56)R</t>
  </si>
  <si>
    <t>_IFHDQASLAAAFK(ac)AGELER_</t>
  </si>
  <si>
    <t>IFHDQASLAAAFK(1)AGELER</t>
  </si>
  <si>
    <t>IFHDQASLAAAFK(136.35)AGELER</t>
  </si>
  <si>
    <t>_LQQGAAPLK(ac)ENLAAAVLIR_</t>
  </si>
  <si>
    <t>LQQGAAPLK(1)ENLAAAVLIR</t>
  </si>
  <si>
    <t>LQQGAAPLK(82.01)ENLAAAVLIR</t>
  </si>
  <si>
    <t>_RAGDDVQK(ac)LTDK_</t>
  </si>
  <si>
    <t>RAGDDVQK(1)LTDK</t>
  </si>
  <si>
    <t>RAGDDVQK(52.07)LTDK(-52.07)</t>
  </si>
  <si>
    <t>_ELAK(ac)PCADTK_</t>
  </si>
  <si>
    <t>ELAK(1)PCADTK</t>
  </si>
  <si>
    <t>ELAK(77.19)PCADTK(-77.19)</t>
  </si>
  <si>
    <t>_EHAALLAK(ac)INEK_</t>
  </si>
  <si>
    <t>EHAALLAK(1)INEK</t>
  </si>
  <si>
    <t>EHAALLAK(115.33)INEK(-115.33)</t>
  </si>
  <si>
    <t>Q9I5M1</t>
  </si>
  <si>
    <t>&gt;tr|Q9I5M1|Q9I5M1_PSEAE Alpha-1,6-rhamnosyltransferase MigA OS=Pseudomonas aeruginosa (strain ATCC 15692 / PAO1 / 1C / PRS 101 / LMG 12228) GN=migA PE=4 SV=1;&gt;tr|U5QY30|U5QY30_PSEAE Glycosyl transferase 2 family protein OS=Pseudomonas aeruginosa PAO1-VE2 G</t>
  </si>
  <si>
    <t>_IASQGYQIHK(ac)LPVLVTR_</t>
  </si>
  <si>
    <t>IASQGYQIHK(1)LPVLVTR</t>
  </si>
  <si>
    <t>IASQGYQIHK(109.48)LPVLVTR</t>
  </si>
  <si>
    <t>U5R0P3</t>
  </si>
  <si>
    <t>&gt;tr|U5R0P3|U5R0P3_PSEAE Polyphosphate kinase OS=Pseudomonas aeruginosa PAO1-VE2 GN=ppk1 PE=3 SV=1;&gt;tr|U5RCZ9|U5RCZ9_PSEAE Polyphosphate kinase OS=Pseudomonas aeruginosa PAO1-VE13 GN=ppk1 PE=3 SV=1;&gt;sp|Q9S646|PPK_PSEAE Polyphosphate kinase OS=Pseudomonas ae</t>
  </si>
  <si>
    <t>_ILNETLLPELAK(ac)HQIR_</t>
  </si>
  <si>
    <t>ILNETLLPELAK(1)HQIR</t>
  </si>
  <si>
    <t>ILNETLLPELAK(55.19)HQIR</t>
  </si>
  <si>
    <t>_RVVFNEITK(ac)K_</t>
  </si>
  <si>
    <t>RVVFNEITK(1)K</t>
  </si>
  <si>
    <t>RVVFNEITK(22.92)K(-22.92)</t>
  </si>
  <si>
    <t>_VFEEEK(ac)LLER_</t>
  </si>
  <si>
    <t>VFEEEK(1)LLER</t>
  </si>
  <si>
    <t>VFEEEK(99.65)LLER</t>
  </si>
  <si>
    <t>_NEVK(ac)ELHSK_</t>
  </si>
  <si>
    <t>NEVK(1)ELHSK</t>
  </si>
  <si>
    <t>NEVK(54.61)ELHSK(-54.61)</t>
  </si>
  <si>
    <t>_LAEK(ac)IAK_</t>
  </si>
  <si>
    <t>LAEK(1)IAK</t>
  </si>
  <si>
    <t>LAEK(56.01)IAK(-56.01)</t>
  </si>
  <si>
    <t>Q9HTU7</t>
  </si>
  <si>
    <t>&gt;sp|Q9HTU7|Y5247_PSEAE UPF0178 protein PA5247 OS=Pseudomonas aeruginosa (strain ATCC 15692 / PAO1 / 1C / PRS 101 / LMG 12228) GN=PA5247 PE=3 SV=1;&gt;tr|U5R7M9|U5R7M9_PSEAE UPF0178 protein N296_5425 OS=Pseudomonas aeruginosa PAO1-VE2 GN=N296_5425 PE=3 SV=1;&gt;t</t>
  </si>
  <si>
    <t>_ELVCK(ac)FALK_</t>
  </si>
  <si>
    <t>ELVCK(1)FALK</t>
  </si>
  <si>
    <t>ELVCK(37.06)FALK(-37.06)</t>
  </si>
  <si>
    <t>_PAGISNPK(ac)DFR_</t>
  </si>
  <si>
    <t>PAGISNPK(1)DFR</t>
  </si>
  <si>
    <t>PAGISNPK(130.41)DFR</t>
  </si>
  <si>
    <t>_NVLK(ac)EGEEVEAK_</t>
  </si>
  <si>
    <t>NVLK(1)EGEEVEAK</t>
  </si>
  <si>
    <t>NVLK(78.69)EGEEVEAK(-78.69)</t>
  </si>
  <si>
    <t>_DK(ac)FDIPVK_</t>
  </si>
  <si>
    <t>DK(1)FDIPVK</t>
  </si>
  <si>
    <t>DK(46.46)FDIPVK(-46.46)</t>
  </si>
  <si>
    <t>Q9I6A8</t>
  </si>
  <si>
    <t>&gt;sp|Q9I6A8|NTPA_PSEAE Non-canonical purine NTP pyrophosphatase OS=Pseudomonas aeruginosa (strain ATCC 15692 / PAO1 / 1C / PRS 101 / LMG 12228) GN=PA0387 PE=3 SV=1;&gt;tr|U5QV05|U5QV05_PSEAE Non-canonical purine NTP pyrophosphatase OS=Pseudomonas aeruginosa PA</t>
  </si>
  <si>
    <t>_LLEAMK(ac)DVPDAER_</t>
  </si>
  <si>
    <t>LLEAMK(1)DVPDAER</t>
  </si>
  <si>
    <t>LLEAMK(96.64)DVPDAER</t>
  </si>
  <si>
    <t>_GEYK(ac)YLHPNNDVNMAQSTNDAYPTAIR_</t>
  </si>
  <si>
    <t>GEYK(1)YLHPNNDVNMAQSTNDAYPTAIR</t>
  </si>
  <si>
    <t>GEYK(56.95)YLHPNNDVNMAQSTNDAYPTAIR</t>
  </si>
  <si>
    <t>_QQLDAYLK(ac)K_</t>
  </si>
  <si>
    <t>QQLDAYLK(1)K</t>
  </si>
  <si>
    <t>QQLDAYLK(27.33)K(-27.33)</t>
  </si>
  <si>
    <t>_VVLEK(ac)PIGHDLESSREVNEAVAR_</t>
  </si>
  <si>
    <t>VVLEK(1)PIGHDLESSREVNEAVAR</t>
  </si>
  <si>
    <t>VVLEK(146.1)PIGHDLESSREVNEAVAR</t>
  </si>
  <si>
    <t>_ESDADIREDYK(ac)NLLR_</t>
  </si>
  <si>
    <t>ESDADIREDYK(1)NLLR</t>
  </si>
  <si>
    <t>ESDADIREDYK(46.96)NLLR</t>
  </si>
  <si>
    <t>_VAAVK(ac)APGFGDR_</t>
  </si>
  <si>
    <t>VAAVK(1)APGFGDR</t>
  </si>
  <si>
    <t>VAAVK(87.57)APGFGDR</t>
  </si>
  <si>
    <t>_PAAK(ac)PVAK_</t>
  </si>
  <si>
    <t>PAAK(1)PVAK</t>
  </si>
  <si>
    <t>PAAK(47.57)PVAK(-47.57)</t>
  </si>
  <si>
    <t>_VNSLTDPK(ac)VIR_</t>
  </si>
  <si>
    <t>VNSLTDPK(1)VIR</t>
  </si>
  <si>
    <t>VNSLTDPK(78.65)VIR</t>
  </si>
  <si>
    <t>_VEVLDEK(ac)K_</t>
  </si>
  <si>
    <t>VEVLDEK(1)K</t>
  </si>
  <si>
    <t>VEVLDEK(112.94)K(-112.94)</t>
  </si>
  <si>
    <t>Q9I5H9</t>
  </si>
  <si>
    <t>&gt;sp|Q9I5H9|UNG_PSEAE Uracil-DNA glycosylase OS=Pseudomonas aeruginosa (strain ATCC 15692 / PAO1 / 1C / PRS 101 / LMG 12228) GN=ung PE=3 SV=1;&gt;tr|U5QTF4|U5QTF4_PSEAE Uracil-DNA glycosylase OS=Pseudomonas aeruginosa PAO1-VE2 GN=ung PE=3 SV=1;&gt;tr|U5RI02|U5RI0</t>
  </si>
  <si>
    <t>_TNK(ac)FLEQNGK_</t>
  </si>
  <si>
    <t>TNK(1)FLEQNGK</t>
  </si>
  <si>
    <t>TNK(73.07)FLEQNGK(-73.07)</t>
  </si>
  <si>
    <t>_FLAK(ac)DLR_</t>
  </si>
  <si>
    <t>FLAK(1)DLR</t>
  </si>
  <si>
    <t>FLAK(125.86)DLR</t>
  </si>
  <si>
    <t>_HAVLHNQK(ac)DDSVYVPLANLFDGQPR_</t>
  </si>
  <si>
    <t>HAVLHNQK(1)DDSVYVPLANLFDGQPR</t>
  </si>
  <si>
    <t>HAVLHNQK(104.86)DDSVYVPLANLFDGQPR</t>
  </si>
  <si>
    <t>_QM(ox)GVPVHINIEEIRK(ac)PELDAMLVAQSVAQQLER_</t>
  </si>
  <si>
    <t>QMGVPVHINIEEIRK(1)PELDAMLVAQSVAQQLER</t>
  </si>
  <si>
    <t>QMGVPVHINIEEIRK(62.28)PELDAMLVAQSVAQQLER</t>
  </si>
  <si>
    <t>_GFYAYETDK(ac)R_</t>
  </si>
  <si>
    <t>GFYAYETDK(1)R</t>
  </si>
  <si>
    <t>GFYAYETDK(155.07)R</t>
  </si>
  <si>
    <t>Q9I5Y1</t>
  </si>
  <si>
    <t>&gt;sp|Q9I5Y1|ALF_PSEAE Fructose-bisphosphate aldolase OS=Pseudomonas aeruginosa (strain ATCC 15692 / PAO1 / 1C / PRS 101 / LMG 12228) GN=fba PE=3 SV=1;&gt;tr|U5R4N0|U5R4N0_PSEAE Fructose-bisphosphate aldolase, class II, Calvin cycle subtype OS=Pseudomonas aerug</t>
  </si>
  <si>
    <t>_YFSK(ac)TVEAMR_</t>
  </si>
  <si>
    <t>YFSK(1)TVEAMR</t>
  </si>
  <si>
    <t>YFSK(81.34)TVEAMR</t>
  </si>
  <si>
    <t>_SSPTPAEAK(ac)ER_</t>
  </si>
  <si>
    <t>SSPTPAEAK(1)ER</t>
  </si>
  <si>
    <t>SSPTPAEAK(55.4)ER</t>
  </si>
  <si>
    <t>_LEEDIVK(ac)LER_</t>
  </si>
  <si>
    <t>LEEDIVK(1)LER</t>
  </si>
  <si>
    <t>LEEDIVK(96.89)LER</t>
  </si>
  <si>
    <t>Q9HV53</t>
  </si>
  <si>
    <t xml:space="preserve">&gt;sp|Q9HV53|RIMP_PSEAE Ribosome maturation factor RimP OS=Pseudomonas aeruginosa (strain ATCC 15692 / PAO1 / 1C / PRS 101 / LMG 12228) GN=rimP PE=3 SV=1;&gt;tr|U5QX25|U5QX25_PSEAE Ribosome maturation factor RimP OS=Pseudomonas aeruginosa PAO1-VE2 GN=rimP PE=3 </t>
  </si>
  <si>
    <t>_HAGEQVK(ac)IR_</t>
  </si>
  <si>
    <t>HAGEQVK(1)IR</t>
  </si>
  <si>
    <t>HAGEQVK(59.35)IR</t>
  </si>
  <si>
    <t>_VLASLEMPPSYNK(ac)LLDSLHR_</t>
  </si>
  <si>
    <t>VLASLEMPPSYNK(1)LLDSLHR</t>
  </si>
  <si>
    <t>VLASLEMPPSYNK(38.92)LLDSLHR</t>
  </si>
  <si>
    <t>Q9I6E3</t>
  </si>
  <si>
    <t>&gt;tr|Q9I6E3|Q9I6E3_PSEAE Dihydrofolate reductase OS=Pseudomonas aeruginosa (strain ATCC 15692 / PAO1 / 1C / PRS 101 / LMG 12228) GN=folA PE=3 SV=1;&gt;tr|U5R4X7|U5R4X7_PSEAE Dihydrofolate reductase OS=Pseudomonas aeruginosa PAO1-VE2 GN=N296_359 PE=3 SV=1;&gt;tr|U</t>
  </si>
  <si>
    <t>_LPADLK(ac)HFK_</t>
  </si>
  <si>
    <t>LPADLK(1)HFK</t>
  </si>
  <si>
    <t>LPADLK(60.83)HFK(-60.83)</t>
  </si>
  <si>
    <t>Q9HYG7</t>
  </si>
  <si>
    <t>&gt;tr|Q9HYG7|Q9HYG7_PSEAE D-erythro-7,8-dihydroneopterin triphosphate epimerase OS=Pseudomonas aeruginosa (strain ATCC 15692 / PAO1 / 1C / PRS 101 / LMG 12228) GN=folX PE=1 SV=1;&gt;tr|U5R5C6|U5R5C6_PSEAE D-erythro-7,8-dihydroneopterin triphosphate epimerase OS</t>
  </si>
  <si>
    <t>_YAEVEVDK(ac)PHALR_</t>
  </si>
  <si>
    <t>YAEVEVDK(1)PHALR</t>
  </si>
  <si>
    <t>YAEVEVDK(130.01)PHALR</t>
  </si>
  <si>
    <t>_FPAK(ac)YER_</t>
  </si>
  <si>
    <t>FPAK(1)YER</t>
  </si>
  <si>
    <t>FPAK(126.24)YER</t>
  </si>
  <si>
    <t>Q9I645</t>
  </si>
  <si>
    <t>&gt;tr|Q9I645|Q9I645_PSEAE Probable glutathione S-transferase OS=Pseudomonas aeruginosa (strain ATCC 15692 / PAO1 / 1C / PRS 101 / LMG 12228) GN=PA0473 PE=3 SV=1;&gt;tr|U5R5B7|U5R5B7_PSEAE Uncharacterized protein OS=Pseudomonas aeruginosa PAO1-VE2 GN=N296_485 PE</t>
  </si>
  <si>
    <t>_FEK(ac)ATAQTPVAEQR_</t>
  </si>
  <si>
    <t>FEK(1)ATAQTPVAEQR</t>
  </si>
  <si>
    <t>FEK(69.6)ATAQTPVAEQR</t>
  </si>
  <si>
    <t>_ILK(ac)FDGYTR_</t>
  </si>
  <si>
    <t>ILK(1)FDGYTR</t>
  </si>
  <si>
    <t>ILK(133.86)FDGYTR</t>
  </si>
  <si>
    <t>_FVK(ac)DLSGGER_</t>
  </si>
  <si>
    <t>FVK(1)DLSGGER</t>
  </si>
  <si>
    <t>FVK(75.29)DLSGGER</t>
  </si>
  <si>
    <t>_LK(ac)DTDPTILEAVLQK_</t>
  </si>
  <si>
    <t>LK(1)DTDPTILEAVLQK</t>
  </si>
  <si>
    <t>LK(47.55)DTDPTILEAVLQK(-47.55)</t>
  </si>
  <si>
    <t>_INEK(ac)GDFNDEIDAGIK_</t>
  </si>
  <si>
    <t>INEK(1)GDFNDEIDAGIK</t>
  </si>
  <si>
    <t>INEK(71.69)GDFNDEIDAGIK(-71.69)</t>
  </si>
  <si>
    <t>_LVNEEELK(ac)AR_</t>
  </si>
  <si>
    <t>LVNEEELK(1)AR</t>
  </si>
  <si>
    <t>LVNEEELK(99.65)AR</t>
  </si>
  <si>
    <t>Q9HTV1</t>
  </si>
  <si>
    <t>&gt;sp|Q9HTV1|RHO_PSEAE Transcription termination factor Rho OS=Pseudomonas aeruginosa (strain ATCC 15692 / PAO1 / 1C / PRS 101 / LMG 12228) GN=rho PE=3 SV=1;&gt;tr|U5R2V2|U5R2V2_PSEAE Transcription termination factor Rho OS=Pseudomonas aeruginosa PAO1-VE2 GN=rh</t>
  </si>
  <si>
    <t>_VLTGGVDAHALEK(ac)PK_</t>
  </si>
  <si>
    <t>VLTGGVDAHALEK(1)PK</t>
  </si>
  <si>
    <t>VLTGGVDAHALEK(56.57)PK(-56.57)</t>
  </si>
  <si>
    <t>_WIECDDEK(ac)K_</t>
  </si>
  <si>
    <t>WIECDDEK(1)K</t>
  </si>
  <si>
    <t>WIECDDEK(55.57)K(-55.57)</t>
  </si>
  <si>
    <t>Q9HWD0</t>
  </si>
  <si>
    <t>&gt;sp|Q9HWD0|RS12_PSEAE 30S ribosomal protein S12 OS=Pseudomonas aeruginosa (strain ATCC 15692 / PAO1 / 1C / PRS 101 / LMG 12228) GN=rpsL PE=3 SV=1;&gt;tr|U5QX97|U5QX97_PSEAE 30S ribosomal protein S12 OS=Pseudomonas aeruginosa PAO1-VE2 GN=rpsL PE=3 SV=1;&gt;tr|U5R</t>
  </si>
  <si>
    <t>_GSLDTSGVK(ac)DRK_</t>
  </si>
  <si>
    <t>GSLDTSGVK(1)DRK</t>
  </si>
  <si>
    <t>GSLDTSGVK(45.92)DRK(-45.92)</t>
  </si>
  <si>
    <t>_LK(ac)ELIAR_</t>
  </si>
  <si>
    <t>LK(1)ELIAR</t>
  </si>
  <si>
    <t>LK(98.3)ELIAR</t>
  </si>
  <si>
    <t>Q9HWC5</t>
  </si>
  <si>
    <t>&gt;sp|Q9HWC5|RL11_PSEAE 50S ribosomal protein L11 OS=Pseudomonas aeruginosa (strain ATCC 15692 / PAO1 / 1C / PRS 101 / LMG 12228) GN=rplK PE=3 SV=1;&gt;tr|U5R6U6|U5R6U6_PSEAE 50S ribosomal protein L11 OS=Pseudomonas aeruginosa PAO1-VE2 GN=rplK PE=3 SV=1;&gt;tr|U5R</t>
  </si>
  <si>
    <t>_AQLEEIAK(ac)TK_</t>
  </si>
  <si>
    <t>AQLEEIAK(1)TK</t>
  </si>
  <si>
    <t>AQLEEIAK(74.16)TK(-74.16)</t>
  </si>
  <si>
    <t>_RFEENVVQK(ac)DIQMVPYSIVK_</t>
  </si>
  <si>
    <t>RFEENVVQK(1)DIQMVPYSIVK</t>
  </si>
  <si>
    <t>RFEENVVQK(48.32)DIQMVPYSIVK(-48.32)</t>
  </si>
  <si>
    <t>_RK(ac)LLDYLK_</t>
  </si>
  <si>
    <t>RK(1)LLDYLK</t>
  </si>
  <si>
    <t>RK(41.88)LLDYLK(-41.88)</t>
  </si>
  <si>
    <t>_NTPVDK(ac)GGIGAVK_</t>
  </si>
  <si>
    <t>NTPVDK(1)GGIGAVK</t>
  </si>
  <si>
    <t>NTPVDK(51.21)GGIGAVK(-51.21)</t>
  </si>
  <si>
    <t>_QHIDM(ox)AK(ac)EDVVEHLR_</t>
  </si>
  <si>
    <t>QHIDMAK(1)EDVVEHLR</t>
  </si>
  <si>
    <t>QHIDMAK(48.53)EDVVEHLR</t>
  </si>
  <si>
    <t>_VPAEELK(ac)EVR_</t>
  </si>
  <si>
    <t>VPAEELK(1)EVR</t>
  </si>
  <si>
    <t>VPAEELK(86.62)EVR</t>
  </si>
  <si>
    <t>_AFITVNK(ac)NSVPNDPR_</t>
  </si>
  <si>
    <t>AFITVNK(1)NSVPNDPR</t>
  </si>
  <si>
    <t>AFITVNK(51.73)NSVPNDPR</t>
  </si>
  <si>
    <t>P72174</t>
  </si>
  <si>
    <t>&gt;sp|P72174|UVRB_PSEAE UvrABC system protein B OS=Pseudomonas aeruginosa (strain ATCC 15692 / PAO1 / 1C / PRS 101 / LMG 12228) GN=uvrB PE=3 SV=2;&gt;tr|U5R9F6|U5R9F6_PSEAE UvrABC system protein B OS=Pseudomonas aeruginosa PAO1-VE2 GN=uvrB PE=3 SV=1;&gt;tr|U5RPB9|</t>
  </si>
  <si>
    <t>_QLEEK(ac)MYQLAR_</t>
  </si>
  <si>
    <t>QLEEK(1)MYQLAR</t>
  </si>
  <si>
    <t>QLEEK(58.68)MYQLAR</t>
  </si>
  <si>
    <t>Q9I5Y6</t>
  </si>
  <si>
    <t>&gt;tr|Q9I5Y6|Q9I5Y6_PSEAE Hydroxypyruvate isomerase OS=Pseudomonas aeruginosa (strain ATCC 15692 / PAO1 / 1C / PRS 101 / LMG 12228) GN=PA0550 PE=3 SV=1;&gt;tr|U5R4K4|U5R4K4_PSEAE Hydroxypyruvate isomerase OS=Pseudomonas aeruginosa PAO1-VE2 GN=N296_562 PE=3 SV=1</t>
  </si>
  <si>
    <t>_QVLFNAAPGDWDK(ac)GER_</t>
  </si>
  <si>
    <t>QVLFNAAPGDWDK(1)GER</t>
  </si>
  <si>
    <t>QVLFNAAPGDWDK(32.15)GER</t>
  </si>
  <si>
    <t>_LADASIPIEK(ac)NLPLYDEPAQR_</t>
  </si>
  <si>
    <t>LADASIPIEK(1)NLPLYDEPAQR</t>
  </si>
  <si>
    <t>LADASIPIEK(35.75)NLPLYDEPAQR</t>
  </si>
  <si>
    <t>Q9I2U9</t>
  </si>
  <si>
    <t>&gt;tr|Q9I2U9|Q9I2U9_PSEAE Peptidyl-prolyl cis-trans isomerase OS=Pseudomonas aeruginosa (strain ATCC 15692 / PAO1 / 1C / PRS 101 / LMG 12228) GN=ppiB PE=3 SV=1;&gt;tr|U5R1D0|U5R1D0_PSEAE Peptidyl-prolyl cis-trans isomerase OS=Pseudomonas aeruginosa PAO1-VE2 GN=</t>
  </si>
  <si>
    <t>_LDEEK(ac)APETAANFK_</t>
  </si>
  <si>
    <t>LDEEK(1)APETAANFK</t>
  </si>
  <si>
    <t>LDEEK(71.55)APETAANFK(-71.55)</t>
  </si>
  <si>
    <t>_NNAAHPIEQIGEK(ac)LR_</t>
  </si>
  <si>
    <t>NNAAHPIEQIGEK(1)LR</t>
  </si>
  <si>
    <t>NNAAHPIEQIGEK(142.85)LR</t>
  </si>
  <si>
    <t>_AVAAGMNPMDLK(ac)R_</t>
  </si>
  <si>
    <t>AVAAGMNPMDLK(1)R</t>
  </si>
  <si>
    <t>AVAAGMNPMDLK(156.51)R</t>
  </si>
  <si>
    <t>Q9HX90</t>
  </si>
  <si>
    <t>&gt;tr|Q9HX90|Q9HX90_PSEAE Uncharacterized protein OS=Pseudomonas aeruginosa (strain ATCC 15692 / PAO1 / 1C / PRS 101 / LMG 12228) GN=PA3923 PE=4 SV=1;&gt;tr|U5R8W2|U5R8W2_PSEAE Uncharacterized protein OS=Pseudomonas aeruginosa PAO1-VE2 GN=N296_4052 PE=4 SV=1;&gt;t</t>
  </si>
  <si>
    <t>_RGETFSK(ac)VFK_</t>
  </si>
  <si>
    <t>RGETFSK(1)VFK</t>
  </si>
  <si>
    <t>RGETFSK(25.34)VFK(-25.34)</t>
  </si>
  <si>
    <t>_TLQELSSK(ac)MLEVPEGFVVQR_</t>
  </si>
  <si>
    <t>TLQELSSK(1)MLEVPEGFVVQR</t>
  </si>
  <si>
    <t>TLQELSSK(57.48)MLEVPEGFVVQR</t>
  </si>
  <si>
    <t>_QNGTVK(ac)WFNETK_</t>
  </si>
  <si>
    <t>QNGTVK(1)WFNETK</t>
  </si>
  <si>
    <t>QNGTVK(50.35)WFNETK(-50.35)</t>
  </si>
  <si>
    <t>_ATMQPVWDGK(ac)AFQPR_</t>
  </si>
  <si>
    <t>ATMQPVWDGK(1)AFQPR</t>
  </si>
  <si>
    <t>ATMQPVWDGK(82.91)AFQPR</t>
  </si>
  <si>
    <t>_MDK(ac)DRFR_</t>
  </si>
  <si>
    <t>MDK(1)DRFR</t>
  </si>
  <si>
    <t>MDK(83.61)DRFR</t>
  </si>
  <si>
    <t>_PLYAHCLGAGPK(ac)PR_</t>
  </si>
  <si>
    <t>PLYAHCLGAGPK(1)PR</t>
  </si>
  <si>
    <t>PLYAHCLGAGPK(116.54)PR</t>
  </si>
  <si>
    <t>_QEELK(ac)PVAPAPR_</t>
  </si>
  <si>
    <t>QEELK(1)PVAPAPR</t>
  </si>
  <si>
    <t>QEELK(159.94)PVAPAPR</t>
  </si>
  <si>
    <t>Q9HUG4</t>
  </si>
  <si>
    <t>&gt;tr|Q9HUG4|Q9HUG4_PSEAE Uncharacterized protein OS=Pseudomonas aeruginosa (strain ATCC 15692 / PAO1 / 1C / PRS 101 / LMG 12228) GN=PA5001 PE=4 SV=1;&gt;tr|U5QZC0|U5QZC0_PSEAE Glycosyl transferases group 1 family protein OS=Pseudomonas aeruginosa PAO1-VE2 GN=N</t>
  </si>
  <si>
    <t>_SVPNLVILEHDAYQNYIPCK(ac)YTGK_</t>
  </si>
  <si>
    <t>SVPNLVILEHDAYQNYIPCK(1)YTGK</t>
  </si>
  <si>
    <t>SVPNLVILEHDAYQNYIPCK(14.81)YTGK(-14.81)</t>
  </si>
  <si>
    <t>Q9I541</t>
  </si>
  <si>
    <t>&gt;sp|Q9I541|RIMO_PSEAE Ribosomal protein S12 methylthiotransferase RimO OS=Pseudomonas aeruginosa (strain ATCC 15692 / PAO1 / 1C / PRS 101 / LMG 12228) GN=rimO PE=3 SV=1;&gt;tr|U5R072|U5R072_PSEAE Ribosomal protein S12 methylthiotransferase RimO OS=Pseudomonas</t>
  </si>
  <si>
    <t>_RPAFEDK(ac)TLAR_</t>
  </si>
  <si>
    <t>RPAFEDK(1)TLAR</t>
  </si>
  <si>
    <t>RPAFEDK(22.05)TLAR</t>
  </si>
  <si>
    <t>_LLGFCQLYPSFSSLSLK(ac)R_</t>
  </si>
  <si>
    <t>LLGFCQLYPSFSSLSLK(1)R</t>
  </si>
  <si>
    <t>LLGFCQLYPSFSSLSLK(87.15)R</t>
  </si>
  <si>
    <t>_QLGEDPWVAIK(ac)AR_</t>
  </si>
  <si>
    <t>QLGEDPWVAIK(1)AR</t>
  </si>
  <si>
    <t>QLGEDPWVAIK(73.27)AR</t>
  </si>
  <si>
    <t>Q9HY72</t>
  </si>
  <si>
    <t>&gt;sp|Q9HY72|Y3539_PSEAE UPF0246 protein PA3539 OS=Pseudomonas aeruginosa (strain ATCC 15692 / PAO1 / 1C / PRS 101 / LMG 12228) GN=PA3539 PE=3 SV=1;&gt;tr|U5R124|U5R124_PSEAE UPF0246 protein N296_3662 OS=Pseudomonas aeruginosa PAO1-VE2 GN=N296_3662 PE=3 SV=1;&gt;t</t>
  </si>
  <si>
    <t>_IISFYAK(ac)K_</t>
  </si>
  <si>
    <t>IISFYAK(1)K</t>
  </si>
  <si>
    <t>IISFYAK(38.96)K(-38.96)</t>
  </si>
  <si>
    <t>_AK(ac)VGDTLK_</t>
  </si>
  <si>
    <t>AK(1)VGDTLK</t>
  </si>
  <si>
    <t>AK(40.88)VGDTLK(-40.88)</t>
  </si>
  <si>
    <t>_TGK(ac)EELFK_</t>
  </si>
  <si>
    <t>TGK(1)EELFK</t>
  </si>
  <si>
    <t>TGK(43.08)EELFK(-43.08)</t>
  </si>
  <si>
    <t>_LFVDYLSTLK(ac)R_</t>
  </si>
  <si>
    <t>LFVDYLSTLK(1)R</t>
  </si>
  <si>
    <t>LFVDYLSTLK(81.87)R</t>
  </si>
  <si>
    <t>Q9I4S5</t>
  </si>
  <si>
    <t>&gt;sp|Q9I4S5|PDXH_PSEAE Pyridoxine/pyridoxamine 5'-phosphate oxidase OS=Pseudomonas aeruginosa (strain ATCC 15692 / PAO1 / 1C / PRS 101 / LMG 12228) GN=pdxH PE=3 SV=1;&gt;tr|U5R259|U5R259_PSEAE Pyridoxine/pyridoxamine 5'-phosphate oxidase OS=Pseudomonas aerugin</t>
  </si>
  <si>
    <t>_ILLLK(ac)GLDER_</t>
  </si>
  <si>
    <t>ILLLK(1)GLDER</t>
  </si>
  <si>
    <t>ILLLK(135.71)GLDER</t>
  </si>
  <si>
    <t>_WGLM(ox)PK(ac)DESLNIR_</t>
  </si>
  <si>
    <t>WGLMPK(1)DESLNIR</t>
  </si>
  <si>
    <t>WGLMPK(35.2)DESLNIR</t>
  </si>
  <si>
    <t>Q9HUE7</t>
  </si>
  <si>
    <t>&gt;tr|Q9HUE7|Q9HUE7_PSEAE Uncharacterized protein OS=Pseudomonas aeruginosa (strain ATCC 15692 / PAO1 / 1C / PRS 101 / LMG 12228) GN=PA5022 PE=4 SV=1;&gt;tr|U5R042|U5R042_PSEAE Mechanosensitive ion channel family protein OS=Pseudomonas aeruginosa PAO1-VE2 GN=N2</t>
  </si>
  <si>
    <t>_LAELNDDIGHFK(ac)R_</t>
  </si>
  <si>
    <t>LAELNDDIGHFK(1)R</t>
  </si>
  <si>
    <t>LAELNDDIGHFK(44.62)R</t>
  </si>
  <si>
    <t>Q9HX10</t>
  </si>
  <si>
    <t xml:space="preserve">&gt;tr|Q9HX10|Q9HX10_PSEAE Uncharacterized protein OS=Pseudomonas aeruginosa (strain ATCC 15692 / PAO1 / 1C / PRS 101 / LMG 12228) GN=PA4017 PE=1 SV=1;&gt;tr|U5R1T0|U5R1T0_PSEAE NADH(P)-binding family protein OS=Pseudomonas aeruginosa PAO1-VE2 GN=N296_4146 PE=4 </t>
  </si>
  <si>
    <t>_ILPGK(ac)YHGIEACDLAR_</t>
  </si>
  <si>
    <t>ILPGK(1)YHGIEACDLAR</t>
  </si>
  <si>
    <t>ILPGK(73.91)YHGIEACDLAR</t>
  </si>
  <si>
    <t>Q9HVU9</t>
  </si>
  <si>
    <t>&gt;tr|Q9HVU9|Q9HVU9_PSEAE PmbA protein OS=Pseudomonas aeruginosa (strain ATCC 15692 / PAO1 / 1C / PRS 101 / LMG 12228) GN=pmbA PE=1 SV=1;&gt;tr|U5QSM1|U5QSM1_PSEAE Modulator of DNA gyrase family protein OS=Pseudomonas aeruginosa PAO1-VE2 GN=N296_4618 PE=4 SV=1;</t>
  </si>
  <si>
    <t>_IVAVGK(ac)DIER_</t>
  </si>
  <si>
    <t>IVAVGK(1)DIER</t>
  </si>
  <si>
    <t>IVAVGK(74.16)DIER</t>
  </si>
  <si>
    <t>_SVFATETDK(ac)R_</t>
  </si>
  <si>
    <t>SVFATETDK(1)R</t>
  </si>
  <si>
    <t>SVFATETDK(116.3)R</t>
  </si>
  <si>
    <t>_LAGLSGGK(ac)LR_</t>
  </si>
  <si>
    <t>LAGLSGGK(1)LR</t>
  </si>
  <si>
    <t>LAGLSGGK(152.34)LR</t>
  </si>
  <si>
    <t>_EAK(ac)DHGEGGTLVGAPLSGR_</t>
  </si>
  <si>
    <t>EAK(1)DHGEGGTLVGAPLSGR</t>
  </si>
  <si>
    <t>EAK(78.02)DHGEGGTLVGAPLSGR</t>
  </si>
  <si>
    <t>Q9I4L1</t>
  </si>
  <si>
    <t>&gt;sp|Q9I4L1|DGTP_PSEAE Probable deoxyguanosinetriphosphate triphosphohydrolase OS=Pseudomonas aeruginosa (strain ATCC 15692 / PAO1 / 1C / PRS 101 / LMG 12228) GN=dgt PE=3 SV=1;&gt;tr|U5R352|U5R352_PSEAE Probable deoxyguanosinetriphosphate triphosphohydrolase O</t>
  </si>
  <si>
    <t>_MVDYSLEK(ac)AEREPINK_</t>
  </si>
  <si>
    <t>MVDYSLEK(1)AEREPINK</t>
  </si>
  <si>
    <t>MVDYSLEK(70.37)AEREPINK(-70.37)</t>
  </si>
  <si>
    <t>_EK(ac)EISEDEER_</t>
  </si>
  <si>
    <t>EK(1)EISEDEER</t>
  </si>
  <si>
    <t>EK(55.31)EISEDEER</t>
  </si>
  <si>
    <t>_WIDQGVGCSK(ac)VPDINDVGLMEDR_</t>
  </si>
  <si>
    <t>WIDQGVGCSK(1)VPDINDVGLMEDR</t>
  </si>
  <si>
    <t>WIDQGVGCSK(95.5)VPDINDVGLMEDR</t>
  </si>
  <si>
    <t>P19572</t>
  </si>
  <si>
    <t>&gt;sp|P19572|DCDA_PSEAE Diaminopimelate decarboxylase OS=Pseudomonas aeruginosa (strain ATCC 15692 / PAO1 / 1C / PRS 101 / LMG 12228) GN=lysA PE=3 SV=2;&gt;tr|U5R4D7|U5R4D7_PSEAE Diaminopimelate decarboxylase OS=Pseudomonas aeruginosa PAO1-VE2 GN=lysA PE=3 SV=1</t>
  </si>
  <si>
    <t>_VNPDVDAQTHPYISTGLK(ac)ENK_</t>
  </si>
  <si>
    <t>VNPDVDAQTHPYISTGLK(1)ENK</t>
  </si>
  <si>
    <t>VNPDVDAQTHPYISTGLK(36.48)ENK(-36.48)</t>
  </si>
  <si>
    <t>Q9I0T3</t>
  </si>
  <si>
    <t>&gt;tr|Q9I0T3|Q9I0T3_PSEAE Probable transcriptional regulator OS=Pseudomonas aeruginosa (strain ATCC 15692 / PAO1 / 1C / PRS 101 / LMG 12228) GN=PA2551 PE=4 SV=1;&gt;tr|U5R6W1|U5R6W1_PSEAE Bacterial regulatory helix-turn-helix , lysR family protein OS=Pseudomona</t>
  </si>
  <si>
    <t>_SGLGYIDLALGK(ac)MGIQR_</t>
  </si>
  <si>
    <t>SGLGYIDLALGK(1)MGIQR</t>
  </si>
  <si>
    <t>SGLGYIDLALGK(48.22)MGIQR</t>
  </si>
  <si>
    <t>_WFNETK(ac)GYGFITPESGPDVFVHFR_</t>
  </si>
  <si>
    <t>WFNETK(1)GYGFITPESGPDVFVHFR</t>
  </si>
  <si>
    <t>WFNETK(93.78)GYGFITPESGPDVFVHFR</t>
  </si>
  <si>
    <t>_LQLLGAK(ac)IR_</t>
  </si>
  <si>
    <t>LQLLGAK(1)IR</t>
  </si>
  <si>
    <t>LQLLGAK(46)IR</t>
  </si>
  <si>
    <t>_TACIEK(ac)YIGK_</t>
  </si>
  <si>
    <t>TACIEK(1)YIGK</t>
  </si>
  <si>
    <t>TACIEK(77.38)YIGK(-77.38)</t>
  </si>
  <si>
    <t>P29363</t>
  </si>
  <si>
    <t>&gt;sp|P29363|THRC_PSEAE Threonine synthase OS=Pseudomonas aeruginosa (strain ATCC 15692 / PAO1 / 1C / PRS 101 / LMG 12228) GN=thrC PE=3 SV=3;&gt;tr|U5QU55|U5QU55_PSEAE Threonine synthase OS=Pseudomonas aeruginosa PAO1-VE2 GN=thrC PE=4 SV=1;&gt;tr|U5RHH4|U5RHH4_PSE</t>
  </si>
  <si>
    <t>_CTVLPNELAK(ac)VQAFVSQHGNR_</t>
  </si>
  <si>
    <t>CTVLPNELAK(1)VQAFVSQHGNR</t>
  </si>
  <si>
    <t>CTVLPNELAK(123.63)VQAFVSQHGNR</t>
  </si>
  <si>
    <t>_AATLK(ac)PLYAHCLGAGPK_</t>
  </si>
  <si>
    <t>AATLK(1)PLYAHCLGAGPK</t>
  </si>
  <si>
    <t>AATLK(60.47)PLYAHCLGAGPK(-60.47)</t>
  </si>
  <si>
    <t>_IASGEK(ac)LSIR_</t>
  </si>
  <si>
    <t>IASGEK(1)LSIR</t>
  </si>
  <si>
    <t>IASGEK(60.4)LSIR</t>
  </si>
  <si>
    <t>_IPAGK(ac)DLPNDIYVAIEIPANHAPIK_</t>
  </si>
  <si>
    <t>IPAGK(1)DLPNDIYVAIEIPANHAPIK</t>
  </si>
  <si>
    <t>IPAGK(71.65)DLPNDIYVAIEIPANHAPIK(-71.65)</t>
  </si>
  <si>
    <t>_GFMCDFIEK(ac)FAPHLTR_</t>
  </si>
  <si>
    <t>GFMCDFIEK(1)FAPHLTR</t>
  </si>
  <si>
    <t>GFMCDFIEK(93.49)FAPHLTR</t>
  </si>
  <si>
    <t>Q9I7C1</t>
  </si>
  <si>
    <t xml:space="preserve">&gt;tr|Q9I7C1|Q9I7C1_PSEAE Lysophosphatidic acid acyltransferase, LptA OS=Pseudomonas aeruginosa (strain ATCC 15692 / PAO1 / 1C / PRS 101 / LMG 12228) GN=lptA PE=4 SV=1;&gt;tr|U5QRI3|U5QRI3_PSEAE Acyltransferase family protein OS=Pseudomonas aeruginosa PAO1-VE2 </t>
  </si>
  <si>
    <t>_IPVGQMGK(ac)FSR_</t>
  </si>
  <si>
    <t>IPVGQMGK(1)FSR</t>
  </si>
  <si>
    <t>IPVGQMGK(49.5)FSR</t>
  </si>
  <si>
    <t>_VK(ac)ENEPFDVALRR_</t>
  </si>
  <si>
    <t>VK(1)ENEPFDVALRR</t>
  </si>
  <si>
    <t>VK(140.39)ENEPFDVALRR</t>
  </si>
  <si>
    <t>_PHTK(ac)FECEVYVLSK_</t>
  </si>
  <si>
    <t>PHTK(1)FECEVYVLSK</t>
  </si>
  <si>
    <t>PHTK(37.01)FECEVYVLSK(-37.01)</t>
  </si>
  <si>
    <t>Q9HTW8</t>
  </si>
  <si>
    <t>&gt;tr|Q9HTW8|Q9HTW8_PSEAE Uncharacterized protein OS=Pseudomonas aeruginosa (strain ATCC 15692 / PAO1 / 1C / PRS 101 / LMG 12228) GN=PA5222 PE=4 SV=1;&gt;tr|U5QV53|U5QV53_PSEAE Uncharacterized protein OS=Pseudomonas aeruginosa PAO1-VE2 GN=N296_5400 PE=4 SV=1;&gt;t</t>
  </si>
  <si>
    <t>_TAGGEK(ac)YLPR_</t>
  </si>
  <si>
    <t>TAGGEK(1)YLPR</t>
  </si>
  <si>
    <t>TAGGEK(68.89)YLPR</t>
  </si>
  <si>
    <t>Q9I3I5</t>
  </si>
  <si>
    <t>&gt;sp|Q9I3I5|ZIPA_PSEAE Cell division protein ZipA homolog OS=Pseudomonas aeruginosa (strain ATCC 15692 / PAO1 / 1C / PRS 101 / LMG 12228) GN=zipA PE=3 SV=1;&gt;tr|U5R3Z9|U5R3Z9_PSEAE Cell division protein ZipA homolog OS=Pseudomonas aeruginosa PAO1-VE2 GN=zipA</t>
  </si>
  <si>
    <t>_LAHELNGELK(ac)DEQR_</t>
  </si>
  <si>
    <t>LAHELNGELK(1)DEQR</t>
  </si>
  <si>
    <t>LAHELNGELK(112.44)DEQR</t>
  </si>
  <si>
    <t>_VHDGPPQEK(ac)LNNLR_</t>
  </si>
  <si>
    <t>VHDGPPQEK(1)LNNLR</t>
  </si>
  <si>
    <t>VHDGPPQEK(84.3)LNNLR</t>
  </si>
  <si>
    <t>_QADGSLAATLK(ac)DGR_</t>
  </si>
  <si>
    <t>QADGSLAATLK(1)DGR</t>
  </si>
  <si>
    <t>QADGSLAATLK(78.49)DGR</t>
  </si>
  <si>
    <t>_TKPEK(ac)IEIK_</t>
  </si>
  <si>
    <t>TK(0.003)PEK(0.997)IEIK</t>
  </si>
  <si>
    <t>TK(-24.73)PEK(24.73)IEIK(-37.34)</t>
  </si>
  <si>
    <t>_FWDPLFAK(ac)DTAGLLQQR_</t>
  </si>
  <si>
    <t>FWDPLFAK(1)DTAGLLQQR</t>
  </si>
  <si>
    <t>FWDPLFAK(79.02)DTAGLLQQR</t>
  </si>
  <si>
    <t>_ALEEAIK(ac)LAGLSGGK_</t>
  </si>
  <si>
    <t>ALEEAIK(1)LAGLSGGK</t>
  </si>
  <si>
    <t>ALEEAIK(119.01)LAGLSGGK(-119.01)</t>
  </si>
  <si>
    <t>_EGEK(ac)TLAPSLDLVGK_</t>
  </si>
  <si>
    <t>EGEK(1)TLAPSLDLVGK</t>
  </si>
  <si>
    <t>EGEK(46.96)TLAPSLDLVGK(-46.96)</t>
  </si>
  <si>
    <t>_TNK(ac)YGFLESPYR_</t>
  </si>
  <si>
    <t>TNK(1)YGFLESPYR</t>
  </si>
  <si>
    <t>TNK(143.79)YGFLESPYR</t>
  </si>
  <si>
    <t>Q9HTM3</t>
  </si>
  <si>
    <t>&gt;tr|Q9HTM3|Q9HTM3_PSEAE Uncharacterized protein OS=Pseudomonas aeruginosa (strain ATCC 15692 / PAO1 / 1C / PRS 101 / LMG 12228) GN=PA5335 PE=4 SV=1;&gt;tr|U5QY31|U5QY31_PSEAE Uncharacterized protein OS=Pseudomonas aeruginosa PAO1-VE2 GN=N296_5515 PE=4 SV=1;&gt;t</t>
  </si>
  <si>
    <t>_GK(ac)VECTLR_</t>
  </si>
  <si>
    <t>GK(1)VECTLR</t>
  </si>
  <si>
    <t>GK(108.46)VECTLR</t>
  </si>
  <si>
    <t>_INAEDPK(ac)TFMPSPGK_</t>
  </si>
  <si>
    <t>INAEDPK(1)TFMPSPGK</t>
  </si>
  <si>
    <t>INAEDPK(67.1)TFMPSPGK(-67.1)</t>
  </si>
  <si>
    <t>Q9HWE2</t>
  </si>
  <si>
    <t>&gt;sp|Q9HWE2|RL16_PSEAE 50S ribosomal protein L16 OS=Pseudomonas aeruginosa (strain ATCC 15692 / PAO1 / 1C / PRS 101 / LMG 12228) GN=rplP PE=3 SV=1;&gt;tr|U5QSC7|U5QSC7_PSEAE 50S ribosomal protein L16 OS=Pseudomonas aeruginosa PAO1-VE2 GN=rplP PE=3 SV=1;&gt;tr|U5R</t>
  </si>
  <si>
    <t>_LPLATSFVK(ac)R_</t>
  </si>
  <si>
    <t>LPLATSFVK(1)R</t>
  </si>
  <si>
    <t>LPLATSFVK(107.15)R</t>
  </si>
  <si>
    <t>_TEAGHEK(ac)LLATAR_</t>
  </si>
  <si>
    <t>TEAGHEK(1)LLATAR</t>
  </si>
  <si>
    <t>TEAGHEK(73.85)LLATAR</t>
  </si>
  <si>
    <t>_TSQVPEMVEELHK(ac)IR_</t>
  </si>
  <si>
    <t>TSQVPEMVEELHK(1)IR</t>
  </si>
  <si>
    <t>TSQVPEMVEELHK(63.04)IR</t>
  </si>
  <si>
    <t>_ILFVHESVLRPFLDK(ac)FSAR_</t>
  </si>
  <si>
    <t>ILFVHESVLRPFLDK(1)FSAR</t>
  </si>
  <si>
    <t>ILFVHESVLRPFLDK(40.08)FSAR</t>
  </si>
  <si>
    <t>_IGDDEAK(ac)NMALR_</t>
  </si>
  <si>
    <t>IGDDEAK(1)NMALR</t>
  </si>
  <si>
    <t>IGDDEAK(51.84)NMALR</t>
  </si>
  <si>
    <t>Q9HUC0</t>
  </si>
  <si>
    <t>&gt;sp|Q9HUC0|UBIE_PSEAE Ubiquinone/menaquinone biosynthesis C-methyltransferase UbiE OS=Pseudomonas aeruginosa (strain ATCC 15692 / PAO1 / 1C / PRS 101 / LMG 12228) GN=ubiE PE=3 SV=1;&gt;tr|U5R0N6|U5R0N6_PSEAE Ubiquinone/menaquinone biosynthesis C-methyltransfe</t>
  </si>
  <si>
    <t>_NVTHK(ac)DEAIR_</t>
  </si>
  <si>
    <t>NVTHK(1)DEAIR</t>
  </si>
  <si>
    <t>NVTHK(79.97)DEAIR</t>
  </si>
  <si>
    <t>_EGVLSAYK(ac)DNAAVIVGHVAGR_</t>
  </si>
  <si>
    <t>EGVLSAYK(1)DNAAVIVGHVAGR</t>
  </si>
  <si>
    <t>EGVLSAYK(19.32)DNAAVIVGHVAGR</t>
  </si>
  <si>
    <t>_LSDK(ac)LAGLNAAR_</t>
  </si>
  <si>
    <t>LSDK(1)LAGLNAAR</t>
  </si>
  <si>
    <t>LSDK(66.27)LAGLNAAR</t>
  </si>
  <si>
    <t>_NLGVGIAHSIIAYEASLK(ac)GIGK_</t>
  </si>
  <si>
    <t>NLGVGIAHSIIAYEASLK(1)GIGK</t>
  </si>
  <si>
    <t>NLGVGIAHSIIAYEASLK(35.01)GIGK(-35.01)</t>
  </si>
  <si>
    <t>_VADEIK(ac)IYDK_</t>
  </si>
  <si>
    <t>VADEIK(1)IYDK</t>
  </si>
  <si>
    <t>VADEIK(51.93)IYDK(-51.93)</t>
  </si>
  <si>
    <t>_ELISNASDAADK(ac)LR_</t>
  </si>
  <si>
    <t>ELISNASDAADK(1)LR</t>
  </si>
  <si>
    <t>ELISNASDAADK(78.76)LR</t>
  </si>
  <si>
    <t>_YLMLK(ac)HAFDNLR_</t>
  </si>
  <si>
    <t>YLMLK(1)HAFDNLR</t>
  </si>
  <si>
    <t>YLMLK(28.33)HAFDNLR</t>
  </si>
  <si>
    <t>P65116</t>
  </si>
  <si>
    <t xml:space="preserve">&gt;sp|P65116|IF1_PSEAE Translation initiation factor IF-1 OS=Pseudomonas aeruginosa (strain ATCC 15692 / PAO1 / 1C / PRS 101 / LMG 12228) GN=infA PE=3 SV=1;&gt;tr|U5R1M0|U5R1M0_PSEAE Translation initiation factor IF-1 OS=Pseudomonas aeruginosa PAO1-VE2 GN=infA </t>
  </si>
  <si>
    <t>_VRVELTPYDLSK(ac)GR_</t>
  </si>
  <si>
    <t>VRVELTPYDLSK(1)GR</t>
  </si>
  <si>
    <t>VRVELTPYDLSK(98.59)GR</t>
  </si>
  <si>
    <t>_LK(ac)EIFPAR_</t>
  </si>
  <si>
    <t>LK(1)EIFPAR</t>
  </si>
  <si>
    <t>LK(81.55)EIFPAR</t>
  </si>
  <si>
    <t>_LIEEEALK(ac)DR_</t>
  </si>
  <si>
    <t>LIEEEALK(1)DR</t>
  </si>
  <si>
    <t>LIEEEALK(103.7)DR</t>
  </si>
  <si>
    <t>Q9HV51</t>
  </si>
  <si>
    <t>&gt;sp|Q9HV51|TPIS_PSEAE Triosephosphate isomerase OS=Pseudomonas aeruginosa (strain ATCC 15692 / PAO1 / 1C / PRS 101 / LMG 12228) GN=tpiA PE=3 SV=1;&gt;tr|U5R6Y6|U5R6Y6_PSEAE Triosephosphate isomerase OS=Pseudomonas aeruginosa PAO1-VE2 GN=tpiA PE=3 SV=1;&gt;tr|U5R</t>
  </si>
  <si>
    <t>_AQLAAENAEVAK(ac)GVR_</t>
  </si>
  <si>
    <t>AQLAAENAEVAK(1)GVR</t>
  </si>
  <si>
    <t>AQLAAENAEVAK(136.3)GVR</t>
  </si>
  <si>
    <t>Q9HTY9</t>
  </si>
  <si>
    <t>&gt;tr|Q9HTY9|Q9HTY9_PSEAE AmgR OS=Pseudomonas aeruginosa (strain ATCC 15692 / PAO1 / 1C / PRS 101 / LMG 12228) GN=amgR PE=4 SV=1;&gt;tr|U5QZV5|U5QZV5_PSEAE Uncharacterized protein OS=Pseudomonas aeruginosa PAO1-VE2 GN=N296_5378 PE=4 SV=1;&gt;tr|U5RRI1|U5RRI1_PSEAE</t>
  </si>
  <si>
    <t>_LIEPDPSK(ac)PR_</t>
  </si>
  <si>
    <t>LIEPDPSK(1)PR</t>
  </si>
  <si>
    <t>LIEPDPSK(52.28)PR</t>
  </si>
  <si>
    <t>_TLK(ac)VEAPAAR_</t>
  </si>
  <si>
    <t>TLK(1)VEAPAAR</t>
  </si>
  <si>
    <t>TLK(74.16)VEAPAAR</t>
  </si>
  <si>
    <t>_HDLNK(ac)GLPQDR_</t>
  </si>
  <si>
    <t>HDLNK(1)GLPQDR</t>
  </si>
  <si>
    <t>HDLNK(89.55)GLPQDR</t>
  </si>
  <si>
    <t>Q9I4Q3</t>
  </si>
  <si>
    <t>&gt;tr|Q9I4Q3|Q9I4Q3_PSEAE Uncharacterized protein OS=Pseudomonas aeruginosa (strain ATCC 15692 / PAO1 / 1C / PRS 101 / LMG 12228) GN=PA1076 PE=1 SV=1;&gt;tr|U5R3H7|U5R3H7_PSEAE Uncharacterized protein OS=Pseudomonas aeruginosa PAO1-VE2 GN=N296_1113 PE=4 SV=1;&gt;t</t>
  </si>
  <si>
    <t>_HGLHPK(ac)FGAITR_</t>
  </si>
  <si>
    <t>HGLHPK(1)FGAITR</t>
  </si>
  <si>
    <t>HGLHPK(120.06)FGAITR</t>
  </si>
  <si>
    <t>Q9I521</t>
  </si>
  <si>
    <t>&gt;tr|Q9I521|Q9I521_PSEAE Uncharacterized protein OS=Pseudomonas aeruginosa (strain ATCC 15692 / PAO1 / 1C / PRS 101 / LMG 12228) GN=PA0937 PE=4 SV=1;&gt;tr|U5QXC5|U5QXC5_PSEAE Uncharacterized protein OS=Pseudomonas aeruginosa PAO1-VE2 GN=N296_969 PE=4 SV=1;&gt;tr</t>
  </si>
  <si>
    <t>_LESDDYYNFVDAK(ac)K_</t>
  </si>
  <si>
    <t>LESDDYYNFVDAK(1)K</t>
  </si>
  <si>
    <t>LESDDYYNFVDAK(70.41)K(-70.41)</t>
  </si>
  <si>
    <t>_LPGK(ac)MHYDAR_</t>
  </si>
  <si>
    <t>LPGK(1)MHYDAR</t>
  </si>
  <si>
    <t>LPGK(86.62)MHYDAR</t>
  </si>
  <si>
    <t>P38103</t>
  </si>
  <si>
    <t xml:space="preserve">&gt;sp|P38103|DAPB_PSEAE 4-hydroxy-tetrahydrodipicolinate reductase OS=Pseudomonas aeruginosa (strain ATCC 15692 / PAO1 / 1C / PRS 101 / LMG 12228) GN=dapB PE=3 SV=2;&gt;tr|U5R1C8|U5R1C8_PSEAE 4-hydroxy-tetrahydrodipicolinate reductase OS=Pseudomonas aeruginosa </t>
  </si>
  <si>
    <t>_HK(ac)VDAPSGTALR_</t>
  </si>
  <si>
    <t>HK(1)VDAPSGTALR</t>
  </si>
  <si>
    <t>HK(64.55)VDAPSGTALR</t>
  </si>
  <si>
    <t>_VTVK(ac)YNIPK_</t>
  </si>
  <si>
    <t>VTVK(1)YNIPK</t>
  </si>
  <si>
    <t>VTVK(22.53)YNIPK(-22.53)</t>
  </si>
  <si>
    <t>U5R3C8</t>
  </si>
  <si>
    <t>&gt;tr|U5R3C8|U5R3C8_PSEAE 3-phosphoshikimate 1-carboxyvinyltransferase OS=Pseudomonas aeruginosa PAO1-VE2 GN=aroA PE=3 SV=1;&gt;tr|U5R7J6|U5R7J6_PSEAE 3-phosphoshikimate 1-carboxyvinyltransferase OS=Pseudomonas aeruginosa PAO1-VE13 GN=aroA PE=3 SV=1</t>
  </si>
  <si>
    <t>_VPGDK(ac)SISHR_</t>
  </si>
  <si>
    <t>VPGDK(1)SISHR</t>
  </si>
  <si>
    <t>VPGDK(72.33)SISHR</t>
  </si>
  <si>
    <t>Q9I300</t>
  </si>
  <si>
    <t>&gt;tr|Q9I300|Q9I300_PSEAE Probable 3-hydroxyacyl-CoA dehydrogenase OS=Pseudomonas aeruginosa (strain ATCC 15692 / PAO1 / 1C / PRS 101 / LMG 12228) GN=PA1737 PE=4 SV=1;&gt;tr|U5R3Y4|U5R3Y4_PSEAE Enoyl-CoA hydratase/isomerase family protein OS=Pseudomonas aerugin</t>
  </si>
  <si>
    <t>_GHLSAEK(ac)R_</t>
  </si>
  <si>
    <t>GHLSAEK(1)R</t>
  </si>
  <si>
    <t>GHLSAEK(87.32)R</t>
  </si>
  <si>
    <t>_SEFVK(ac)GGGIPDLIAIYQDASGNAK_</t>
  </si>
  <si>
    <t>SEFVK(1)GGGIPDLIAIYQDASGNAK</t>
  </si>
  <si>
    <t>SEFVK(40.01)GGGIPDLIAIYQDASGNAK(-40.01)</t>
  </si>
  <si>
    <t>_VLNAK(ac)YHEK_</t>
  </si>
  <si>
    <t>VLNAK(1)YHEK</t>
  </si>
  <si>
    <t>VLNAK(46)YHEK(-46)</t>
  </si>
  <si>
    <t>Q9I2R2</t>
  </si>
  <si>
    <t xml:space="preserve">&gt;tr|Q9I2R2|Q9I2R2_PSEAE Probable oxidoreductase OS=Pseudomonas aeruginosa (strain ATCC 15692 / PAO1 / 1C / PRS 101 / LMG 12228) GN=PA1833 PE=4 SV=1;&gt;tr|U5R250|U5R250_PSEAE Quinone oxidoreductase, YhdH/YhfP family protein OS=Pseudomonas aeruginosa PAO1-VE2 </t>
  </si>
  <si>
    <t>_ATVADGVDK(ac)PLLK_</t>
  </si>
  <si>
    <t>ATVADGVDK(1)PLLK</t>
  </si>
  <si>
    <t>ATVADGVDK(88.02)PLLK(-88.02)</t>
  </si>
  <si>
    <t>U5R4N6</t>
  </si>
  <si>
    <t>&gt;tr|U5R4N6|U5R4N6_PSEAE ATP-dependent RNA helicase RhlB OS=Pseudomonas aeruginosa PAO1-VE2 GN=rhlB PE=3 SV=1;&gt;tr|U5RPK4|U5RPK4_PSEAE ATP-dependent RNA helicase RhlB OS=Pseudomonas aeruginosa PAO1-VE13 GN=rhlB PE=3 SV=1</t>
  </si>
  <si>
    <t>_GTAPTGEK(ac)PTEK_</t>
  </si>
  <si>
    <t>GTAPTGEK(1)PTEK</t>
  </si>
  <si>
    <t>GTAPTGEK(35.01)PTEK(-35.01)</t>
  </si>
  <si>
    <t>_SIQK(ac)AANFGR_</t>
  </si>
  <si>
    <t>SIQK(1)AANFGR</t>
  </si>
  <si>
    <t>SIQK(70.1)AANFGR</t>
  </si>
  <si>
    <t>_SAAGCTIK(ac)LPEQAIAEYLK_</t>
  </si>
  <si>
    <t>SAAGCTIK(1)LPEQAIAEYLK</t>
  </si>
  <si>
    <t>SAAGCTIK(39.66)LPEQAIAEYLK(-39.66)</t>
  </si>
  <si>
    <t>Q9I714</t>
  </si>
  <si>
    <t xml:space="preserve">&gt;tr|Q9I714|Q9I714_PSEAE Uncharacterized protein OS=Pseudomonas aeruginosa (strain ATCC 15692 / PAO1 / 1C / PRS 101 / LMG 12228) GN=PA0118 PE=4 SV=1;&gt;tr|U5R9B9|U5R9B9_PSEAE DSBA-like thioredoxin domain protein OS=Pseudomonas aeruginosa PAO1-VE2 GN=N296_124 </t>
  </si>
  <si>
    <t>_LVGDEQVK(ac)EGLK_</t>
  </si>
  <si>
    <t>LVGDEQVK(1)EGLK</t>
  </si>
  <si>
    <t>LVGDEQVK(80.76)EGLK(-80.76)</t>
  </si>
  <si>
    <t>_NVVLDK(ac)SFGAPTITK_</t>
  </si>
  <si>
    <t>NVVLDK(1)SFGAPTITK</t>
  </si>
  <si>
    <t>NVVLDK(120.14)SFGAPTITK(-120.14)</t>
  </si>
  <si>
    <t>_MIYGDEAK(ac)AGR_</t>
  </si>
  <si>
    <t>MIYGDEAK(1)AGR</t>
  </si>
  <si>
    <t>MIYGDEAK(105.86)AGR</t>
  </si>
  <si>
    <t>_DFFQPVLK(ac)GLDK_</t>
  </si>
  <si>
    <t>DFFQPVLK(1)GLDK</t>
  </si>
  <si>
    <t>DFFQPVLK(55.45)GLDK(-55.45)</t>
  </si>
  <si>
    <t>_SDSSLK(ac)QELEFK_</t>
  </si>
  <si>
    <t>SDSSLK(1)QELEFK</t>
  </si>
  <si>
    <t>SDSSLK(90.65)QELEFK(-90.65)</t>
  </si>
  <si>
    <t>U5QZV2</t>
  </si>
  <si>
    <t>&gt;tr|U5QZV2|U5QZV2_PSEAE Biofilm dispersion protein BdlA OS=Pseudomonas aeruginosa PAO1-VE2 GN=bdlA PE=4 SV=1;&gt;tr|U5REU7|U5REU7_PSEAE Biofilm dispersion protein BdlA OS=Pseudomonas aeruginosa PAO1-VE13 GN=bdlA PE=4 SV=1;&gt;sp|Q9I3S1|BDLA_PSEAE Biofilm dispers</t>
  </si>
  <si>
    <t>_VVK(ac)FASDVSDR_</t>
  </si>
  <si>
    <t>VVK(1)FASDVSDR</t>
  </si>
  <si>
    <t>VVK(125.75)FASDVSDR</t>
  </si>
  <si>
    <t>_SHQLIK(ac)DHDVK_</t>
  </si>
  <si>
    <t>SHQLIK(1)DHDVK</t>
  </si>
  <si>
    <t>SHQLIK(56.23)DHDVK(-56.23)</t>
  </si>
  <si>
    <t>_VLK(ac)FDRER_</t>
  </si>
  <si>
    <t>VLK(1)FDRER</t>
  </si>
  <si>
    <t>VLK(127.46)FDRER</t>
  </si>
  <si>
    <t>Q9HXP9</t>
  </si>
  <si>
    <t>&gt;sp|Q9HXP9|RS16_PSEAE 30S ribosomal protein S16 OS=Pseudomonas aeruginosa (strain ATCC 15692 / PAO1 / 1C / PRS 101 / LMG 12228) GN=rpsP PE=3 SV=1;&gt;tr|U5QRK9|U5QRK9_PSEAE 30S ribosomal protein S16 OS=Pseudomonas aeruginosa PAO1-VE2 GN=rpsP PE=3 SV=1;&gt;tr|U5R</t>
  </si>
  <si>
    <t>_VAQLLK(ac)DAAK_</t>
  </si>
  <si>
    <t>VAQLLK(1)DAAK</t>
  </si>
  <si>
    <t>VAQLLK(86.88)DAAK(-86.88)</t>
  </si>
  <si>
    <t>P72157</t>
  </si>
  <si>
    <t>&gt;sp|P72157|PURE_PSEAE N5-carboxyaminoimidazole ribonucleotide mutase OS=Pseudomonas aeruginosa (strain ATCC 15692 / PAO1 / 1C / PRS 101 / LMG 12228) GN=purE PE=3 SV=2;&gt;tr|U5QU41|U5QU41_PSEAE N5-carboxyaminoimidazole ribonucleotide mutase OS=Pseudomonas aer</t>
  </si>
  <si>
    <t>_SDWSTLSHTADMLDK(ac)LGIPYEVK_</t>
  </si>
  <si>
    <t>SDWSTLSHTADMLDK(1)LGIPYEVK</t>
  </si>
  <si>
    <t>SDWSTLSHTADMLDK(30.24)LGIPYEVK(-30.24)</t>
  </si>
  <si>
    <t>Q9I0C2</t>
  </si>
  <si>
    <t>&gt;tr|Q9I0C2|Q9I0C2_PSEAE Uncharacterized protein OS=Pseudomonas aeruginosa (strain ATCC 15692 / PAO1 / 1C / PRS 101 / LMG 12228) GN=PA2720 PE=4 SV=1;&gt;tr|U5R2Y3|U5R2Y3_PSEAE Uncharacterized protein OS=Pseudomonas aeruginosa PAO1-VE2 GN=N296_2802 PE=4 SV=1;&gt;t</t>
  </si>
  <si>
    <t>_ATWYAGEK(ac)TGR_</t>
  </si>
  <si>
    <t>ATWYAGEK(1)TGR</t>
  </si>
  <si>
    <t>ATWYAGEK(37.68)TGR</t>
  </si>
  <si>
    <t>Q00934</t>
  </si>
  <si>
    <t>&gt;sp|Q00934|PILR_PSEAE Type 4 fimbriae expression regulatory protein PilR OS=Pseudomonas aeruginosa (strain ATCC 15692 / PAO1 / 1C / PRS 101 / LMG 12228) GN=pilR PE=3 SV=2;&gt;tr|U5R1U2|U5R1U2_PSEAE Bacterial regulatory , Fis family protein OS=Pseudomonas aeru</t>
  </si>
  <si>
    <t>_LTGDAQEK(ac)LK_</t>
  </si>
  <si>
    <t>LTGDAQEK(1)LK</t>
  </si>
  <si>
    <t>LTGDAQEK(26.79)LK(-26.79)</t>
  </si>
  <si>
    <t>Q9HWE6</t>
  </si>
  <si>
    <t>&gt;sp|Q9HWE6|RL24_PSEAE 50S ribosomal protein L24 OS=Pseudomonas aeruginosa (strain ATCC 15692 / PAO1 / 1C / PRS 101 / LMG 12228) GN=rplX PE=3 SV=1;&gt;tr|U5QZI5|U5QZI5_PSEAE 50S ribosomal protein L24 OS=Pseudomonas aeruginosa PAO1-VE2 GN=rplX PE=3 SV=1;&gt;tr|U5R</t>
  </si>
  <si>
    <t>_VGFK(ac)VEDGKK_</t>
  </si>
  <si>
    <t>VGFK(0.996)VEDGK(0.004)K</t>
  </si>
  <si>
    <t>VGFK(24.34)VEDGK(-24.34)K(-40.59)</t>
  </si>
  <si>
    <t>_QLGIYSSVGQLYEPVDK(ac)DQVMFYR_</t>
  </si>
  <si>
    <t>QLGIYSSVGQLYEPVDK(1)DQVMFYR</t>
  </si>
  <si>
    <t>QLGIYSSVGQLYEPVDK(50.54)DQVMFYR</t>
  </si>
  <si>
    <t>_QIEETTSDYDREK(ac)LQER_</t>
  </si>
  <si>
    <t>QIEETTSDYDREK(1)LQER</t>
  </si>
  <si>
    <t>QIEETTSDYDREK(161.76)LQER</t>
  </si>
  <si>
    <t>_PAAPAAEAPIFAAGDRVEK(ac)R_</t>
  </si>
  <si>
    <t>PAAPAAEAPIFAAGDRVEK(1)R</t>
  </si>
  <si>
    <t>PAAPAAEAPIFAAGDRVEK(94.88)R</t>
  </si>
  <si>
    <t>_EVLAGNGVGPNK(ac)DHVLLK_</t>
  </si>
  <si>
    <t>EVLAGNGVGPNK(1)DHVLLK</t>
  </si>
  <si>
    <t>EVLAGNGVGPNK(58.83)DHVLLK(-58.83)</t>
  </si>
  <si>
    <t>Q9I490</t>
  </si>
  <si>
    <t>&gt;tr|Q9I490|Q9I490_PSEAE Probable dihydrodipicolinate synthetase OS=Pseudomonas aeruginosa (strain ATCC 15692 / PAO1 / 1C / PRS 101 / LMG 12228) GN=PA1254 PE=3 SV=1;&gt;tr|U5R709|U5R709_PSEAE Dihydrodipicolinate synthetase family protein OS=Pseudomonas aerugin</t>
  </si>
  <si>
    <t>_VAK(ac)AVER_</t>
  </si>
  <si>
    <t>VAK(1)AVER</t>
  </si>
  <si>
    <t>VAK(53.55)AVER</t>
  </si>
  <si>
    <t>_LSVLYK(ac)DVK_</t>
  </si>
  <si>
    <t>LSVLYK(1)DVK</t>
  </si>
  <si>
    <t>LSVLYK(74.92)DVK(-74.92)</t>
  </si>
  <si>
    <t>_EDLNVPVK(ac)DGQVQSDAR_</t>
  </si>
  <si>
    <t>EDLNVPVK(1)DGQVQSDAR</t>
  </si>
  <si>
    <t>EDLNVPVK(93.51)DGQVQSDAR</t>
  </si>
  <si>
    <t>_FITEK(ac)FGIPQISTGDMLR_</t>
  </si>
  <si>
    <t>FITEK(1)FGIPQISTGDMLR</t>
  </si>
  <si>
    <t>FITEK(92.77)FGIPQISTGDMLR</t>
  </si>
  <si>
    <t>_SDLRNEK(ac)IGFK_</t>
  </si>
  <si>
    <t>SDLRNEK(1)IGFK</t>
  </si>
  <si>
    <t>SDLRNEK(65.4)IGFK(-65.4)</t>
  </si>
  <si>
    <t>O52761</t>
  </si>
  <si>
    <t>&gt;sp|O52761|RL17_PSEAE 50S ribosomal protein L17 OS=Pseudomonas aeruginosa (strain ATCC 15692 / PAO1 / 1C / PRS 101 / LMG 12228) GN=rplQ PE=3 SV=1;&gt;tr|U5R4L0|U5R4L0_PSEAE 50S ribosomal protein L17 OS=Pseudomonas aeruginosa PAO1-VE2 GN=rplQ PE=3 SV=1;&gt;tr|U5R</t>
  </si>
  <si>
    <t>_ILK(ac)CGFR_</t>
  </si>
  <si>
    <t>ILK(1)CGFR</t>
  </si>
  <si>
    <t>ILK(46.02)CGFR</t>
  </si>
  <si>
    <t>Q9HXK8</t>
  </si>
  <si>
    <t>&gt;tr|Q9HXK8|Q9HXK8_PSEAE Uncharacterized protein OS=Pseudomonas aeruginosa (strain ATCC 15692 / PAO1 / 1C / PRS 101 / LMG 12228) GN=PA3787 PE=1 SV=1;&gt;tr|U5QWQ7|U5QWQ7_PSEAE Peptidase M23 family protein OS=Pseudomonas aeruginosa PAO1-VE2 GN=N296_3912 PE=4 SV</t>
  </si>
  <si>
    <t>_GGVLGK(ac)VGATGR_</t>
  </si>
  <si>
    <t>GGVLGK(1)VGATGR</t>
  </si>
  <si>
    <t>GGVLGK(23.03)VGATGR</t>
  </si>
  <si>
    <t>_EFDLEK(ac)LGK_</t>
  </si>
  <si>
    <t>EFDLEK(1)LGK</t>
  </si>
  <si>
    <t>EFDLEK(46.16)LGK(-46.16)</t>
  </si>
  <si>
    <t>_NEPEQYK(ac)TFWK_</t>
  </si>
  <si>
    <t>NEPEQYK(1)TFWK</t>
  </si>
  <si>
    <t>NEPEQYK(16.62)TFWK(-16.62)</t>
  </si>
  <si>
    <t>_ANLAK(ac)LFQADAQR_</t>
  </si>
  <si>
    <t>ANLAK(1)LFQADAQR</t>
  </si>
  <si>
    <t>ANLAK(103.75)LFQADAQR</t>
  </si>
  <si>
    <t>_TYPLASK(ac)DEQGR_</t>
  </si>
  <si>
    <t>TYPLASK(1)DEQGR</t>
  </si>
  <si>
    <t>TYPLASK(75.82)DEQGR</t>
  </si>
  <si>
    <t>Q9HXY2</t>
  </si>
  <si>
    <t>&gt;sp|Q9HXY2|UPPS_PSEAE Ditrans,polycis-undecaprenyl-diphosphate synthase ((2E,6E)-farnesyl-diphosphate specific) OS=Pseudomonas aeruginosa (strain ATCC 15692 / PAO1 / 1C / PRS 101 / LMG 12228) GN=uppS PE=3 SV=1;&gt;tr|U5R449|U5R449_PSEAE Ditrans,polycis-undeca</t>
  </si>
  <si>
    <t>_AALADFSK(ac)R_</t>
  </si>
  <si>
    <t>AALADFSK(1)R</t>
  </si>
  <si>
    <t>AALADFSK(66.62)R</t>
  </si>
  <si>
    <t>_VVAEAIAK(ac)YGIDPEK_</t>
  </si>
  <si>
    <t>VVAEAIAK(1)YGIDPEK</t>
  </si>
  <si>
    <t>VVAEAIAK(35.04)YGIDPEK(-35.04)</t>
  </si>
  <si>
    <t>_M(ox)GIALGK(ac)LAQEDPSFR_</t>
  </si>
  <si>
    <t>MGIALGK(1)LAQEDPSFR</t>
  </si>
  <si>
    <t>MGIALGK(67.12)LAQEDPSFR</t>
  </si>
  <si>
    <t>_YYYASK(ac)LGR_</t>
  </si>
  <si>
    <t>YYYASK(1)LGR</t>
  </si>
  <si>
    <t>YYYASK(68.73)LGR</t>
  </si>
  <si>
    <t>_WSELEEAFDK(ac)R_</t>
  </si>
  <si>
    <t>WSELEEAFDK(1)R</t>
  </si>
  <si>
    <t>WSELEEAFDK(86.88)R</t>
  </si>
  <si>
    <t>Q9I0L2</t>
  </si>
  <si>
    <t>&gt;sp|Q9I0L2|MNMA_PSEAE tRNA-specific 2-thiouridylase MnmA OS=Pseudomonas aeruginosa (strain ATCC 15692 / PAO1 / 1C / PRS 101 / LMG 12228) GN=mnmA PE=3 SV=1;&gt;tr|U5R7B4|U5R7B4_PSEAE tRNA-specific 2-thiouridylase MnmA OS=Pseudomonas aeruginosa PAO1-VE13 GN=trm</t>
  </si>
  <si>
    <t>_SLFPVGELEK(ac)PEVR_</t>
  </si>
  <si>
    <t>SLFPVGELEK(1)PEVR</t>
  </si>
  <si>
    <t>SLFPVGELEK(79.47)PEVR</t>
  </si>
  <si>
    <t>_IIENAVADLEK(ac)ITGQK_</t>
  </si>
  <si>
    <t>IIENAVADLEK(1)ITGQK</t>
  </si>
  <si>
    <t>IIENAVADLEK(54.6)ITGQK(-54.6)</t>
  </si>
  <si>
    <t>_AAQLGLK(ac)TACIEK_</t>
  </si>
  <si>
    <t>AAQLGLK(1)TACIEK</t>
  </si>
  <si>
    <t>AAQLGLK(72.96)TACIEK(-72.96)</t>
  </si>
  <si>
    <t>_VLFYTGVNHK(ac)LGEVHDGAATTDWMVQEQER_</t>
  </si>
  <si>
    <t>VLFYTGVNHK(1)LGEVHDGAATTDWMVQEQER</t>
  </si>
  <si>
    <t>VLFYTGVNHK(26.19)LGEVHDGAATTDWMVQEQER</t>
  </si>
  <si>
    <t>_VYK(ac)NFDPR_</t>
  </si>
  <si>
    <t>VYK(1)NFDPR</t>
  </si>
  <si>
    <t>VYK(124.08)NFDPR</t>
  </si>
  <si>
    <t>_MYVQIMPEK(ac)EAATYR_</t>
  </si>
  <si>
    <t>MYVQIMPEK(1)EAATYR</t>
  </si>
  <si>
    <t>MYVQIMPEK(58.83)EAATYR</t>
  </si>
  <si>
    <t>_HAGHAIAGDPK(ac)YGDEDFSR_</t>
  </si>
  <si>
    <t>HAGHAIAGDPK(1)YGDEDFSR</t>
  </si>
  <si>
    <t>HAGHAIAGDPK(57.52)YGDEDFSR</t>
  </si>
  <si>
    <t>_LFEK(ac)GVIYR_</t>
  </si>
  <si>
    <t>LFEK(1)GVIYR</t>
  </si>
  <si>
    <t>LFEK(67.56)GVIYR</t>
  </si>
  <si>
    <t>_QLPLK(ac)FVAHTPCFR_</t>
  </si>
  <si>
    <t>QLPLK(1)FVAHTPCFR</t>
  </si>
  <si>
    <t>QLPLK(46.48)FVAHTPCFR</t>
  </si>
  <si>
    <t>G3XD64</t>
  </si>
  <si>
    <t>&gt;tr|G3XD64|G3XD64_PSEAE Site-determining protein OS=Pseudomonas aeruginosa (strain ATCC 15692 / PAO1 / 1C / PRS 101 / LMG 12228) GN=fleN PE=3 SV=1;&gt;tr|U5QUQ4|U5QUQ4_PSEAE Site-determining protein OS=Pseudomonas aeruginosa PAO1-VE2 GN=N296_1495 PE=3 SV=1;&gt;t</t>
  </si>
  <si>
    <t>_NLFAK(ac)LTK_</t>
  </si>
  <si>
    <t>NLFAK(1)LTK</t>
  </si>
  <si>
    <t>NLFAK(48.8)LTK(-48.8)</t>
  </si>
  <si>
    <t>_SKPK(ac)YAEAIER_</t>
  </si>
  <si>
    <t>SK(0.005)PK(0.995)YAEAIER</t>
  </si>
  <si>
    <t>SK(-23.07)PK(23.07)YAEAIER</t>
  </si>
  <si>
    <t>_NTK(ac)DNTPAVIHYSIVPGDK_</t>
  </si>
  <si>
    <t>NTK(1)DNTPAVIHYSIVPGDK</t>
  </si>
  <si>
    <t>NTK(60.53)DNTPAVIHYSIVPGDK(-60.53)</t>
  </si>
  <si>
    <t>_IAALGLK(ac)LNELLEGPTR_</t>
  </si>
  <si>
    <t>IAALGLK(1)LNELLEGPTR</t>
  </si>
  <si>
    <t>IAALGLK(91.81)LNELLEGPTR</t>
  </si>
  <si>
    <t>_LGVNDGATLGFQLK(ac)GQALR_</t>
  </si>
  <si>
    <t>LGVNDGATLGFQLK(1)GQALR</t>
  </si>
  <si>
    <t>LGVNDGATLGFQLK(39.66)GQALR</t>
  </si>
  <si>
    <t>_ETISDLEEALDTLK(ac)AR_</t>
  </si>
  <si>
    <t>ETISDLEEALDTLK(1)AR</t>
  </si>
  <si>
    <t>ETISDLEEALDTLK(73.72)AR</t>
  </si>
  <si>
    <t>_AIEGNGFK(ac)TLAEGQK_</t>
  </si>
  <si>
    <t>AIEGNGFK(1)TLAEGQK</t>
  </si>
  <si>
    <t>AIEGNGFK(65.81)TLAEGQK(-65.81)</t>
  </si>
  <si>
    <t>_DK(ac)AAAHLQAGAGK_</t>
  </si>
  <si>
    <t>DK(1)AAAHLQAGAGK</t>
  </si>
  <si>
    <t>DK(16.26)AAAHLQAGAGK(-16.26)</t>
  </si>
  <si>
    <t>_LLGDGWTAITK(ac)DRK_</t>
  </si>
  <si>
    <t>LLGDGWTAITK(1)DRK</t>
  </si>
  <si>
    <t>LLGDGWTAITK(19.29)DRK(-19.29)</t>
  </si>
  <si>
    <t>Q9HU56</t>
  </si>
  <si>
    <t>&gt;sp|Q9HU56|SECB_PSEAE Protein-export protein SecB OS=Pseudomonas aeruginosa (strain ATCC 15692 / PAO1 / 1C / PRS 101 / LMG 12228) GN=secB PE=3 SV=1;&gt;tr|U5R3B8|U5R3B8_PSEAE Protein-export protein SecB OS=Pseudomonas aeruginosa PAO1-VE2 GN=secB PE=3 SV=1;&gt;tr</t>
  </si>
  <si>
    <t>_DLSFESPK(ac)SPEIFR_</t>
  </si>
  <si>
    <t>DLSFESPK(1)SPEIFR</t>
  </si>
  <si>
    <t>DLSFESPK(100.55)SPEIFR</t>
  </si>
  <si>
    <t>_DQEK(ac)LEYQLATRH_</t>
  </si>
  <si>
    <t>DQEK(1)LEYQLATRH</t>
  </si>
  <si>
    <t>DQEK(100.72)LEYQLATRH</t>
  </si>
  <si>
    <t>_PAAPAAASVQDIK(ac)VPDIGSAGK_</t>
  </si>
  <si>
    <t>PAAPAAASVQDIK(1)VPDIGSAGK</t>
  </si>
  <si>
    <t>PAAPAAASVQDIK(74.95)VPDIGSAGK(-74.95)</t>
  </si>
  <si>
    <t>Q9HU24</t>
  </si>
  <si>
    <t>&gt;tr|Q9HU24|Q9HU24_PSEAE dTDP-glucose 4,6-dehydratase OS=Pseudomonas aeruginosa (strain ATCC 15692 / PAO1 / 1C / PRS 101 / LMG 12228) GN=rmlB PE=3 SV=1;&gt;tr|U5R6T0|U5R6T0_PSEAE dTDP-glucose 4,6-dehydratase OS=Pseudomonas aeruginosa PAO1-VE2 GN=rfbB PE=3 SV=1</t>
  </si>
  <si>
    <t>_DWLYVK(ac)DHCSAIR_</t>
  </si>
  <si>
    <t>DWLYVK(1)DHCSAIR</t>
  </si>
  <si>
    <t>DWLYVK(74.76)DHCSAIR</t>
  </si>
  <si>
    <t>_PQFIK(ac)ASVVSK_</t>
  </si>
  <si>
    <t>PQFIK(1)ASVVSK</t>
  </si>
  <si>
    <t>PQFIK(14.9)ASVVSK(-14.9)</t>
  </si>
  <si>
    <t>_AVQAAEK(ac)AR_</t>
  </si>
  <si>
    <t>AVQAAEK(1)AR</t>
  </si>
  <si>
    <t>AVQAAEK(117.81)AR</t>
  </si>
  <si>
    <t>_AFK(ac)SVGGTPLFFK_</t>
  </si>
  <si>
    <t>AFK(1)SVGGTPLFFK</t>
  </si>
  <si>
    <t>AFK(52.55)SVGGTPLFFK(-52.55)</t>
  </si>
  <si>
    <t>Q9HZA4</t>
  </si>
  <si>
    <t>&gt;sp|Q9HZA4|LEUD_PSEAE 3-isopropylmalate dehydratase small subunit OS=Pseudomonas aeruginosa (strain ATCC 15692 / PAO1 / 1C / PRS 101 / LMG 12228) GN=leuD PE=3 SV=1;&gt;tr|U5QRJ9|U5QRJ9_PSEAE 3-isopropylmalate dehydratase small subunit OS=Pseudomonas aeruginos</t>
  </si>
  <si>
    <t>_ANVDTDQIIPK(ac)QFLK_</t>
  </si>
  <si>
    <t>ANVDTDQIIPK(1)QFLK</t>
  </si>
  <si>
    <t>ANVDTDQIIPK(62.08)QFLK(-62.08)</t>
  </si>
  <si>
    <t>_AALPTLK(ac)LALEK_</t>
  </si>
  <si>
    <t>AALPTLK(1)LALEK</t>
  </si>
  <si>
    <t>AALPTLK(25.01)LALEK(-25.01)</t>
  </si>
  <si>
    <t>Q9I777</t>
  </si>
  <si>
    <t>&gt;tr|Q9I777|Q9I777_PSEAE Uncharacterized protein OS=Pseudomonas aeruginosa (strain ATCC 15692 / PAO1 / 1C / PRS 101 / LMG 12228) GN=PA0055 PE=4 SV=1;&gt;tr|U5QY46|U5QY46_PSEAE Uncharacterized protein OS=Pseudomonas aeruginosa PAO1-VE2 GN=N296_61 PE=4 SV=1;&gt;tr|</t>
  </si>
  <si>
    <t>_AAAHAEAK(ac)NIDPR_</t>
  </si>
  <si>
    <t>AAAHAEAK(1)NIDPR</t>
  </si>
  <si>
    <t>AAAHAEAK(19.74)NIDPR</t>
  </si>
  <si>
    <t>_GLGK(ac)QCALLTDGR_</t>
  </si>
  <si>
    <t>GLGK(1)QCALLTDGR</t>
  </si>
  <si>
    <t>GLGK(119.45)QCALLTDGR</t>
  </si>
  <si>
    <t>P57668</t>
  </si>
  <si>
    <t>&gt;sp|P57668|TPX_PSEAE Probable thiol peroxidase OS=Pseudomonas aeruginosa (strain ATCC 15692 / PAO1 / 1C / PRS 101 / LMG 12228) GN=tpx PE=3 SV=1;&gt;tr|U5QSP9|U5QSP9_PSEAE Probable thiol peroxidase OS=Pseudomonas aeruginosa PAO1-VE2 GN=tpx PE=3 SV=1;&gt;tr|U5RFU7</t>
  </si>
  <si>
    <t>_K(ac)FNVEAGK_</t>
  </si>
  <si>
    <t>K(1)FNVEAGK</t>
  </si>
  <si>
    <t>K(40.02)FNVEAGK(-40.02)</t>
  </si>
  <si>
    <t>_VGAATEVEMK(ac)EK_</t>
  </si>
  <si>
    <t>VGAATEVEMK(1)EK</t>
  </si>
  <si>
    <t>VGAATEVEMK(71.56)EK(-71.56)</t>
  </si>
  <si>
    <t>_YLGTK(ac)YPGTK_</t>
  </si>
  <si>
    <t>YLGTK(1)YPGTK</t>
  </si>
  <si>
    <t>YLGTK(63.43)YPGTK(-63.43)</t>
  </si>
  <si>
    <t>_QIAQEFSNEK(ac)K_</t>
  </si>
  <si>
    <t>QIAQEFSNEK(1)K</t>
  </si>
  <si>
    <t>QIAQEFSNEK(32.01)K(-32.01)</t>
  </si>
  <si>
    <t>_PLVEPGK(ac)LLDDAASLDAYGK_</t>
  </si>
  <si>
    <t>PLVEPGK(1)LLDDAASLDAYGK</t>
  </si>
  <si>
    <t>PLVEPGK(62.77)LLDDAASLDAYGK(-62.77)</t>
  </si>
  <si>
    <t>Q9I3D8</t>
  </si>
  <si>
    <t>&gt;sp|Q9I3D8|Y1579_PSEAE Uncharacterized protein PA1579 OS=Pseudomonas aeruginosa (strain ATCC 15692 / PAO1 / 1C / PRS 101 / LMG 12228) GN=PA1579 PE=4 SV=1;&gt;tr|U5R7E2|U5R7E2_PSEAE Polyketide cyclase / dehydrase and lipid transport family protein OS=Pseudomon</t>
  </si>
  <si>
    <t>_VYLSSVQGSK(ac)YK_</t>
  </si>
  <si>
    <t>VYLSSVQGSK(1)YK</t>
  </si>
  <si>
    <t>VYLSSVQGSK(73.78)YK(-73.78)</t>
  </si>
  <si>
    <t>Q9HUB5</t>
  </si>
  <si>
    <t>&gt;sp|Q9HUB5|TATA_PSEAE Sec-independent protein translocase protein TatA OS=Pseudomonas aeruginosa (strain ATCC 15692 / PAO1 / 1C / PRS 101 / LMG 12228) GN=tatA PE=3 SV=1;&gt;tr|U5QZN1|U5QZN1_PSEAE Sec-independent protein translocase protein TatA OS=Pseudomonas</t>
  </si>
  <si>
    <t>_AVNTEEDDK(ac)K_</t>
  </si>
  <si>
    <t>AVNTEEDDK(1)K</t>
  </si>
  <si>
    <t>AVNTEEDDK(54.61)K(-54.61)</t>
  </si>
  <si>
    <t>_ELAFQLGLK(ac)GDQIK_</t>
  </si>
  <si>
    <t>ELAFQLGLK(1)GDQIK</t>
  </si>
  <si>
    <t>ELAFQLGLK(70.56)GDQIK(-70.56)</t>
  </si>
  <si>
    <t>_NLTGGIATLFK(ac)ANGVTSFEGHGK_</t>
  </si>
  <si>
    <t>NLTGGIATLFK(1)ANGVTSFEGHGK</t>
  </si>
  <si>
    <t>NLTGGIATLFK(41.11)ANGVTSFEGHGK(-41.11)</t>
  </si>
  <si>
    <t>Q9HUN7</t>
  </si>
  <si>
    <t>&gt;tr|Q9HUN7|Q9HUN7_PSEAE Uncharacterized protein OS=Pseudomonas aeruginosa (strain ATCC 15692 / PAO1 / 1C / PRS 101 / LMG 12228) GN=PA4927 PE=4 SV=1;&gt;tr|U5RA97|U5RA97_PSEAE A circularly permuted ATPgrasp family protein OS=Pseudomonas aeruginosa PAO1-VE2 GN=</t>
  </si>
  <si>
    <t>_TLGGLK(ac)R_</t>
  </si>
  <si>
    <t>TLGGLK(1)R</t>
  </si>
  <si>
    <t>TLGGLK(57.1)R</t>
  </si>
  <si>
    <t>O30508</t>
  </si>
  <si>
    <t xml:space="preserve">&gt;sp|O30508|ARUC_PSEAE Succinylornithine transaminase/acetylornithine aminotransferase OS=Pseudomonas aeruginosa (strain ATCC 15692 / PAO1 / 1C / PRS 101 / LMG 12228) GN=aruC PE=1 SV=2;&gt;tr|U5R5R0|U5R5R0_PSEAE Acetylornithine aminotransferase OS=Pseudomonas </t>
  </si>
  <si>
    <t>_TLFTVNVGGQPK(ac)YSDGFGPK_</t>
  </si>
  <si>
    <t>TLFTVNVGGQPK(1)YSDGFGPK</t>
  </si>
  <si>
    <t>TLFTVNVGGQPK(71.56)YSDGFGPK(-71.56)</t>
  </si>
  <si>
    <t>Q9HX97</t>
  </si>
  <si>
    <t>&gt;sp|Q9HX97|MOAE_PSEAE Molybdopterin synthase catalytic subunit OS=Pseudomonas aeruginosa (strain ATCC 15692 / PAO1 / 1C / PRS 101 / LMG 12228) GN=moaE PE=3 SV=1;&gt;tr|U5R3A2|U5R3A2_PSEAE MoaE family protein OS=Pseudomonas aeruginosa PAO1-VE2 GN=N296_4045 PE=</t>
  </si>
  <si>
    <t>_QAAFDACNFVMDYLK(ac)TR_</t>
  </si>
  <si>
    <t>QAAFDACNFVMDYLK(1)TR</t>
  </si>
  <si>
    <t>QAAFDACNFVMDYLK(76.82)TR</t>
  </si>
  <si>
    <t>_AGIEK(ac)FK_</t>
  </si>
  <si>
    <t>AGIEK(1)FK</t>
  </si>
  <si>
    <t>AGIEK(62.72)FK(-62.72)</t>
  </si>
  <si>
    <t>Q9I4F9</t>
  </si>
  <si>
    <t>&gt;tr|Q9I4F9|Q9I4F9_PSEAE Two-component response regulator PhoP OS=Pseudomonas aeruginosa (strain ATCC 15692 / PAO1 / 1C / PRS 101 / LMG 12228) GN=phoP PE=4 SV=1;&gt;tr|U5R9C3|U5R9C3_PSEAE Virulence transcriptional regulatory protein phoP OS=Pseudomonas aerugin</t>
  </si>
  <si>
    <t>_GNWQDK(ac)VEGLAAGADDYVVK_</t>
  </si>
  <si>
    <t>GNWQDK(1)VEGLAAGADDYVVK</t>
  </si>
  <si>
    <t>GNWQDK(23.45)VEGLAAGADDYVVK(-23.45)</t>
  </si>
  <si>
    <t>_GYTEK(ac)QVR_</t>
  </si>
  <si>
    <t>GYTEK(1)QVR</t>
  </si>
  <si>
    <t>GYTEK(99)QVR</t>
  </si>
  <si>
    <t>Q9I348</t>
  </si>
  <si>
    <t xml:space="preserve">&gt;tr|Q9I348|Q9I348_PSEAE Uncharacterized protein OS=Pseudomonas aeruginosa (strain ATCC 15692 / PAO1 / 1C / PRS 101 / LMG 12228) GN=PA1677 PE=4 SV=1;&gt;tr|U5QVT4|U5QVT4_PSEAE Isochorismatase family protein OS=Pseudomonas aeruginosa PAO1-VE2 GN=N296_1723 PE=4 </t>
  </si>
  <si>
    <t>_AAK(ac)DYGYR_</t>
  </si>
  <si>
    <t>AAK(1)DYGYR</t>
  </si>
  <si>
    <t>AAK(72.48)DYGYR</t>
  </si>
  <si>
    <t>_VVEQIK(ac)K_</t>
  </si>
  <si>
    <t>VVEQIK(1)K</t>
  </si>
  <si>
    <t>VVEQIK(55.72)K(-55.72)</t>
  </si>
  <si>
    <t>_YGLIDK(ac)VMTQR_</t>
  </si>
  <si>
    <t>YGLIDK(1)VMTQR</t>
  </si>
  <si>
    <t>YGLIDK(93.1)VMTQR</t>
  </si>
  <si>
    <t>_AVVEEMEK(ac)GGGR_</t>
  </si>
  <si>
    <t>AVVEEMEK(1)GGGR</t>
  </si>
  <si>
    <t>AVVEEMEK(69.45)GGGR</t>
  </si>
  <si>
    <t>_EHGVEPK(ac)DFNSYGSR_</t>
  </si>
  <si>
    <t>EHGVEPK(1)DFNSYGSR</t>
  </si>
  <si>
    <t>EHGVEPK(126.95)DFNSYGSR</t>
  </si>
  <si>
    <t>Q9I291</t>
  </si>
  <si>
    <t>&gt;sp|Q9I291|GALU_PSEAE UTP--glucose-1-phosphate uridylyltransferase OS=Pseudomonas aeruginosa (strain ATCC 15692 / PAO1 / 1C / PRS 101 / LMG 12228) GN=galU PE=3 SV=1;&gt;tr|U5R8M6|U5R8M6_PSEAE UTP-glucose-1-phosphate uridylyltransferase OS=Pseudomonas aerugino</t>
  </si>
  <si>
    <t>_QMVK(ac)LYNQFR_</t>
  </si>
  <si>
    <t>QMVK(1)LYNQFR</t>
  </si>
  <si>
    <t>QMVK(86.9)LYNQFR</t>
  </si>
  <si>
    <t>_VMRPFVAGSIADADFK(ac)K_</t>
  </si>
  <si>
    <t>VMRPFVAGSIADADFK(1)K</t>
  </si>
  <si>
    <t>VMRPFVAGSIADADFK(34.5)K(-34.5)</t>
  </si>
  <si>
    <t>_GM(ox)TYREEEIPAELK(ac)DLAEEWR_</t>
  </si>
  <si>
    <t>GMTYREEEIPAELK(1)DLAEEWR</t>
  </si>
  <si>
    <t>GMTYREEEIPAELK(58.49)DLAEEWR</t>
  </si>
  <si>
    <t>Q9I685</t>
  </si>
  <si>
    <t>&gt;sp|Q9I685|SAHH_PSEAE Adenosylhomocysteinase OS=Pseudomonas aeruginosa (strain ATCC 15692 / PAO1 / 1C / PRS 101 / LMG 12228) GN=ahcY PE=3 SV=1;&gt;tr|U5R0G3|U5R0G3_PSEAE Adenosylhomocysteinase OS=Pseudomonas aeruginosa PAO1-VE2 GN=ahcY PE=3 SV=1;&gt;tr|U5RMA0|U5</t>
  </si>
  <si>
    <t>_NDNK(ac)YGCR_</t>
  </si>
  <si>
    <t>NDNK(1)YGCR</t>
  </si>
  <si>
    <t>NDNK(83.21)YGCR</t>
  </si>
  <si>
    <t>_AVGINPVVVHGGGPQIGDLLK(ac)R_</t>
  </si>
  <si>
    <t>AVGINPVVVHGGGPQIGDLLK(1)R</t>
  </si>
  <si>
    <t>AVGINPVVVHGGGPQIGDLLK(88.26)R</t>
  </si>
  <si>
    <t>_AEVK(ac)DEEYQEFYK_</t>
  </si>
  <si>
    <t>AEVK(1)DEEYQEFYK</t>
  </si>
  <si>
    <t>AEVK(60.63)DEEYQEFYK(-60.63)</t>
  </si>
  <si>
    <t>Q9I730</t>
  </si>
  <si>
    <t>&gt;tr|Q9I730|Q9I730_PSEAE Carbonic anhydrase OS=Pseudomonas aeruginosa (strain ATCC 15692 / PAO1 / 1C / PRS 101 / LMG 12228) GN=PA0102 PE=3 SV=1;&gt;tr|U5R0S2|U5R0S2_PSEAE Carbonic anhydrase OS=Pseudomonas aeruginosa PAO1-VE2 GN=N296_108 PE=3 SV=1;&gt;tr|U5RB68|U5</t>
  </si>
  <si>
    <t>_AYDAK(ac)QGR_</t>
  </si>
  <si>
    <t>AYDAK(1)QGR</t>
  </si>
  <si>
    <t>AYDAK(70.92)QGR</t>
  </si>
  <si>
    <t>Q9I0M2</t>
  </si>
  <si>
    <t>&gt;tr|Q9I0M2|Q9I0M2_PSEAE Thioredoxin reductase OS=Pseudomonas aeruginosa (strain ATCC 15692 / PAO1 / 1C / PRS 101 / LMG 12228) GN=trxB1 PE=3 SV=1;&gt;tr|U5R2E1|U5R2E1_PSEAE Thioredoxin reductase OS=Pseudomonas aeruginosa PAO1-VE2 GN=trxB PE=3 SV=1;&gt;tr|U5RJI0|U</t>
  </si>
  <si>
    <t>_ILQDK(ac)LFDK_</t>
  </si>
  <si>
    <t>ILQDK(1)LFDK</t>
  </si>
  <si>
    <t>ILQDK(76.83)LFDK(-76.83)</t>
  </si>
  <si>
    <t>Q9HZ66</t>
  </si>
  <si>
    <t>&gt;sp|Q9HZ66|SERC_PSEAE Phosphoserine aminotransferase OS=Pseudomonas aeruginosa (strain ATCC 15692 / PAO1 / 1C / PRS 101 / LMG 12228) GN=serC PE=3 SV=1;&gt;tr|U5R4C9|U5R4C9_PSEAE Phosphoserine aminotransferase OS=Pseudomonas aeruginosa PAO1-VE2 GN=serC PE=3 SV</t>
  </si>
  <si>
    <t>_LDK(ac)PFLEGAEAR_</t>
  </si>
  <si>
    <t>LDK(1)PFLEGAEAR</t>
  </si>
  <si>
    <t>LDK(49.45)PFLEGAEAR</t>
  </si>
  <si>
    <t>_ICHLNNCATGVATQNDK(ac)LR_</t>
  </si>
  <si>
    <t>ICHLNNCATGVATQNDK(1)LR</t>
  </si>
  <si>
    <t>ICHLNNCATGVATQNDK(63.92)LR</t>
  </si>
  <si>
    <t>Q9HWE4</t>
  </si>
  <si>
    <t>&gt;sp|Q9HWE4|RS17_PSEAE 30S ribosomal protein S17 OS=Pseudomonas aeruginosa (strain ATCC 15692 / PAO1 / 1C / PRS 101 / LMG 12228) GN=rpsQ PE=3 SV=1;&gt;tr|U5R5F7|U5R5F7_PSEAE 30S ribosomal protein S17 OS=Pseudomonas aeruginosa PAO1-VE2 GN=rpsQ PE=3 SV=1;&gt;tr|U5R</t>
  </si>
  <si>
    <t>_HPIYGK(ac)YVK_</t>
  </si>
  <si>
    <t>HPIYGK(1)YVK</t>
  </si>
  <si>
    <t>HPIYGK(53.09)YVK(-53.09)</t>
  </si>
  <si>
    <t>_MADDALNEQLEK(ac)AQAYISDRR_</t>
  </si>
  <si>
    <t>MADDALNEQLEK(1)AQAYISDRR</t>
  </si>
  <si>
    <t>MADDALNEQLEK(37.85)AQAYISDRR</t>
  </si>
  <si>
    <t>_IK(ac)EIHAR_</t>
  </si>
  <si>
    <t>IK(1)EIHAR</t>
  </si>
  <si>
    <t>IK(75.19)EIHAR</t>
  </si>
  <si>
    <t>_VLPELIK(ac)ANGGQR_</t>
  </si>
  <si>
    <t>VLPELIK(1)ANGGQR</t>
  </si>
  <si>
    <t>VLPELIK(64.12)ANGGQR</t>
  </si>
  <si>
    <t>_AGVAADTVVWAK(ac)ELAR_</t>
  </si>
  <si>
    <t>AGVAADTVVWAK(1)ELAR</t>
  </si>
  <si>
    <t>AGVAADTVVWAK(74.68)ELAR</t>
  </si>
  <si>
    <t>_PGTAGWYNSAAFEK(ac)FAHEK_</t>
  </si>
  <si>
    <t>PGTAGWYNSAAFEK(1)FAHEK</t>
  </si>
  <si>
    <t>PGTAGWYNSAAFEK(39.12)FAHEK(-39.12)</t>
  </si>
  <si>
    <t>_VLIGK(ac)DTR_</t>
  </si>
  <si>
    <t>VLIGK(1)DTR</t>
  </si>
  <si>
    <t>VLIGK(81.19)DTR</t>
  </si>
  <si>
    <t>_NPQTGQPVK(ac)IK_</t>
  </si>
  <si>
    <t>NPQTGQPVK(1)IK</t>
  </si>
  <si>
    <t>NPQTGQPVK(61.21)IK(-61.21)</t>
  </si>
  <si>
    <t>Q9I2R7</t>
  </si>
  <si>
    <t>&gt;tr|Q9I2R7|Q9I2R7_PSEAE Probable short-chain dehydrogenase OS=Pseudomonas aeruginosa (strain ATCC 15692 / PAO1 / 1C / PRS 101 / LMG 12228) GN=PA1828 PE=4 SV=1;&gt;tr|U5QRE7|U5QRE7_PSEAE Short chain dehydrogenase family protein OS=Pseudomonas aeruginosa PAO1-V</t>
  </si>
  <si>
    <t>_CNALLPGLTDTK(ac)FASALVK_</t>
  </si>
  <si>
    <t>CNALLPGLTDTK(1)FASALVK</t>
  </si>
  <si>
    <t>CNALLPGLTDTK(73.28)FASALVK(-73.28)</t>
  </si>
  <si>
    <t>Q9Z9H0</t>
  </si>
  <si>
    <t>&gt;sp|Q9Z9H0|GLND_PSEAE Bifunctional uridylyltransferase/uridylyl-removing enzyme OS=Pseudomonas aeruginosa (strain ATCC 15692 / PAO1 / 1C / PRS 101 / LMG 12228) GN=glnD PE=3 SV=2;&gt;tr|U5R1J9|U5R1J9_PSEAE Bifunctional uridylyltransferase/uridylyl-removing enz</t>
  </si>
  <si>
    <t>_HAK(ac)YNDTEYNLEPNVK_</t>
  </si>
  <si>
    <t>HAK(1)YNDTEYNLEPNVK</t>
  </si>
  <si>
    <t>HAK(26.78)YNDTEYNLEPNVK(-26.78)</t>
  </si>
  <si>
    <t>Q9HUD4</t>
  </si>
  <si>
    <t>&gt;tr|Q9HUD4|Q9HUD4_PSEAE Uncharacterized protein OS=Pseudomonas aeruginosa (strain ATCC 15692 / PAO1 / 1C / PRS 101 / LMG 12228) GN=PA5037 PE=4 SV=1;&gt;tr|U5QSA2|U5QSA2_PSEAE Sporulation related domain protein OS=Pseudomonas aeruginosa PAO1-VE2 GN=N296_5210 P</t>
  </si>
  <si>
    <t>_VPGFK(ac)FFPAQR_</t>
  </si>
  <si>
    <t>VPGFK(1)FFPAQR</t>
  </si>
  <si>
    <t>VPGFK(111.61)FFPAQR</t>
  </si>
  <si>
    <t>Q9HXU0</t>
  </si>
  <si>
    <t>&gt;sp|Q9HXU0|SYK_PSEAE Lysine--tRNA ligase OS=Pseudomonas aeruginosa (strain ATCC 15692 / PAO1 / 1C / PRS 101 / LMG 12228) GN=lysS PE=3 SV=1;&gt;tr|U5QYT5|U5QYT5_PSEAE Lysine--tRNA ligase OS=Pseudomonas aeruginosa PAO1-VE2 GN=lysS PE=3 SV=1;&gt;tr|U5RIR2|U5RIR2_PS</t>
  </si>
  <si>
    <t>_YNPEITAADLNDVEK(ac)AR_</t>
  </si>
  <si>
    <t>YNPEITAADLNDVEK(1)AR</t>
  </si>
  <si>
    <t>YNPEITAADLNDVEK(78.29)AR</t>
  </si>
  <si>
    <t>Q9HZ76</t>
  </si>
  <si>
    <t>&gt;sp|Q9HZ76|WBPE_PSEAE UDP-2-acetamido-2-deoxy-3-oxo-D-glucuronate aminotransferase OS=Pseudomonas aeruginosa (strain ATCC 15692 / PAO1 / 1C / PRS 101 / LMG 12228) GN=wbpE PE=1 SV=1;&gt;tr|U5QSI1|U5QSI1_PSEAE UDP-2-acetamido-2-dideoxy-d-ribo-hex-3-uluronic aci</t>
  </si>
  <si>
    <t>_QPAVADEK(ac)AK_</t>
  </si>
  <si>
    <t>QPAVADEK(1)AK</t>
  </si>
  <si>
    <t>QPAVADEK(61.65)AK(-61.65)</t>
  </si>
  <si>
    <t>Q9HWD7</t>
  </si>
  <si>
    <t>&gt;sp|Q9HWD7|RL23_PSEAE 50S ribosomal protein L23 OS=Pseudomonas aeruginosa (strain ATCC 15692 / PAO1 / 1C / PRS 101 / LMG 12228) GN=rplW PE=3 SV=1;&gt;tr|U5R193|U5R193_PSEAE 50S ribosomal protein L23 OS=Pseudomonas aeruginosa PAO1-VE2 GN=rplW PE=3 SV=1;&gt;tr|U5R</t>
  </si>
  <si>
    <t>_VLLGPHISEK(ac)ATGLADGK_</t>
  </si>
  <si>
    <t>VLLGPHISEK(1)ATGLADGK</t>
  </si>
  <si>
    <t>VLLGPHISEK(66.96)ATGLADGK(-66.96)</t>
  </si>
  <si>
    <t>P47205</t>
  </si>
  <si>
    <t>&gt;sp|P47205|LPXC_PSEAE UDP-3-O-[3-hydroxymyristoyl] N-acetylglucosamine deacetylase OS=Pseudomonas aeruginosa (strain ATCC 15692 / PAO1 / 1C / PRS 101 / LMG 12228) GN=lpxC PE=1 SV=2;&gt;tr|U5QUI1|U5QUI1_PSEAE UDP-3-O-[3-hydroxymyristoyl] N-acetylglucosamine de</t>
  </si>
  <si>
    <t>_REVSVEEGDK(ac)R_</t>
  </si>
  <si>
    <t>REVSVEEGDK(1)R</t>
  </si>
  <si>
    <t>REVSVEEGDK(48.74)R</t>
  </si>
  <si>
    <t>_GPVTGNNISHAHNK(ac)TR_</t>
  </si>
  <si>
    <t>GPVTGNNISHAHNK(1)TR</t>
  </si>
  <si>
    <t>GPVTGNNISHAHNK(41.97)TR</t>
  </si>
  <si>
    <t>_YVSLK(ac)DTIAGFK_</t>
  </si>
  <si>
    <t>YVSLK(1)DTIAGFK</t>
  </si>
  <si>
    <t>YVSLK(85.81)DTIAGFK(-85.81)</t>
  </si>
  <si>
    <t>_HINQLEK(ac)AGVSQLEVPFDYLIGR_</t>
  </si>
  <si>
    <t>HINQLEK(1)AGVSQLEVPFDYLIGR</t>
  </si>
  <si>
    <t>HINQLEK(104.95)AGVSQLEVPFDYLIGR</t>
  </si>
  <si>
    <t>_DGLK(ac)PVHR_</t>
  </si>
  <si>
    <t>DGLK(1)PVHR</t>
  </si>
  <si>
    <t>DGLK(29.16)PVHR</t>
  </si>
  <si>
    <t>_IHDSLK(ac)R_</t>
  </si>
  <si>
    <t>IHDSLK(1)R</t>
  </si>
  <si>
    <t>IHDSLK(46.02)R</t>
  </si>
  <si>
    <t>_DAEGLGQHLK(ac)CPGIDR_</t>
  </si>
  <si>
    <t>DAEGLGQHLK(1)CPGIDR</t>
  </si>
  <si>
    <t>DAEGLGQHLK(63.89)CPGIDR</t>
  </si>
  <si>
    <t>Q9I2Q7</t>
  </si>
  <si>
    <t>&gt;tr|Q9I2Q7|Q9I2Q7_PSEAE Sulfite reductase OS=Pseudomonas aeruginosa (strain ATCC 15692 / PAO1 / 1C / PRS 101 / LMG 12228) GN=cysI PE=4 SV=1;&gt;tr|U5R3T7|U5R3T7_PSEAE Nitrite and sulphite reductase 4Fe-4S domain protein OS=Pseudomonas aeruginosa PAO1-VE2 GN=N</t>
  </si>
  <si>
    <t>_IGIDPFK(ac)ER_</t>
  </si>
  <si>
    <t>IGIDPFK(1)ER</t>
  </si>
  <si>
    <t>IGIDPFK(66.69)ER</t>
  </si>
  <si>
    <t>_ALEEEVK(ac)HLK_</t>
  </si>
  <si>
    <t>ALEEEVK(1)HLK</t>
  </si>
  <si>
    <t>ALEEEVK(68.66)HLK(-68.66)</t>
  </si>
  <si>
    <t>_VREYLQDK(ac)LK_</t>
  </si>
  <si>
    <t>VREYLQDK(1)LK</t>
  </si>
  <si>
    <t>VREYLQDK(82.42)LK(-82.42)</t>
  </si>
  <si>
    <t>_FK(ac)NPIPVDGICVR_</t>
  </si>
  <si>
    <t>FK(1)NPIPVDGICVR</t>
  </si>
  <si>
    <t>FK(83.31)NPIPVDGICVR</t>
  </si>
  <si>
    <t>Q51375</t>
  </si>
  <si>
    <t xml:space="preserve">&gt;sp|Q51375|LEU3_PSEAE 3-isopropylmalate dehydrogenase OS=Pseudomonas aeruginosa (strain ATCC 15692 / PAO1 / 1C / PRS 101 / LMG 12228) GN=leuB PE=3 SV=2;&gt;tr|U5R3A3|U5R3A3_PSEAE 3-isopropylmalate dehydrogenase OS=Pseudomonas aeruginosa PAO1-VE2 GN=leuB PE=3 </t>
  </si>
  <si>
    <t>_QADAVLLGAVGGPK(ac)WDR_</t>
  </si>
  <si>
    <t>QADAVLLGAVGGPK(1)WDR</t>
  </si>
  <si>
    <t>QADAVLLGAVGGPK(20.37)WDR</t>
  </si>
  <si>
    <t>Q9HT19</t>
  </si>
  <si>
    <t>&gt;sp|Q9HT19|ATPG_PSEAE ATP synthase gamma chain OS=Pseudomonas aeruginosa (strain ATCC 15692 / PAO1 / 1C / PRS 101 / LMG 12228) GN=atpG PE=3 SV=1;&gt;tr|U5QVL7|U5QVL7_PSEAE ATP synthase gamma chain OS=Pseudomonas aeruginosa PAO1-VE2 GN=atpG PE=3 SV=1;&gt;tr|U5RIA</t>
  </si>
  <si>
    <t>_SLVK(ac)DMSGYR_</t>
  </si>
  <si>
    <t>SLVK(1)DMSGYR</t>
  </si>
  <si>
    <t>SLVK(105.4)DMSGYR</t>
  </si>
  <si>
    <t>_MWEDHLSK(ac)YYAPK_</t>
  </si>
  <si>
    <t>MWEDHLSK(1)YYAPK</t>
  </si>
  <si>
    <t>MWEDHLSK(55.26)YYAPK(-55.26)</t>
  </si>
  <si>
    <t>Q9HVX6</t>
  </si>
  <si>
    <t>&gt;sp|Q9HVX6|SYW_PSEAE Tryptophan--tRNA ligase OS=Pseudomonas aeruginosa (strain ATCC 15692 / PAO1 / 1C / PRS 101 / LMG 12228) GN=trpS PE=3 SV=1;&gt;tr|U5QWB3|U5QWB3_PSEAE Tryptophan--tRNA ligase OS=Pseudomonas aeruginosa PAO1-VE2 GN=trpS PE=3 SV=1;&gt;tr|U5R9J1|U</t>
  </si>
  <si>
    <t>_QLK(ac)DAIAR_</t>
  </si>
  <si>
    <t>QLK(1)DAIAR</t>
  </si>
  <si>
    <t>QLK(120.92)DAIAR</t>
  </si>
  <si>
    <t>_HVTTSDK(ac)ELLR_</t>
  </si>
  <si>
    <t>HVTTSDK(1)ELLR</t>
  </si>
  <si>
    <t>HVTTSDK(51.09)ELLR</t>
  </si>
  <si>
    <t>Q9HVE6</t>
  </si>
  <si>
    <t>&gt;sp|Q9HVE6|UPP_PSEAE Uracil phosphoribosyltransferase OS=Pseudomonas aeruginosa (strain ATCC 15692 / PAO1 / 1C / PRS 101 / LMG 12228) GN=upp PE=3 SV=1;&gt;tr|U5R6B8|U5R6B8_PSEAE Uracil phosphoribosyltransferase OS=Pseudomonas aeruginosa PAO1-VE2 GN=upp PE=3 S</t>
  </si>
  <si>
    <t>_TYLEK(ac)LAPDIAER_</t>
  </si>
  <si>
    <t>TYLEK(1)LAPDIAER</t>
  </si>
  <si>
    <t>TYLEK(105.17)LAPDIAER</t>
  </si>
  <si>
    <t>_LHPDK(ac)DQATLLR_</t>
  </si>
  <si>
    <t>LHPDK(1)DQATLLR</t>
  </si>
  <si>
    <t>LHPDK(47.29)DQATLLR</t>
  </si>
  <si>
    <t>_LSVYHSQTK(ac)PLVDFYQK_</t>
  </si>
  <si>
    <t>LSVYHSQTK(1)PLVDFYQK</t>
  </si>
  <si>
    <t>LSVYHSQTK(14.28)PLVDFYQK(-14.28)</t>
  </si>
  <si>
    <t>_FK(ac)PIWIASLATR_</t>
  </si>
  <si>
    <t>FK(1)PIWIASLATR</t>
  </si>
  <si>
    <t>FK(83.08)PIWIASLATR</t>
  </si>
  <si>
    <t>_EAAEAAK(ac)LR_</t>
  </si>
  <si>
    <t>EAAEAAK(1)LR</t>
  </si>
  <si>
    <t>EAAEAAK(107.69)LR</t>
  </si>
  <si>
    <t>_EITK(ac)LEEK_</t>
  </si>
  <si>
    <t>EITK(1)LEEK</t>
  </si>
  <si>
    <t>EITK(72.23)LEEK(-72.23)</t>
  </si>
  <si>
    <t>_IVYGALDK(ac)VK_</t>
  </si>
  <si>
    <t>IVYGALDK(1)VK</t>
  </si>
  <si>
    <t>IVYGALDK(86.62)VK(-86.62)</t>
  </si>
  <si>
    <t>_VMCIK(ac)VLGGSHR_</t>
  </si>
  <si>
    <t>VMCIK(1)VLGGSHR</t>
  </si>
  <si>
    <t>VMCIK(66.26)VLGGSHR</t>
  </si>
  <si>
    <t>_FK(ac)GENDPLEHPSVK_</t>
  </si>
  <si>
    <t>FK(1)GENDPLEHPSVK</t>
  </si>
  <si>
    <t>FK(28.78)GENDPLEHPSVK(-28.78)</t>
  </si>
  <si>
    <t>_FLK(ac)EDPWER_</t>
  </si>
  <si>
    <t>FLK(1)EDPWER</t>
  </si>
  <si>
    <t>FLK(100.02)EDPWER</t>
  </si>
  <si>
    <t>_INK(ac)LIPR_</t>
  </si>
  <si>
    <t>INK(1)LIPR</t>
  </si>
  <si>
    <t>INK(102.72)LIPR</t>
  </si>
  <si>
    <t>Q9HTX5</t>
  </si>
  <si>
    <t>&gt;sp|Q9HTX5|GCST_PSEAE Aminomethyltransferase OS=Pseudomonas aeruginosa (strain ATCC 15692 / PAO1 / 1C / PRS 101 / LMG 12228) GN=gcvT PE=3 SV=1;&gt;tr|U5R5H5|U5R5H5_PSEAE Aminomethyltransferase OS=Pseudomonas aeruginosa PAO1-VE2 GN=gcvT PE=3 SV=1;&gt;tr|U5RIZ1|U5</t>
  </si>
  <si>
    <t>_ELK(ac)PFQGR_</t>
  </si>
  <si>
    <t>ELK(1)PFQGR</t>
  </si>
  <si>
    <t>ELK(96.25)PFQGR</t>
  </si>
  <si>
    <t>Q9I3B2</t>
  </si>
  <si>
    <t>&gt;tr|Q9I3B2|Q9I3B2_PSEAE Beta-ketoacyl-ACP synthase I OS=Pseudomonas aeruginosa (strain ATCC 15692 / PAO1 / 1C / PRS 101 / LMG 12228) GN=fabB PE=3 SV=1;&gt;tr|U5QYT6|U5QYT6_PSEAE Uncharacterized protein OS=Pseudomonas aeruginosa PAO1-VE2 GN=N296_1654 PE=3 SV=1</t>
  </si>
  <si>
    <t>_EVFGDK(ac)APAISSTK_</t>
  </si>
  <si>
    <t>EVFGDK(1)APAISSTK</t>
  </si>
  <si>
    <t>EVFGDK(60.63)APAISSTK(-60.63)</t>
  </si>
  <si>
    <t>Q9S586</t>
  </si>
  <si>
    <t>&gt;sp|Q9S586|GPH1_PSEAE Phosphoglycolate phosphatase 1 OS=Pseudomonas aeruginosa (strain ATCC 15692 / PAO1 / 1C / PRS 101 / LMG 12228) GN=gph1 PE=3 SV=1;&gt;tr|U5R1B4|U5R1B4_PSEAE Phosphoglycolate phosphatase OS=Pseudomonas aeruginosa PAO1-VE2 GN=gph PE=3 SV=1;</t>
  </si>
  <si>
    <t>_FVAPLLDEMK(ac)LGR_</t>
  </si>
  <si>
    <t>FVAPLLDEMK(1)LGR</t>
  </si>
  <si>
    <t>FVAPLLDEMK(56.2)LGR</t>
  </si>
  <si>
    <t>_IMGFGHAIYK(ac)DSDPR_</t>
  </si>
  <si>
    <t>IMGFGHAIYK(1)DSDPR</t>
  </si>
  <si>
    <t>IMGFGHAIYK(17.96)DSDPR</t>
  </si>
  <si>
    <t>Q9HXI4</t>
  </si>
  <si>
    <t>&gt;sp|Q9HXI4|SUHB_PSEAE Inositol-1-monophosphatase OS=Pseudomonas aeruginosa (strain ATCC 15692 / PAO1 / 1C / PRS 101 / LMG 12228) GN=suhB PE=3 SV=1;&gt;tr|U5QZ74|U5QZ74_PSEAE Inositol monophosphatase family protein OS=Pseudomonas aeruginosa PAO1-VE2 GN=N296_39</t>
  </si>
  <si>
    <t>_DAK(ac)DYVTEVDR_</t>
  </si>
  <si>
    <t>DAK(1)DYVTEVDR</t>
  </si>
  <si>
    <t>DAK(52.25)DYVTEVDR</t>
  </si>
  <si>
    <t>_LLVGTGK(ac)YK_</t>
  </si>
  <si>
    <t>LLVGTGK(1)YK</t>
  </si>
  <si>
    <t>LLVGTGK(83.01)YK(-83.01)</t>
  </si>
  <si>
    <t>_GLLNLK(ac)GHR_</t>
  </si>
  <si>
    <t>GLLNLK(1)GHR</t>
  </si>
  <si>
    <t>GLLNLK(99.44)GHR</t>
  </si>
  <si>
    <t>Q51390</t>
  </si>
  <si>
    <t>&gt;sp|Q51390|GLPK2_PSEAE Glycerol kinase 2 OS=Pseudomonas aeruginosa (strain ATCC 15692 / PAO1 / 1C / PRS 101 / LMG 12228) GN=glpK2 PE=3 SV=2;&gt;tr|U5QU72|U5QU72_PSEAE Glycerol kinase OS=Pseudomonas aeruginosa PAO1-VE2 GN=glpK PE=3 SV=1;&gt;tr|U5RL02|U5RL02_PSEAE</t>
  </si>
  <si>
    <t>_EK(ac)LYAGWK_</t>
  </si>
  <si>
    <t>EK(1)LYAGWK</t>
  </si>
  <si>
    <t>EK(32.32)LYAGWK(-32.32)</t>
  </si>
  <si>
    <t>_ELAQSVLGTTDVPYGDK(ac)VFHFGEPFVR_</t>
  </si>
  <si>
    <t>ELAQSVLGTTDVPYGDK(1)VFHFGEPFVR</t>
  </si>
  <si>
    <t>ELAQSVLGTTDVPYGDK(55.88)VFHFGEPFVR</t>
  </si>
  <si>
    <t>_K(ac)IADGLDAANR_</t>
  </si>
  <si>
    <t>K(1)IADGLDAANR</t>
  </si>
  <si>
    <t>K(157.24)IADGLDAANR</t>
  </si>
  <si>
    <t>_HTPFFK(ac)GYRPQFYFR_</t>
  </si>
  <si>
    <t>HTPFFK(1)GYRPQFYFR</t>
  </si>
  <si>
    <t>HTPFFK(68.03)GYRPQFYFR</t>
  </si>
  <si>
    <t>_ASWGLK(ac)YTR_</t>
  </si>
  <si>
    <t>ASWGLK(1)YTR</t>
  </si>
  <si>
    <t>ASWGLK(68.73)YTR</t>
  </si>
  <si>
    <t>_VSQAAVDELLK(ac)R_</t>
  </si>
  <si>
    <t>VSQAAVDELLK(1)R</t>
  </si>
  <si>
    <t>VSQAAVDELLK(65.56)R</t>
  </si>
  <si>
    <t>P43904</t>
  </si>
  <si>
    <t>&gt;sp|P43904|AROE_PSEAE Shikimate dehydrogenase OS=Pseudomonas aeruginosa (strain ATCC 15692 / PAO1 / 1C / PRS 101 / LMG 12228) GN=aroE PE=3 SV=3;&gt;tr|U5QYG6|U5QYG6_PSEAE Shikimate dehydrogenase OS=Pseudomonas aeruginosa PAO1-VE2 GN=aroE PE=3 SV=1;&gt;tr|U5RIV4|</t>
  </si>
  <si>
    <t>_GANVTVPFK(ac)EEAYR_</t>
  </si>
  <si>
    <t>GANVTVPFK(1)EEAYR</t>
  </si>
  <si>
    <t>GANVTVPFK(67.28)EEAYR</t>
  </si>
  <si>
    <t>_ATEEAIK(ac)ELQER_</t>
  </si>
  <si>
    <t>ATEEAIK(1)ELQER</t>
  </si>
  <si>
    <t>ATEEAIK(141.08)ELQER</t>
  </si>
  <si>
    <t>Q9HY77</t>
  </si>
  <si>
    <t>&gt;tr|Q9HY77|Q9HY77_PSEAE Glutaredoxin OS=Pseudomonas aeruginosa (strain ATCC 15692 / PAO1 / 1C / PRS 101 / LMG 12228) GN=PA3533 PE=3 SV=1;&gt;tr|U5R2S0|U5R2S0_PSEAE Glutaredoxin OS=Pseudomonas aeruginosa PAO1-VE2 GN=grxD PE=3 SV=1;&gt;tr|U5RGC4|U5RGC4_PSEAE Gluta</t>
  </si>
  <si>
    <t>_GELQTLVK(ac)DAAAK_</t>
  </si>
  <si>
    <t>GELQTLVK(1)DAAAK</t>
  </si>
  <si>
    <t>GELQTLVK(60.63)DAAAK(-60.63)</t>
  </si>
  <si>
    <t>_YLAENASK(ac)L_</t>
  </si>
  <si>
    <t>YLAENASK(1)L</t>
  </si>
  <si>
    <t>YLAENASK(101.54)L</t>
  </si>
  <si>
    <t>&gt;tr|U5R4N6|U5R4N6_PSEAE ATP-dependent RNA helicase RhlB OS=Pseudomonas aeruginosa PAO1-VE2 GN=rhlB PE=3 SV=1;&gt;tr|U5RPK4|U5RPK4_PSEAE ATP-dependent RNA helicase RhlB OS=Pseudomonas aeruginosa PAO1-VE13 GN=rhlB PE=3 SV=1;&gt;sp|Q9HXE5|RHLB_PSEAE ATP-dependent R</t>
  </si>
  <si>
    <t>_LTK(ac)DGISAAQMSGDVPQHK_</t>
  </si>
  <si>
    <t>LTK(1)DGISAAQMSGDVPQHK</t>
  </si>
  <si>
    <t>LTK(34.27)DGISAAQMSGDVPQHK(-34.27)</t>
  </si>
  <si>
    <t>_SGALIEK(ac)R_</t>
  </si>
  <si>
    <t>SGALIEK(1)R</t>
  </si>
  <si>
    <t>SGALIEK(84.48)R</t>
  </si>
  <si>
    <t>_GRIEK(ac)LDVASQAR_</t>
  </si>
  <si>
    <t>GRIEK(1)LDVASQAR</t>
  </si>
  <si>
    <t>GRIEK(216.34)LDVASQAR</t>
  </si>
  <si>
    <t>_SLTEIK(ac)DVLASR_</t>
  </si>
  <si>
    <t>SLTEIK(1)DVLASR</t>
  </si>
  <si>
    <t>SLTEIK(114.86)DVLASR</t>
  </si>
  <si>
    <t>_FVEK(ac)PDQATAQSYLDSGK_</t>
  </si>
  <si>
    <t>FVEK(1)PDQATAQSYLDSGK</t>
  </si>
  <si>
    <t>FVEK(76.15)PDQATAQSYLDSGK(-76.15)</t>
  </si>
  <si>
    <t>_QAAK(ac)DPNVLAIK_</t>
  </si>
  <si>
    <t>QAAK(1)DPNVLAIK</t>
  </si>
  <si>
    <t>QAAK(78.9)DPNVLAIK(-78.9)</t>
  </si>
  <si>
    <t>_GGNPELAK(ac)DIAMHVAASNPQFLSASEVSEEAIAK_</t>
  </si>
  <si>
    <t>GGNPELAK(1)DIAMHVAASNPQFLSASEVSEEAIAK</t>
  </si>
  <si>
    <t>GGNPELAK(15.93)DIAMHVAASNPQFLSASEVSEEAIAK(-15.93)</t>
  </si>
  <si>
    <t>Q9HXI0</t>
  </si>
  <si>
    <t>&gt;tr|Q9HXI0|Q9HXI0_PSEAE Uncharacterized protein OS=Pseudomonas aeruginosa (strain ATCC 15692 / PAO1 / 1C / PRS 101 / LMG 12228) GN=PA3822 PE=4 SV=1;&gt;tr|U5R634|U5R634_PSEAE Preprotein translocase, YajC subunit OS=Pseudomonas aeruginosa PAO1-VE2 GN=yajC PE=4</t>
  </si>
  <si>
    <t>_NLLGNLQK(ac)GDEVVTSGGIAGK_</t>
  </si>
  <si>
    <t>NLLGNLQK(1)GDEVVTSGGIAGK</t>
  </si>
  <si>
    <t>NLLGNLQK(74.52)GDEVVTSGGIAGK(-74.52)</t>
  </si>
  <si>
    <t>_VQYSSLNYK(ac)DALSASGNR_</t>
  </si>
  <si>
    <t>VQYSSLNYK(1)DALSASGNR</t>
  </si>
  <si>
    <t>VQYSSLNYK(146.78)DALSASGNR</t>
  </si>
  <si>
    <t>_ALQLNAINEFK(ac)R_</t>
  </si>
  <si>
    <t>ALQLNAINEFK(1)R</t>
  </si>
  <si>
    <t>ALQLNAINEFK(92.61)R</t>
  </si>
  <si>
    <t>O87125</t>
  </si>
  <si>
    <t>&gt;sp|O87125|CHEB1_PSEAE Chemotaxis response regulator protein-glutamate methylesterase of group 1 operon OS=Pseudomonas aeruginosa (strain ATCC 15692 / PAO1 / 1C / PRS 101 / LMG 12228) GN=cheB1 PE=1 SV=2;&gt;tr|U5R726|U5R726_PSEAE Chemotaxis response regulator</t>
  </si>
  <si>
    <t>_QLLCEK(ac)VLTIAR_</t>
  </si>
  <si>
    <t>QLLCEK(1)VLTIAR</t>
  </si>
  <si>
    <t>QLLCEK(91.96)VLTIAR</t>
  </si>
  <si>
    <t>Q9I433</t>
  </si>
  <si>
    <t xml:space="preserve">&gt;sp|Q9I433|PHNX_PSEAE Phosphonoacetaldehyde hydrolase OS=Pseudomonas aeruginosa (strain ATCC 15692 / PAO1 / 1C / PRS 101 / LMG 12228) GN=phnX PE=1 SV=1;&gt;tr|U5QZ47|U5QZ47_PSEAE Phosphonoacetaldehyde hydrolase OS=Pseudomonas aeruginosa PAO1-VE2 GN=phnX PE=3 </t>
  </si>
  <si>
    <t>_GPMGMGK(ac)WDHIR_</t>
  </si>
  <si>
    <t>GPMGMGK(1)WDHIR</t>
  </si>
  <si>
    <t>GPMGMGK(38.58)WDHIR</t>
  </si>
  <si>
    <t>Q9HW93</t>
  </si>
  <si>
    <t>&gt;sp|G3XD24|PCTA_PSEAE Methyl-accepting chemotaxis protein PctA OS=Pseudomonas aeruginosa (strain ATCC 15692 / PAO1 / 1C / PRS 101 / LMG 12228) GN=pctA PE=1 SV=1;&gt;tr|U5R8B2|U5R8B2_PSEAE Methyl-accepting chemotaxis (MCP) signaling domain protein OS=Pseudomon</t>
  </si>
  <si>
    <t>323;326</t>
  </si>
  <si>
    <t>_AMQDIAQGEGDLTK(ac)R_</t>
  </si>
  <si>
    <t>AMQDIAQGEGDLTK(1)R</t>
  </si>
  <si>
    <t>AMQDIAQGEGDLTK(97.55)R</t>
  </si>
  <si>
    <t>_YSEASLVK(ac)ELEK_</t>
  </si>
  <si>
    <t>YSEASLVK(1)ELEK</t>
  </si>
  <si>
    <t>YSEASLVK(61.44)ELEK(-61.44)</t>
  </si>
  <si>
    <t>_AVVDK(ac)EQPQLVILGK_</t>
  </si>
  <si>
    <t>AVVDK(1)EQPQLVILGK</t>
  </si>
  <si>
    <t>AVVDK(37.59)EQPQLVILGK(-37.59)</t>
  </si>
  <si>
    <t>_VVLADGSVLMQHK(ac)VETGDIWR_</t>
  </si>
  <si>
    <t>VVLADGSVLMQHK(1)VETGDIWR</t>
  </si>
  <si>
    <t>VVLADGSVLMQHK(52.78)VETGDIWR</t>
  </si>
  <si>
    <t>_LYK(ac)EEIEPNLK_</t>
  </si>
  <si>
    <t>LYK(1)EEIEPNLK</t>
  </si>
  <si>
    <t>LYK(71.03)EEIEPNLK(-71.03)</t>
  </si>
  <si>
    <t>_AFK(ac)FPFRN_</t>
  </si>
  <si>
    <t>AFK(1)FPFRN</t>
  </si>
  <si>
    <t>AFK(103.92)FPFRN</t>
  </si>
  <si>
    <t>_MAPPQISAEVLK(ac)K_</t>
  </si>
  <si>
    <t>MAPPQISAEVLK(1)K</t>
  </si>
  <si>
    <t>MAPPQISAEVLK(39.73)K(-39.73)</t>
  </si>
  <si>
    <t>_VANLGNLGDK(ac)VNIK_</t>
  </si>
  <si>
    <t>VANLGNLGDK(1)VNIK</t>
  </si>
  <si>
    <t>VANLGNLGDK(79.63)VNIK(-79.63)</t>
  </si>
  <si>
    <t>Q9I7C4</t>
  </si>
  <si>
    <t>&gt;sp|Q9I7C4|DPO3B_PSEAE DNA polymerase III subunit beta OS=Pseudomonas aeruginosa (strain ATCC 15692 / PAO1 / 1C / PRS 101 / LMG 12228) GN=dnaN PE=3 SV=1;&gt;tr|U5R5Y6|U5R5Y6_PSEAE DNA polymerase III subunit beta OS=Pseudomonas aeruginosa PAO1-VE2 GN=dnaN PE=3</t>
  </si>
  <si>
    <t>_LVDGK(ac)FPDYER_</t>
  </si>
  <si>
    <t>LVDGK(1)FPDYER</t>
  </si>
  <si>
    <t>LVDGK(132.78)FPDYER</t>
  </si>
  <si>
    <t>_GLNAK(ac)SFDGR_</t>
  </si>
  <si>
    <t>GLNAK(1)SFDGR</t>
  </si>
  <si>
    <t>GLNAK(158.76)SFDGR</t>
  </si>
  <si>
    <t>_TSTEIAPWTLVEANDK(ac)R_</t>
  </si>
  <si>
    <t>TSTEIAPWTLVEANDK(1)R</t>
  </si>
  <si>
    <t>TSTEIAPWTLVEANDK(44.01)R</t>
  </si>
  <si>
    <t>_GFVAGQAGPNYPAPVEAIK(ac)SIQK_</t>
  </si>
  <si>
    <t>GFVAGQAGPNYPAPVEAIK(1)SIQK</t>
  </si>
  <si>
    <t>GFVAGQAGPNYPAPVEAIK(48.66)SIQK(-48.66)</t>
  </si>
  <si>
    <t>_QAQDGCVLAYK(ac)FK_</t>
  </si>
  <si>
    <t>QAQDGCVLAYK(1)FK</t>
  </si>
  <si>
    <t>QAQDGCVLAYK(73.47)FK(-73.47)</t>
  </si>
  <si>
    <t>_IVHISDVGGK(ac)YGK_</t>
  </si>
  <si>
    <t>IVHISDVGGK(1)YGK</t>
  </si>
  <si>
    <t>IVHISDVGGK(63.09)YGK(-63.09)</t>
  </si>
  <si>
    <t>P30819</t>
  </si>
  <si>
    <t>&gt;sp|P30819|NADC_PSEAE Nicotinate-nucleotide pyrophosphorylase [carboxylating] OS=Pseudomonas aeruginosa (strain ATCC 15692 / PAO1 / 1C / PRS 101 / LMG 12228) GN=nadC PE=3 SV=2;&gt;tr|U5R4R7|U5R4R7_PSEAE Nicotinate-nucleotide diphosphorylase OS=Pseudomonas aer</t>
  </si>
  <si>
    <t>_IGLYDAFLIK(ac)ENHIAACGGIDR_</t>
  </si>
  <si>
    <t>IGLYDAFLIK(1)ENHIAACGGIDR</t>
  </si>
  <si>
    <t>IGLYDAFLIK(67.99)ENHIAACGGIDR</t>
  </si>
  <si>
    <t>Q9HTQ8</t>
  </si>
  <si>
    <t>&gt;tr|Q9HTQ8|Q9HTQ8_PSEAE ATP-dependent DNA helicase Rep OS=Pseudomonas aeruginosa (strain ATCC 15692 / PAO1 / 1C / PRS 101 / LMG 12228) GN=rep PE=4 SV=1;&gt;tr|U5R0Y9|U5R0Y9_PSEAE ATP-dependent DNA helicase Rep OS=Pseudomonas aeruginosa PAO1-VE2 GN=rep PE=4 SV</t>
  </si>
  <si>
    <t>_LFQEHPDVLQK(ac)WQNK_</t>
  </si>
  <si>
    <t>LFQEHPDVLQK(1)WQNK</t>
  </si>
  <si>
    <t>LFQEHPDVLQK(21.42)WQNK(-21.42)</t>
  </si>
  <si>
    <t>_QFSAVFDSPTGK(ac)VPGK_</t>
  </si>
  <si>
    <t>QFSAVFDSPTGK(1)VPGK</t>
  </si>
  <si>
    <t>QFSAVFDSPTGK(17.47)VPGK(-17.47)</t>
  </si>
  <si>
    <t>Q9I3E3</t>
  </si>
  <si>
    <t>&gt;sp|Q9I3E3|Y1574_PSEAE UPF0345 protein PA1574 OS=Pseudomonas aeruginosa (strain ATCC 15692 / PAO1 / 1C / PRS 101 / LMG 12228) GN=PA1574 PE=3 SV=1;&gt;tr|U5R6A3|U5R6A3_PSEAE UPF0345 protein N296_1618 OS=Pseudomonas aeruginosa PAO1-VE2 GN=N296_1618 PE=3 SV=1;&gt;t</t>
  </si>
  <si>
    <t>_LPGSDEWQEYASGSQFTVPANSK(ac)FQLK_</t>
  </si>
  <si>
    <t>LPGSDEWQEYASGSQFTVPANSK(1)FQLK</t>
  </si>
  <si>
    <t>LPGSDEWQEYASGSQFTVPANSK(28.02)FQLK(-28.02)</t>
  </si>
  <si>
    <t>_VVSDK(ac)MDK_</t>
  </si>
  <si>
    <t>VVSDK(1)MDK</t>
  </si>
  <si>
    <t>VVSDK(62.2)MDK(-62.2)</t>
  </si>
  <si>
    <t>_LAVPAK(ac)EWDDVVWQR_</t>
  </si>
  <si>
    <t>LAVPAK(1)EWDDVVWQR</t>
  </si>
  <si>
    <t>LAVPAK(119.39)EWDDVVWQR</t>
  </si>
  <si>
    <t>_VLMTQGEALK(ac)GFTK_</t>
  </si>
  <si>
    <t>VLMTQGEALK(1)GFTK</t>
  </si>
  <si>
    <t>VLMTQGEALK(113.65)GFTK(-113.65)</t>
  </si>
  <si>
    <t>_VAGVAPGFIETEMTAGMKPEALEK(ac)MTAGIPLK_</t>
  </si>
  <si>
    <t>VAGVAPGFIETEMTAGMK(0.062)PEALEK(0.938)MTAGIPLK</t>
  </si>
  <si>
    <t>VAGVAPGFIETEMTAGMK(-11.8)PEALEK(11.8)MTAGIPLK(-36.2)</t>
  </si>
  <si>
    <t>_NALLVDNTGK(ac)WR_</t>
  </si>
  <si>
    <t>NALLVDNTGK(1)WR</t>
  </si>
  <si>
    <t>NALLVDNTGK(187.42)WR</t>
  </si>
  <si>
    <t>_EFHGEEADK(ac)PAEPEWETVNR_</t>
  </si>
  <si>
    <t>EFHGEEADK(1)PAEPEWETVNR</t>
  </si>
  <si>
    <t>EFHGEEADK(139.08)PAEPEWETVNR</t>
  </si>
  <si>
    <t>_IEFVGK(ac)DGK_</t>
  </si>
  <si>
    <t>IEFVGK(1)DGK</t>
  </si>
  <si>
    <t>IEFVGK(72.64)DGK(-72.64)</t>
  </si>
  <si>
    <t>_GASHPHTAQQPQELK(ac)I_</t>
  </si>
  <si>
    <t>GASHPHTAQQPQELK(1)I</t>
  </si>
  <si>
    <t>GASHPHTAQQPQELK(22.8)I</t>
  </si>
  <si>
    <t>_TLVAPYELVK(ac)TMR_</t>
  </si>
  <si>
    <t>TLVAPYELVK(1)TMR</t>
  </si>
  <si>
    <t>TLVAPYELVK(92.93)TMR</t>
  </si>
  <si>
    <t>_DAGLPHTSAEQVVTDSEK(ac)QALLTHLK_</t>
  </si>
  <si>
    <t>DAGLPHTSAEQVVTDSEK(1)QALLTHLK</t>
  </si>
  <si>
    <t>DAGLPHTSAEQVVTDSEK(120.64)QALLTHLK(-120.64)</t>
  </si>
  <si>
    <t>O30506</t>
  </si>
  <si>
    <t>&gt;sp|O30506|AOTP_PSEAE Arginine/ornithine transport ATP-binding protein AotP OS=Pseudomonas aeruginosa (strain ATCC 15692 / PAO1 / 1C / PRS 101 / LMG 12228) GN=aotP PE=3 SV=2;&gt;tr|U5QU32|U5QU32_PSEAE ABC transporter family protein OS=Pseudomonas aeruginosa P</t>
  </si>
  <si>
    <t>_GLVEEHGCPK(ac)EVLANPQSDR_</t>
  </si>
  <si>
    <t>GLVEEHGCPK(1)EVLANPQSDR</t>
  </si>
  <si>
    <t>GLVEEHGCPK(32.56)EVLANPQSDR</t>
  </si>
  <si>
    <t>O50175</t>
  </si>
  <si>
    <t>&gt;sp|O50175|ASTB_PSEAE N-succinylarginine dihydrolase OS=Pseudomonas aeruginosa (strain ATCC 15692 / PAO1 / 1C / PRS 101 / LMG 12228) GN=astB PE=3 SV=1;&gt;tr|U5R7S5|U5R7S5_PSEAE N-succinylarginine dihydrolase OS=Pseudomonas aeruginosa PAO1-VE2 GN=astB PE=3 SV</t>
  </si>
  <si>
    <t>_VFDLK(ac)QSMQNGGGPACLR_</t>
  </si>
  <si>
    <t>VFDLK(1)QSMQNGGGPACLR</t>
  </si>
  <si>
    <t>VFDLK(78.29)QSMQNGGGPACLR</t>
  </si>
  <si>
    <t>_VHFTAANLNCK(ac)FHR_</t>
  </si>
  <si>
    <t>VHFTAANLNCK(1)FHR</t>
  </si>
  <si>
    <t>VHFTAANLNCK(26.12)FHR</t>
  </si>
  <si>
    <t>_IHIINLEK(ac)TLPM(ox)FNEALTFVER_</t>
  </si>
  <si>
    <t>IHIINLEK(1)TLPMFNEALTFVER</t>
  </si>
  <si>
    <t>IHIINLEK(42.64)TLPMFNEALTFVER</t>
  </si>
  <si>
    <t>_YWNPK(ac)MGK_</t>
  </si>
  <si>
    <t>YWNPK(1)MGK</t>
  </si>
  <si>
    <t>YWNPK(40.78)MGK(-40.78)</t>
  </si>
  <si>
    <t>_ALTAAGGDIEK(ac)AIDDMR_</t>
  </si>
  <si>
    <t>ALTAAGGDIEK(1)AIDDMR</t>
  </si>
  <si>
    <t>ALTAAGGDIEK(142.97)AIDDMR</t>
  </si>
  <si>
    <t>O82852</t>
  </si>
  <si>
    <t>&gt;sp|O82852|PYRH_PSEAE Uridylate kinase OS=Pseudomonas aeruginosa (strain ATCC 15692 / PAO1 / 1C / PRS 101 / LMG 12228) GN=pyrH PE=3 SV=2;&gt;tr|U5QVQ7|U5QVQ7_PSEAE Uridylate kinase OS=Pseudomonas aeruginosa PAO1-VE2 GN=pyrH PE=3 SV=1;&gt;tr|U5RJA6|U5RJA6_PSEAE U</t>
  </si>
  <si>
    <t>_VDGVYTADPFK(ac)DPNAEK_</t>
  </si>
  <si>
    <t>VDGVYTADPFK(1)DPNAEK</t>
  </si>
  <si>
    <t>VDGVYTADPFK(28.21)DPNAEK(-28.21)</t>
  </si>
  <si>
    <t>P07344</t>
  </si>
  <si>
    <t xml:space="preserve">&gt;sp|P07344|TRPA_PSEAE Tryptophan synthase alpha chain OS=Pseudomonas aeruginosa (strain ATCC 15692 / PAO1 / 1C / PRS 101 / LMG 12228) GN=trpA PE=3 SV=3;&gt;tr|U5QZA1|U5QZA1_PSEAE Tryptophan synthase alpha chain OS=Pseudomonas aeruginosa PAO1-VE2 GN=trpA PE=3 </t>
  </si>
  <si>
    <t>_FAQLK(ac)QENR_</t>
  </si>
  <si>
    <t>FAQLK(1)QENR</t>
  </si>
  <si>
    <t>FAQLK(96.95)QENR</t>
  </si>
  <si>
    <t>_FMHCLPAFHNSETK(ac)VGK_</t>
  </si>
  <si>
    <t>FMHCLPAFHNSETK(1)VGK</t>
  </si>
  <si>
    <t>FMHCLPAFHNSETK(20.74)VGK(-20.74)</t>
  </si>
  <si>
    <t>_NLADFMK(ac)QYPSTSTTVEGHTDSVGTDAYNQK_</t>
  </si>
  <si>
    <t>NLADFMK(1)QYPSTSTTVEGHTDSVGTDAYNQK</t>
  </si>
  <si>
    <t>NLADFMK(37.64)QYPSTSTTVEGHTDSVGTDAYNQK(-37.64)</t>
  </si>
  <si>
    <t>_LAK(ac)LAGGVAVIK_</t>
  </si>
  <si>
    <t>LAK(1)LAGGVAVIK</t>
  </si>
  <si>
    <t>LAK(43.6)LAGGVAVIK(-43.6)</t>
  </si>
  <si>
    <t>P32722</t>
  </si>
  <si>
    <t>&gt;sp|P32722|PORD_PSEAE Porin D OS=Pseudomonas aeruginosa (strain ATCC 15692 / PAO1 / 1C / PRS 101 / LMG 12228) GN=oprD PE=1 SV=1;&gt;tr|U5R300|U5R300_PSEAE Porin D OS=Pseudomonas aeruginosa PAO1-VE2 GN=oprD PE=4 SV=1;&gt;tr|U5RJD2|U5RJD2_PSEAE Porin D OS=Pseudomo</t>
  </si>
  <si>
    <t>_YVVQSGPAK(ac)DLSFR_</t>
  </si>
  <si>
    <t>YVVQSGPAK(1)DLSFR</t>
  </si>
  <si>
    <t>YVVQSGPAK(42.21)DLSFR</t>
  </si>
  <si>
    <t>P33883</t>
  </si>
  <si>
    <t>&gt;sp|P33883|LASI_PSEAE Acyl-homoserine-lactone synthase OS=Pseudomonas aeruginosa (strain ATCC 15692 / PAO1 / 1C / PRS 101 / LMG 12228) GN=lasI PE=1 SV=1;&gt;tr|U5R1X6|U5R1X6_PSEAE Acyl-homoserine-lactone synthase OS=Pseudomonas aeruginosa PAO1-VE2 GN=lasI PE=</t>
  </si>
  <si>
    <t>_NTFPELLHGK(ac)EAPCSPHIWELSR_</t>
  </si>
  <si>
    <t>NTFPELLHGK(1)EAPCSPHIWELSR</t>
  </si>
  <si>
    <t>NTFPELLHGK(64.2)EAPCSPHIWELSR</t>
  </si>
  <si>
    <t>P34002</t>
  </si>
  <si>
    <t>&gt;sp|P34002|AROB_PSEAE 3-dehydroquinate synthase OS=Pseudomonas aeruginosa (strain ATCC 15692 / PAO1 / 1C / PRS 101 / LMG 12228) GN=aroB PE=3 SV=2;&gt;tr|U5QZF2|U5QZF2_PSEAE 3-dehydroquinate synthase OS=Pseudomonas aeruginosa PAO1-VE2 GN=aroB PE=3 SV=1;&gt;tr|U5R</t>
  </si>
  <si>
    <t>_TGINHPLGK(ac)NMIGAFYQPQAVVIDTASLK_</t>
  </si>
  <si>
    <t>TGINHPLGK(1)NMIGAFYQPQAVVIDTASLK</t>
  </si>
  <si>
    <t>TGINHPLGK(37.05)NMIGAFYQPQAVVIDTASLK(-37.05)</t>
  </si>
  <si>
    <t>_LAQDAGVALEEIEK(ac)VSK_</t>
  </si>
  <si>
    <t>LAQDAGVALEEIEK(1)VSK</t>
  </si>
  <si>
    <t>LAQDAGVALEEIEK(67.42)VSK(-67.42)</t>
  </si>
  <si>
    <t>_TAETLLK(ac)K_</t>
  </si>
  <si>
    <t>TAETLLK(1)K</t>
  </si>
  <si>
    <t>TAETLLK(51.35)K(-51.35)</t>
  </si>
  <si>
    <t>_VMVIDDSK(ac)TIR_</t>
  </si>
  <si>
    <t>VMVIDDSK(1)TIR</t>
  </si>
  <si>
    <t>VMVIDDSK(105.86)TIR</t>
  </si>
  <si>
    <t>_VVGDVIGK(ac)YHPHGDTAVYDTIVR_</t>
  </si>
  <si>
    <t>VVGDVIGK(1)YHPHGDTAVYDTIVR</t>
  </si>
  <si>
    <t>VVGDVIGK(32.39)YHPHGDTAVYDTIVR</t>
  </si>
  <si>
    <t>P50987</t>
  </si>
  <si>
    <t>&gt;sp|P50987|ARLY_PSEAE Argininosuccinate lyase OS=Pseudomonas aeruginosa (strain ATCC 15692 / PAO1 / 1C / PRS 101 / LMG 12228) GN=argH PE=3 SV=2;&gt;tr|U5QWY9|U5QWY9_PSEAE Argininosuccinate lyase OS=Pseudomonas aeruginosa PAO1-VE2 GN=argH PE=3 SV=1;&gt;tr|U5RBP7|</t>
  </si>
  <si>
    <t>_DCHEIVGHAVK(ac)YGVDSGK_</t>
  </si>
  <si>
    <t>DCHEIVGHAVK(1)YGVDSGK</t>
  </si>
  <si>
    <t>DCHEIVGHAVK(17.9)YGVDSGK(-17.9)</t>
  </si>
  <si>
    <t>_TSVGTFGSGWGWLVK(ac)K_</t>
  </si>
  <si>
    <t>TSVGTFGSGWGWLVK(1)K</t>
  </si>
  <si>
    <t>TSVGTFGSGWGWLVK(48.82)K(-48.82)</t>
  </si>
  <si>
    <t>P55218</t>
  </si>
  <si>
    <t>&gt;sp|P55218|METZ_PSEAE O-succinylhomoserine sulfhydrylase OS=Pseudomonas aeruginosa (strain ATCC 15692 / PAO1 / 1C / PRS 101 / LMG 12228) GN=metZ PE=1 SV=1;&gt;tr|U5R404|U5R404_PSEAE O-succinylhomoserine sulfhydrylase OS=Pseudomonas aeruginosa PAO1-VE2 GN=metZ</t>
  </si>
  <si>
    <t>_GEQMK(ac)EVVGFLR_</t>
  </si>
  <si>
    <t>GEQMK(1)EVVGFLR</t>
  </si>
  <si>
    <t>GEQMK(42.1)EVVGFLR</t>
  </si>
  <si>
    <t>_IK(ac)DTDFAAETAALSK_</t>
  </si>
  <si>
    <t>IK(1)DTDFAAETAALSK</t>
  </si>
  <si>
    <t>IK(27.64)DTDFAAETAALSK(-27.64)</t>
  </si>
  <si>
    <t>P72158</t>
  </si>
  <si>
    <t>&gt;sp|P72158|PURK_PSEAE N5-carboxyaminoimidazole ribonucleotide synthase OS=Pseudomonas aeruginosa (strain ATCC 15692 / PAO1 / 1C / PRS 101 / LMG 12228) GN=purK PE=3 SV=2;&gt;tr|U5QYR6|U5QYR6_PSEAE Phosphoribosylaminoimidazole carboxylase, ATPase subunit OS=Pse</t>
  </si>
  <si>
    <t>_TLGYDGK(ac)GQK_</t>
  </si>
  <si>
    <t>TLGYDGK(1)GQK</t>
  </si>
  <si>
    <t>TLGYDGK(44.32)GQK(-44.32)</t>
  </si>
  <si>
    <t>_ILCATHK(ac)DLAAEVGAGR_</t>
  </si>
  <si>
    <t>ILCATHK(1)DLAAEVGAGR</t>
  </si>
  <si>
    <t>ILCATHK(36.03)DLAAEVGAGR</t>
  </si>
  <si>
    <t>_EAGAK(ac)NVYFCSAAPAVR_</t>
  </si>
  <si>
    <t>EAGAK(1)NVYFCSAAPAVR</t>
  </si>
  <si>
    <t>EAGAK(52.82)NVYFCSAAPAVR</t>
  </si>
  <si>
    <t>_GTTCK(ac)QIIQMAR_</t>
  </si>
  <si>
    <t>GTTCK(1)QIIQMAR</t>
  </si>
  <si>
    <t>GTTCK(56.23)QIIQMAR</t>
  </si>
  <si>
    <t>Q51385</t>
  </si>
  <si>
    <t>&gt;sp|Q51385|RLMN_PSEAE Dual-specificity RNA methyltransferase RlmN OS=Pseudomonas aeruginosa (strain ATCC 15692 / PAO1 / 1C / PRS 101 / LMG 12228) GN=rlmN PE=3 SV=2;&gt;tr|U5R6Q4|U5R6Q4_PSEAE Dual-specificity RNA methyltransferase RlmN OS=Pseudomonas aeruginos</t>
  </si>
  <si>
    <t>_DVNDQPEHAEQMIALLK(ac)DTPCK_</t>
  </si>
  <si>
    <t>DVNDQPEHAEQMIALLK(1)DTPCK</t>
  </si>
  <si>
    <t>DVNDQPEHAEQMIALLK(90.22)DTPCK(-90.22)</t>
  </si>
  <si>
    <t>_SQIDDYTK(ac)FVGIYGAK_</t>
  </si>
  <si>
    <t>SQIDDYTK(1)FVGIYGAK</t>
  </si>
  <si>
    <t>SQIDDYTK(33.3)FVGIYGAK(-33.3)</t>
  </si>
  <si>
    <t>Q51473</t>
  </si>
  <si>
    <t>&gt;sp|Q51473|IHFB_PSEAE Integration host factor subunit beta OS=Pseudomonas aeruginosa (strain ATCC 15692 / PAO1 / 1C / PRS 101 / LMG 12228) GN=ihfB PE=3 SV=1;&gt;tr|U5QRM1|U5QRM1_PSEAE Integration host factor subunit beta OS=Pseudomonas aeruginosa PAO1-VE2 GN=</t>
  </si>
  <si>
    <t>_FVPHFK(ac)PGK_</t>
  </si>
  <si>
    <t>FVPHFK(1)PGK</t>
  </si>
  <si>
    <t>FVPHFK(48.28)PGK(-48.28)</t>
  </si>
  <si>
    <t>_QQYFDGALDVK(ac)FGR_</t>
  </si>
  <si>
    <t>QQYFDGALDVK(1)FGR</t>
  </si>
  <si>
    <t>QQYFDGALDVK(61.21)FGR</t>
  </si>
  <si>
    <t>_FLHEIYNEIGGREENLDELGDNEILALAK(ac)NLR_</t>
  </si>
  <si>
    <t>FLHEIYNEIGGREENLDELGDNEILALAK(1)NLR</t>
  </si>
  <si>
    <t>FLHEIYNEIGGREENLDELGDNEILALAK(52.58)NLR</t>
  </si>
  <si>
    <t>_IQPGDK(ac)MAGR_</t>
  </si>
  <si>
    <t>IQPGDK(1)MAGR</t>
  </si>
  <si>
    <t>IQPGDK(70.1)MAGR</t>
  </si>
  <si>
    <t>_FEK(ac)AGLR_</t>
  </si>
  <si>
    <t>FEK(1)AGLR</t>
  </si>
  <si>
    <t>FEK(71.3)AGLR</t>
  </si>
  <si>
    <t>_QWVPSK(ac)EYK_</t>
  </si>
  <si>
    <t>QWVPSK(1)EYK</t>
  </si>
  <si>
    <t>QWVPSK(47.96)EYK(-47.96)</t>
  </si>
  <si>
    <t>_VVDALGNPIDGK(ac)GPIDAK_</t>
  </si>
  <si>
    <t>VVDALGNPIDGK(1)GPIDAK</t>
  </si>
  <si>
    <t>VVDALGNPIDGK(24.41)GPIDAK(-24.41)</t>
  </si>
  <si>
    <t>_SIAMGSTEGLK(ac)R_</t>
  </si>
  <si>
    <t>SIAMGSTEGLK(1)R</t>
  </si>
  <si>
    <t>SIAMGSTEGLK(87.36)R</t>
  </si>
  <si>
    <t>Q9HT25</t>
  </si>
  <si>
    <t xml:space="preserve">&gt;sp|Q9HT25|GLMS_PSEAE Glutamine--fructose-6-phosphate aminotransferase [isomerizing] OS=Pseudomonas aeruginosa (strain ATCC 15692 / PAO1 / 1C / PRS 101 / LMG 12228) GN=glmS PE=3 SV=3;&gt;tr|U5R489|U5R489_PSEAE Glutamine--fructose-6-phosphate aminotransferase </t>
  </si>
  <si>
    <t>_LK(ac)SNLQEVR_</t>
  </si>
  <si>
    <t>LK(1)SNLQEVR</t>
  </si>
  <si>
    <t>LK(46.82)SNLQEVR</t>
  </si>
  <si>
    <t>_ADGLVACK(ac)VYGQVR_</t>
  </si>
  <si>
    <t>ADGLVACK(1)VYGQVR</t>
  </si>
  <si>
    <t>ADGLVACK(24.56)VYGQVR</t>
  </si>
  <si>
    <t>_TAINAPMQGTAADIMK(ac)R_</t>
  </si>
  <si>
    <t>TAINAPMQGTAADIMK(1)R</t>
  </si>
  <si>
    <t>TAINAPMQGTAADIMK(27.85)R</t>
  </si>
  <si>
    <t>Q9HTL3</t>
  </si>
  <si>
    <t>&gt;tr|Q9HTL3|Q9HTL3_PSEAE ATP-dependent DNA helicase RecG OS=Pseudomonas aeruginosa (strain ATCC 15692 / PAO1 / 1C / PRS 101 / LMG 12228) GN=recG PE=4 SV=1;&gt;tr|U5R4B6|U5R4B6_PSEAE ATP-dependent DNA helicase RecG OS=Pseudomonas aeruginosa PAO1-VE2 GN=recG PE=</t>
  </si>
  <si>
    <t>_GVGAALAEK(ac)LAR_</t>
  </si>
  <si>
    <t>GVGAALAEK(1)LAR</t>
  </si>
  <si>
    <t>GVGAALAEK(57.02)LAR</t>
  </si>
  <si>
    <t>Q9HTW7</t>
  </si>
  <si>
    <t>&gt;tr|Q9HTW7|Q9HTW7_PSEAE UbiH protein OS=Pseudomonas aeruginosa (strain ATCC 15692 / PAO1 / 1C / PRS 101 / LMG 12228) GN=ubiH PE=4 SV=1;&gt;tr|U5QXX9|U5QXX9_PSEAE 2-polyprenyl-6-methoxyphenol 4-hydroxylase OS=Pseudomonas aeruginosa PAO1-VE2 GN=ubiH PE=4 SV=1;&gt;</t>
  </si>
  <si>
    <t>_CALIWTRPGK(ac)DAER_</t>
  </si>
  <si>
    <t>CALIWTRPGK(1)DAER</t>
  </si>
  <si>
    <t>CALIWTRPGK(26.12)DAER</t>
  </si>
  <si>
    <t>_NTWADK(ac)AAYDEAAK_</t>
  </si>
  <si>
    <t>NTWADK(1)AAYDEAAK</t>
  </si>
  <si>
    <t>NTWADK(24.19)AAYDEAAK(-24.19)</t>
  </si>
  <si>
    <t>Q9HUB7</t>
  </si>
  <si>
    <t>&gt;sp|Q9HUB7|HIS3_PSEAE Phosphoribosyl-AMP cyclohydrolase OS=Pseudomonas aeruginosa (strain ATCC 15692 / PAO1 / 1C / PRS 101 / LMG 12228) GN=hisI PE=3 SV=1;&gt;tr|U5R3K8|U5R3K8_PSEAE Phosphoribosyl-AMP cyclohydrolase OS=Pseudomonas aeruginosa PAO1-VE2 GN=hisI P</t>
  </si>
  <si>
    <t>_GEESGHVQK(ac)LHELR_</t>
  </si>
  <si>
    <t>GEESGHVQK(1)LHELR</t>
  </si>
  <si>
    <t>GEESGHVQK(24.56)LHELR</t>
  </si>
  <si>
    <t>_PAGMK(ac)PR_</t>
  </si>
  <si>
    <t>PAGMK(1)PR</t>
  </si>
  <si>
    <t>PAGMK(99.17)PR</t>
  </si>
  <si>
    <t>_QPVPEDVCAAYGVDK(ac)LEFGR_</t>
  </si>
  <si>
    <t>QPVPEDVCAAYGVDK(1)LEFGR</t>
  </si>
  <si>
    <t>QPVPEDVCAAYGVDK(53.28)LEFGR</t>
  </si>
  <si>
    <t>_YTGK(ac)FSAHYR_</t>
  </si>
  <si>
    <t>YTGK(1)FSAHYR</t>
  </si>
  <si>
    <t>YTGK(51.53)FSAHYR</t>
  </si>
  <si>
    <t>Q9HUJ2</t>
  </si>
  <si>
    <t>&gt;sp|Q9HUJ2|THIC_PSEAE Phosphomethylpyrimidine synthase OS=Pseudomonas aeruginosa (strain ATCC 15692 / PAO1 / 1C / PRS 101 / LMG 12228) GN=thiC PE=3 SV=1;&gt;tr|U5R5M9|U5R5M9_PSEAE Phosphomethylpyrimidine synthase OS=Pseudomonas aeruginosa PAO1-VE2 GN=thiC PE=</t>
  </si>
  <si>
    <t>_AFHDETLPK(ac)DSAK_</t>
  </si>
  <si>
    <t>AFHDETLPK(1)DSAK</t>
  </si>
  <si>
    <t>AFHDETLPK(48.95)DSAK(-48.95)</t>
  </si>
  <si>
    <t>_EAEK(ac)YENPIPSR_</t>
  </si>
  <si>
    <t>EAEK(1)YENPIPSR</t>
  </si>
  <si>
    <t>EAEK(44.3)YENPIPSR</t>
  </si>
  <si>
    <t>Q9HV21</t>
  </si>
  <si>
    <t>&gt;tr|Q9HV21|Q9HV21_PSEAE Probable transcriptional regulator OS=Pseudomonas aeruginosa (strain ATCC 15692 / PAO1 / 1C / PRS 101 / LMG 12228) GN=PA4787 PE=4 SV=1;&gt;tr|U5R4S9|U5R4S9_PSEAE Helix-turn-helix domain protein OS=Pseudomonas aeruginosa PAO1-VE2 GN=N29</t>
  </si>
  <si>
    <t>_LAK(ac)ELLLK_</t>
  </si>
  <si>
    <t>LAK(1)ELLLK</t>
  </si>
  <si>
    <t>LAK(24.78)ELLLK(-24.78)</t>
  </si>
  <si>
    <t>_ESGINLK(ac)GDPLAMQR_</t>
  </si>
  <si>
    <t>ESGINLK(1)GDPLAMQR</t>
  </si>
  <si>
    <t>ESGINLK(48.11)GDPLAMQR</t>
  </si>
  <si>
    <t>_SLGK(ac)FDLADIPPAPR_</t>
  </si>
  <si>
    <t>SLGK(1)FDLADIPPAPR</t>
  </si>
  <si>
    <t>SLGK(96.59)FDLADIPPAPR</t>
  </si>
  <si>
    <t>_IPGGFFK(ac)R_</t>
  </si>
  <si>
    <t>IPGGFFK(1)R</t>
  </si>
  <si>
    <t>IPGGFFK(92.47)R</t>
  </si>
  <si>
    <t>Q9HV64</t>
  </si>
  <si>
    <t>&gt;tr|Q9HV64|Q9HV64_PSEAE Uncharacterized protein OS=Pseudomonas aeruginosa (strain ATCC 15692 / PAO1 / 1C / PRS 101 / LMG 12228) GN=PA4735 PE=4 SV=1;&gt;tr|U5QTL7|U5QTL7_PSEAE Uncharacterized protein OS=Pseudomonas aeruginosa PAO1-VE2 GN=N296_4899 PE=4 SV=1;&gt;t</t>
  </si>
  <si>
    <t>_(ac)M(ox)PK(ac)GLK(ac)R_</t>
  </si>
  <si>
    <t>MPK(1)GLK(1)R</t>
  </si>
  <si>
    <t>MPK(11.77)GLK(11.77)R</t>
  </si>
  <si>
    <t>_YIPLK(ac)QNVEK_</t>
  </si>
  <si>
    <t>YIPLK(1)QNVEK</t>
  </si>
  <si>
    <t>YIPLK(54.61)QNVEK(-54.61)</t>
  </si>
  <si>
    <t>Q9HVI3</t>
  </si>
  <si>
    <t>&gt;tr|Q9HVI3|Q9HVI3_PSEAE Uncharacterized protein OS=Pseudomonas aeruginosa (strain ATCC 15692 / PAO1 / 1C / PRS 101 / LMG 12228) GN=PA4606 PE=4 SV=1;&gt;tr|U5R246|U5R246_PSEAE Carbon starvation CstA family protein OS=Pseudomonas aeruginosa PAO1-VE2 GN=N296_475</t>
  </si>
  <si>
    <t>_VGIAAWGK(ac)SER_</t>
  </si>
  <si>
    <t>VGIAAWGK(1)SER</t>
  </si>
  <si>
    <t>VGIAAWGK(30.33)SER</t>
  </si>
  <si>
    <t>_GFK(ac)EAECR_</t>
  </si>
  <si>
    <t>GFK(1)EAECR</t>
  </si>
  <si>
    <t>GFK(98.3)EAECR</t>
  </si>
  <si>
    <t>_AVLNELGK(ac)QEGR_</t>
  </si>
  <si>
    <t>AVLNELGK(1)QEGR</t>
  </si>
  <si>
    <t>AVLNELGK(45.92)QEGR</t>
  </si>
  <si>
    <t>_IDMSEFMEK(ac)HSVAR_</t>
  </si>
  <si>
    <t>IDMSEFMEK(1)HSVAR</t>
  </si>
  <si>
    <t>IDMSEFMEK(78.49)HSVAR</t>
  </si>
  <si>
    <t>Q9HVT8</t>
  </si>
  <si>
    <t>&gt;sp|Q9HVT8|GATA_PSEAE Glutamyl-tRNA(Gln) amidotransferase subunit A OS=Pseudomonas aeruginosa (strain ATCC 15692 / PAO1 / 1C / PRS 101 / LMG 12228) GN=gatA PE=3 SV=1;&gt;tr|U5QYA4|U5QYA4_PSEAE Glutamyl-tRNA(Gln) amidotransferase subunit A OS=Pseudomonas aerug</t>
  </si>
  <si>
    <t>_ALADK(ac)QFSAEELTR_</t>
  </si>
  <si>
    <t>ALADK(1)QFSAEELTR</t>
  </si>
  <si>
    <t>ALADK(80.96)QFSAEELTR</t>
  </si>
  <si>
    <t>_SINFEK(ac)LIAK_</t>
  </si>
  <si>
    <t>SINFEK(1)LIAK</t>
  </si>
  <si>
    <t>SINFEK(50.11)LIAK(-50.11)</t>
  </si>
  <si>
    <t>_CSFEAK(ac)DK_</t>
  </si>
  <si>
    <t>CSFEAK(1)DK</t>
  </si>
  <si>
    <t>CSFEAK(72.55)DK(-72.55)</t>
  </si>
  <si>
    <t>_IPQETSK(ac)TR_</t>
  </si>
  <si>
    <t>IPQETSK(1)TR</t>
  </si>
  <si>
    <t>IPQETSK(68.73)TR</t>
  </si>
  <si>
    <t>_AGDIAALIGMK(ac)DVTTGDTLCSIEK_</t>
  </si>
  <si>
    <t>AGDIAALIGMK(1)DVTTGDTLCSIEK</t>
  </si>
  <si>
    <t>AGDIAALIGMK(54.67)DVTTGDTLCSIEK(-54.67)</t>
  </si>
  <si>
    <t>_IAASMATK(ac)QLAQK_</t>
  </si>
  <si>
    <t>IAASMATK(1)QLAQK</t>
  </si>
  <si>
    <t>IAASMATK(42.81)QLAQK(-42.81)</t>
  </si>
  <si>
    <t>_RDEGYIEK(ac)LVQVNR_</t>
  </si>
  <si>
    <t>RDEGYIEK(1)LVQVNR</t>
  </si>
  <si>
    <t>RDEGYIEK(52.6)LVQVNR</t>
  </si>
  <si>
    <t>Q9HWF7</t>
  </si>
  <si>
    <t>&gt;sp|Q9HWF7|RS13_PSEAE 30S ribosomal protein S13 OS=Pseudomonas aeruginosa (strain ATCC 15692 / PAO1 / 1C / PRS 101 / LMG 12228) GN=rpsM PE=3 SV=1;&gt;tr|U5R5M2|U5R5M2_PSEAE 30S ribosomal protein S13 OS=Pseudomonas aeruginosa PAO1-VE2 GN=rpsM PE=3 SV=1;&gt;tr|U5R</t>
  </si>
  <si>
    <t>_TTAQSICAATGVNPAAK(ac)IK_</t>
  </si>
  <si>
    <t>TTAQSICAATGVNPAAK(1)IK</t>
  </si>
  <si>
    <t>TTAQSICAATGVNPAAK(35.18)IK(-35.18)</t>
  </si>
  <si>
    <t>Q9HWF9</t>
  </si>
  <si>
    <t>&gt;sp|Q9HWF9|BFR_PSEAE Bacterioferritin OS=Pseudomonas aeruginosa (strain ATCC 15692 / PAO1 / 1C / PRS 101 / LMG 12228) GN=bfr PE=1 SV=1;&gt;tr|U5R242|U5R242_PSEAE Bacterioferritin OS=Pseudomonas aeruginosa PAO1-VE2 GN=bfr PE=3 SV=1;&gt;tr|U5RMK1|U5RMK1_PSEAE Bact</t>
  </si>
  <si>
    <t>_GIALCEQHK(ac)DFVSR_</t>
  </si>
  <si>
    <t>GIALCEQHK(1)DFVSR</t>
  </si>
  <si>
    <t>GIALCEQHK(81.43)DFVSR</t>
  </si>
  <si>
    <t>Q9HWW4</t>
  </si>
  <si>
    <t>&gt;tr|Q9HWW4|Q9HWW4_PSEAE Probable ATP-binding component of ABC transporter OS=Pseudomonas aeruginosa (strain ATCC 15692 / PAO1 / 1C / PRS 101 / LMG 12228) GN=PA4064 PE=4 SV=1;&gt;tr|U5R3L9|U5R3L9_PSEAE ABC transporter family protein OS=Pseudomonas aeruginosa P</t>
  </si>
  <si>
    <t>_LLGEDLEK(ac)LSAAR_</t>
  </si>
  <si>
    <t>LLGEDLEK(1)LSAAR</t>
  </si>
  <si>
    <t>LLGEDLEK(34.18)LSAAR</t>
  </si>
  <si>
    <t>_AEITK(ac)AVAAFQK_</t>
  </si>
  <si>
    <t>AEITK(1)AVAAFQK</t>
  </si>
  <si>
    <t>AEITK(45.08)AVAAFQK(-45.08)</t>
  </si>
  <si>
    <t>Q9HXJ0</t>
  </si>
  <si>
    <t>&gt;tr|Q9HXJ0|Q9HXJ0_PSEAE Probable iron-binding protein IscA OS=Pseudomonas aeruginosa (strain ATCC 15692 / PAO1 / 1C / PRS 101 / LMG 12228) GN=iscA PE=3 SV=1;&gt;tr|U5QV10|U5QV10_PSEAE Iron-sulfur cluster assembly protein IscA OS=Pseudomonas aeruginosa PAO1-VE</t>
  </si>
  <si>
    <t>_EGLNEGFK(ac)FNNPNVR_</t>
  </si>
  <si>
    <t>EGLNEGFK(1)FNNPNVR</t>
  </si>
  <si>
    <t>EGLNEGFK(40.02)FNNPNVR</t>
  </si>
  <si>
    <t>_ELFK(ac)DEVRK_</t>
  </si>
  <si>
    <t>ELFK(1)DEVRK</t>
  </si>
  <si>
    <t>ELFK(57.6)DEVRK(-57.6)</t>
  </si>
  <si>
    <t>_NCGLAK(ac)IDR_</t>
  </si>
  <si>
    <t>NCGLAK(1)IDR</t>
  </si>
  <si>
    <t>NCGLAK(54.42)IDR</t>
  </si>
  <si>
    <t>Q9HY12</t>
  </si>
  <si>
    <t>&gt;tr|Q9HY12|Q9HY12_PSEAE Uncharacterized protein OS=Pseudomonas aeruginosa (strain ATCC 15692 / PAO1 / 1C / PRS 101 / LMG 12228) GN=PA3614 PE=4 SV=1;&gt;tr|U5QTT3|U5QTT3_PSEAE Metallo-beta-lactamase superfamily protein OS=Pseudomonas aeruginosa PAO1-VE2 GN=N29</t>
  </si>
  <si>
    <t>_PSIK(ac)PLYTQADTER_</t>
  </si>
  <si>
    <t>PSIK(1)PLYTQADTER</t>
  </si>
  <si>
    <t>PSIK(42.21)PLYTQADTER</t>
  </si>
  <si>
    <t>Q9HY13</t>
  </si>
  <si>
    <t>&gt;tr|Q9HY13|Q9HY13_PSEAE Uncharacterized protein OS=Pseudomonas aeruginosa (strain ATCC 15692 / PAO1 / 1C / PRS 101 / LMG 12228) GN=PA3613 PE=4 SV=1;&gt;tr|U5R5U9|U5R5U9_PSEAE D-xylulose 5-phosphate/D-fructose 6-phosphate phosphoketolase family protein OS=Pseu</t>
  </si>
  <si>
    <t>_VQEK(ac)NSGILR_</t>
  </si>
  <si>
    <t>VQEK(1)NSGILR</t>
  </si>
  <si>
    <t>VQEK(26.67)NSGILR</t>
  </si>
  <si>
    <t>_GMTASPEGVAK(ac)YLAENASK_</t>
  </si>
  <si>
    <t>GMTASPEGVAK(1)YLAENASK</t>
  </si>
  <si>
    <t>GMTASPEGVAK(72.82)YLAENASK(-72.82)</t>
  </si>
  <si>
    <t>Q9HYE0</t>
  </si>
  <si>
    <t xml:space="preserve">&gt;tr|Q9HYE0|Q9HYE0_PSEAE Probable ATP-dependent RNA helicase OS=Pseudomonas aeruginosa (strain ATCC 15692 / PAO1 / 1C / PRS 101 / LMG 12228) GN=PA3466 PE=3 SV=1;&gt;tr|U5R919|U5R919_PSEAE Uncharacterized protein OS=Pseudomonas aeruginosa PAO1-VE2 GN=N296_3589 </t>
  </si>
  <si>
    <t>_ELAQQTLK(ac)EVER_</t>
  </si>
  <si>
    <t>ELAQQTLK(1)EVER</t>
  </si>
  <si>
    <t>ELAQQTLK(55.45)EVER</t>
  </si>
  <si>
    <t>_TINDAIEAAYK(ac)K_</t>
  </si>
  <si>
    <t>TINDAIEAAYK(1)K</t>
  </si>
  <si>
    <t>TINDAIEAAYK(36.85)K(-36.85)</t>
  </si>
  <si>
    <t>Q9HYI8</t>
  </si>
  <si>
    <t xml:space="preserve">&gt;tr|Q9HYI8|Q9HYI8_PSEAE Probable pyruvate dehydrogenase E1 component, alpha subunit OS=Pseudomonas aeruginosa (strain ATCC 15692 / PAO1 / 1C / PRS 101 / LMG 12228) GN=PA3417 PE=4 SV=1;&gt;tr|U5R2F9|U5R2F9_PSEAE Pyruvate dehydrogenase (Acetyl-transferring) E1 </t>
  </si>
  <si>
    <t>_LFDQK(ac)AVALQR_</t>
  </si>
  <si>
    <t>LFDQK(1)AVALQR</t>
  </si>
  <si>
    <t>LFDQK(76.14)AVALQR</t>
  </si>
  <si>
    <t>_EK(ac)VEASNVEGATFDR_</t>
  </si>
  <si>
    <t>EK(1)VEASNVEGATFDR</t>
  </si>
  <si>
    <t>EK(36.45)VEASNVEGATFDR</t>
  </si>
  <si>
    <t>Q9HZ32</t>
  </si>
  <si>
    <t>&gt;tr|Q9HZ32|Q9HZ32_PSEAE Uncharacterized protein OS=Pseudomonas aeruginosa (strain ATCC 15692 / PAO1 / 1C / PRS 101 / LMG 12228) GN=PA3208 PE=4 SV=1;&gt;tr|U5R220|U5R220_PSEAE Nitroreductase family protein OS=Pseudomonas aeruginosa PAO1-VE2 GN=N296_3319 PE=4 S</t>
  </si>
  <si>
    <t>_QPDAAEEALAK(ac)AR_</t>
  </si>
  <si>
    <t>QPDAAEEALAK(1)AR</t>
  </si>
  <si>
    <t>QPDAAEEALAK(56.12)AR</t>
  </si>
  <si>
    <t>U5R4Y8</t>
  </si>
  <si>
    <t>&gt;tr|U5R4Y8|U5R4Y8_PSEAE HAMP domain protein OS=Pseudomonas aeruginosa PAO1-VE2 GN=N296_3302 PE=4 SV=1;&gt;tr|U5RHM4|U5RHM4_PSEAE HAMP domain protein OS=Pseudomonas aeruginosa PAO1-VE13 GN=N297_3302 PE=4 SV=1;&gt;tr|Q9HZ47|Q9HZ47_PSEAE Probable two-component sens</t>
  </si>
  <si>
    <t>_RCIGNLLDNALK(ac)YGER_</t>
  </si>
  <si>
    <t>RCIGNLLDNALK(1)YGER</t>
  </si>
  <si>
    <t>RCIGNLLDNALK(47.55)YGER</t>
  </si>
  <si>
    <t>_VAVSSNADAAK(ac)R_</t>
  </si>
  <si>
    <t>VAVSSNADAAK(1)R</t>
  </si>
  <si>
    <t>VAVSSNADAAK(112.83)R</t>
  </si>
  <si>
    <t>Q9HZ78</t>
  </si>
  <si>
    <t>&gt;tr|Q9HZ78|Q9HZ78_PSEAE LPS biosynthesis protein WbpG OS=Pseudomonas aeruginosa (strain ATCC 15692 / PAO1 / 1C / PRS 101 / LMG 12228) GN=wbpG PE=4 SV=1;&gt;tr|U5R1J4|U5R1J4_PSEAE N-acetyl sugar amidotransferase family protein OS=Pseudomonas aeruginosa PAO1-VE</t>
  </si>
  <si>
    <t>_AK(ac)AETFLQETIGYR_</t>
  </si>
  <si>
    <t>AK(1)AETFLQETIGYR</t>
  </si>
  <si>
    <t>AK(24.42)AETFLQETIGYR</t>
  </si>
  <si>
    <t>_GELK(ac)EILPK_</t>
  </si>
  <si>
    <t>GELK(1)EILPK</t>
  </si>
  <si>
    <t>GELK(46)EILPK(-46)</t>
  </si>
  <si>
    <t>_YAELGALYHPTAK(ac)LR_</t>
  </si>
  <si>
    <t>YAELGALYHPTAK(1)LR</t>
  </si>
  <si>
    <t>YAELGALYHPTAK(23.01)LR</t>
  </si>
  <si>
    <t>_CEK(ac)VDDIYVLR_</t>
  </si>
  <si>
    <t>CEK(1)VDDIYVLR</t>
  </si>
  <si>
    <t>CEK(79.69)VDDIYVLR</t>
  </si>
  <si>
    <t>_GFIEDEFGQK(ac)YLPGK_</t>
  </si>
  <si>
    <t>GFIEDEFGQK(1)YLPGK</t>
  </si>
  <si>
    <t>GFIEDEFGQK(35.04)YLPGK(-35.04)</t>
  </si>
  <si>
    <t>_MGVDPEHGWK(ac)AK_</t>
  </si>
  <si>
    <t>MGVDPEHGWK(1)AK</t>
  </si>
  <si>
    <t>MGVDPEHGWK(36.98)AK(-36.98)</t>
  </si>
  <si>
    <t>_PAETSK(ac)PAAER_</t>
  </si>
  <si>
    <t>PAETSK(1)PAAER</t>
  </si>
  <si>
    <t>PAETSK(40.59)PAAER</t>
  </si>
  <si>
    <t>Q9HZU4</t>
  </si>
  <si>
    <t xml:space="preserve">&gt;tr|Q9HZU4|Q9HZU4_PSEAE Precorrin-3 methylase CobJ OS=Pseudomonas aeruginosa (strain ATCC 15692 / PAO1 / 1C / PRS 101 / LMG 12228) GN=cobJ PE=4 SV=1;&gt;tr|U5QT30|U5QT30_PSEAE Precorrin-3B C17-methyltransferase OS=Pseudomonas aeruginosa PAO1-VE2 GN=cobJ PE=4 </t>
  </si>
  <si>
    <t>_FGTCVLNPPAGYVLADLEQGK(ac)R_</t>
  </si>
  <si>
    <t>FGTCVLNPPAGYVLADLEQGK(1)R</t>
  </si>
  <si>
    <t>FGTCVLNPPAGYVLADLEQGK(6.77)R</t>
  </si>
  <si>
    <t>Q9I015</t>
  </si>
  <si>
    <t>&gt;tr|Q9I015|Q9I015_PSEAE Probable aminotransferase OS=Pseudomonas aeruginosa (strain ATCC 15692 / PAO1 / 1C / PRS 101 / LMG 12228) GN=PA2828 PE=4 SV=1;&gt;tr|U5R6N2|U5R6N2_PSEAE Uncharacterized protein OS=Pseudomonas aeruginosa PAO1-VE2 GN=N296_2930 PE=4 SV=1;</t>
  </si>
  <si>
    <t>_SNK(ac)LANVCYDIR_</t>
  </si>
  <si>
    <t>SNK(1)LANVCYDIR</t>
  </si>
  <si>
    <t>SNK(22.06)LANVCYDIR</t>
  </si>
  <si>
    <t>_GWDK(ac)LVR_</t>
  </si>
  <si>
    <t>GWDK(1)LVR</t>
  </si>
  <si>
    <t>GWDK(64.8)LVR</t>
  </si>
  <si>
    <t>_LRDFFEK(ac)TLQDCK_</t>
  </si>
  <si>
    <t>LRDFFEK(1)TLQDCK</t>
  </si>
  <si>
    <t>LRDFFEK(54.52)TLQDCK(-54.52)</t>
  </si>
  <si>
    <t>_GIFEK(ac)DR_</t>
  </si>
  <si>
    <t>GIFEK(1)DR</t>
  </si>
  <si>
    <t>GIFEK(32.22)DR</t>
  </si>
  <si>
    <t>_MGSELEEGK(ac)R_</t>
  </si>
  <si>
    <t>MGSELEEGK(1)R</t>
  </si>
  <si>
    <t>MGSELEEGK(138.11)R</t>
  </si>
  <si>
    <t>_LLMWEIGK(ac)NLK_</t>
  </si>
  <si>
    <t>LLMWEIGK(1)NLK</t>
  </si>
  <si>
    <t>LLMWEIGK(59.54)NLK(-59.54)</t>
  </si>
  <si>
    <t>Q9I1L2</t>
  </si>
  <si>
    <t>&gt;tr|Q9I1L2|Q9I1L2_PSEAE Probable 2-ketogluconate kinase OS=Pseudomonas aeruginosa (strain ATCC 15692 / PAO1 / 1C / PRS 101 / LMG 12228) GN=PA2261 PE=4 SV=1;&gt;tr|U5QYD4|U5QYD4_PSEAE PfkB carbohydrate kinase family protein OS=Pseudomonas aeruginosa PAO1-VE2 G</t>
  </si>
  <si>
    <t>_VEQFGK(ac)R_</t>
  </si>
  <si>
    <t>VEQFGK(1)R</t>
  </si>
  <si>
    <t>VEQFGK(23.52)R</t>
  </si>
  <si>
    <t>Q9I1N4</t>
  </si>
  <si>
    <t>&gt;tr|Q9I1N4|Q9I1N4_PSEAE PslE OS=Pseudomonas aeruginosa (strain ATCC 15692 / PAO1 / 1C / PRS 101 / LMG 12228) GN=pslE PE=4 SV=1;&gt;tr|U5R1W2|U5R1W2_PSEAE Chain length determinant family protein OS=Pseudomonas aeruginosa PAO1-VE2 GN=N296_2307 PE=4 SV=1;&gt;tr|U5R</t>
  </si>
  <si>
    <t>_IEEK(ac)GLTLGLTSAR_</t>
  </si>
  <si>
    <t>IEEK(1)GLTLGLTSAR</t>
  </si>
  <si>
    <t>IEEK(39.42)GLTLGLTSAR</t>
  </si>
  <si>
    <t>_ICAVLGK(ac)SNGSR_</t>
  </si>
  <si>
    <t>ICAVLGK(1)SNGSR</t>
  </si>
  <si>
    <t>ICAVLGK(29.54)SNGSR</t>
  </si>
  <si>
    <t>Q9I2A8</t>
  </si>
  <si>
    <t>&gt;sp|Q9I2A8|ATOB_PSEAE Acetyl-CoA acetyltransferase OS=Pseudomonas aeruginosa (strain ATCC 15692 / PAO1 / 1C / PRS 101 / LMG 12228) GN=atoB PE=3 SV=1;&gt;tr|U5R1S4|U5R1S4_PSEAE Acetyl-CoA C-acetyltransferase family protein OS=Pseudomonas aeruginosa PAO1-VE2 GN</t>
  </si>
  <si>
    <t>_AGTTVEALAK(ac)LK_</t>
  </si>
  <si>
    <t>AGTTVEALAK(1)LK</t>
  </si>
  <si>
    <t>AGTTVEALAK(43.54)LK(-43.54)</t>
  </si>
  <si>
    <t>Q9I2T1</t>
  </si>
  <si>
    <t>&gt;sp|Q9I2T1|GLO2_PSEAE Hydroxyacylglutathione hydrolase OS=Pseudomonas aeruginosa (strain ATCC 15692 / PAO1 / 1C / PRS 101 / LMG 12228) GN=gloB PE=3 SV=1;&gt;tr|U5R1F0|U5R1F0_PSEAE Hydroxyacylglutathione hydrolase OS=Pseudomonas aeruginosa PAO1-VE2 GN=gloB PE=</t>
  </si>
  <si>
    <t>_VLGPANEK(ac)IPAR_</t>
  </si>
  <si>
    <t>VLGPANEK(1)IPAR</t>
  </si>
  <si>
    <t>VLGPANEK(100.72)IPAR</t>
  </si>
  <si>
    <t>_NQVMEGLLQANPIEVPK(ac)ALIGNEVNR_</t>
  </si>
  <si>
    <t>NQVMEGLLQANPIEVPK(1)ALIGNEVNR</t>
  </si>
  <si>
    <t>NQVMEGLLQANPIEVPK(81.37)ALIGNEVNR</t>
  </si>
  <si>
    <t>Q9I2U3</t>
  </si>
  <si>
    <t>&gt;tr|Q9I2U3|Q9I2U3_PSEAE Two-component response regulator, ParR OS=Pseudomonas aeruginosa (strain ATCC 15692 / PAO1 / 1C / PRS 101 / LMG 12228) GN=parR PE=4 SV=1;&gt;tr|U5R0Q1|U5R0Q1_PSEAE Uncharacterized protein OS=Pseudomonas aeruginosa PAO1-VE2 GN=N296_1853</t>
  </si>
  <si>
    <t>_VLLVEDDQK(ac)LAR_</t>
  </si>
  <si>
    <t>VLLVEDDQK(1)LAR</t>
  </si>
  <si>
    <t>VLLVEDDQK(54.47)LAR</t>
  </si>
  <si>
    <t>_LNILK(ac)PDQEPR_</t>
  </si>
  <si>
    <t>LNILK(1)PDQEPR</t>
  </si>
  <si>
    <t>LNILK(77.38)PDQEPR</t>
  </si>
  <si>
    <t>_ELFIDAGDFEEVPPAGYK(ac)R_</t>
  </si>
  <si>
    <t>ELFIDAGDFEEVPPAGYK(1)R</t>
  </si>
  <si>
    <t>ELFIDAGDFEEVPPAGYK(19.29)R</t>
  </si>
  <si>
    <t>Q9I351</t>
  </si>
  <si>
    <t>&gt;sp|Q9I351|GCH12_PSEAE GTP cyclohydrolase 1 2 OS=Pseudomonas aeruginosa (strain ATCC 15692 / PAO1 / 1C / PRS 101 / LMG 12228) GN=folE2 PE=3 SV=1;&gt;tr|U5R9D2|U5R9D2_PSEAE GTP cyclohydrolase 1 OS=Pseudomonas aeruginosa PAO1-VE2 GN=folE PE=3 SV=1;&gt;tr|U5RFN6|U5</t>
  </si>
  <si>
    <t>_AMK(ac)YLCR_</t>
  </si>
  <si>
    <t>AMK(1)YLCR</t>
  </si>
  <si>
    <t>AMK(138.07)YLCR</t>
  </si>
  <si>
    <t>_TGELYIGK(ac)EEATLR_</t>
  </si>
  <si>
    <t>TGELYIGK(1)EEATLR</t>
  </si>
  <si>
    <t>TGELYIGK(77.91)EEATLR</t>
  </si>
  <si>
    <t>_SLAVDGK(ac)TYHYYSLPEAAR_</t>
  </si>
  <si>
    <t>SLAVDGK(1)TYHYYSLPEAAR</t>
  </si>
  <si>
    <t>SLAVDGK(48.05)TYHYYSLPEAAR</t>
  </si>
  <si>
    <t>Q9I4C0</t>
  </si>
  <si>
    <t>&gt;tr|Q9I4C0|Q9I4C0_PSEAE Uncharacterized protein OS=Pseudomonas aeruginosa (strain ATCC 15692 / PAO1 / 1C / PRS 101 / LMG 12228) GN=PA1218 PE=4 SV=1;&gt;tr|U5R0A5|U5R0A5_PSEAE Phytanoyl-CoA dioxygenase family protein OS=Pseudomonas aeruginosa PAO1-VE2 GN=N296_</t>
  </si>
  <si>
    <t>_HAAFIK(ac)R_</t>
  </si>
  <si>
    <t>HAAFIK(1)R</t>
  </si>
  <si>
    <t>HAAFIK(49.59)R</t>
  </si>
  <si>
    <t>_ALAATSTEK(ac)STINTGK_</t>
  </si>
  <si>
    <t>ALAATSTEK(1)STINTGK</t>
  </si>
  <si>
    <t>ALAATSTEK(39.03)STINTGK(-39.03)</t>
  </si>
  <si>
    <t>_GAEFELVDAK(ac)LK_</t>
  </si>
  <si>
    <t>GAEFELVDAK(1)LK</t>
  </si>
  <si>
    <t>GAEFELVDAK(36.28)LK(-36.28)</t>
  </si>
  <si>
    <t>_QWFDDAVK(ac)TER_</t>
  </si>
  <si>
    <t>QWFDDAVK(1)TER</t>
  </si>
  <si>
    <t>QWFDDAVK(38.87)TER</t>
  </si>
  <si>
    <t>_SGGADACLLVTPYYNK(ac)PTQEGMYQHFR_</t>
  </si>
  <si>
    <t>SGGADACLLVTPYYNK(1)PTQEGMYQHFR</t>
  </si>
  <si>
    <t>SGGADACLLVTPYYNK(59.43)PTQEGMYQHFR</t>
  </si>
  <si>
    <t>_EVTLSALK(ac)GK_</t>
  </si>
  <si>
    <t>EVTLSALK(1)GK</t>
  </si>
  <si>
    <t>EVTLSALK(63.28)GK(-63.28)</t>
  </si>
  <si>
    <t>Q9I524</t>
  </si>
  <si>
    <t>&gt;tr|Q9I524|Q9I524_PSEAE GTP pyrophosphokinase OS=Pseudomonas aeruginosa (strain ATCC 15692 / PAO1 / 1C / PRS 101 / LMG 12228) GN=relA PE=3 SV=1;&gt;tr|U5R4L3|U5R4L3_PSEAE RelA/SpoT family protein OS=Pseudomonas aeruginosa PAO1-VE2 GN=N296_966 PE=3 SV=1;&gt;tr|U5</t>
  </si>
  <si>
    <t>_ITLEAVNK(ac)HFGPVVAK_</t>
  </si>
  <si>
    <t>ITLEAVNK(1)HFGPVVAK</t>
  </si>
  <si>
    <t>ITLEAVNK(29.34)HFGPVVAK(-29.34)</t>
  </si>
  <si>
    <t>_AGELMK(ac)QAAAAVGGK_</t>
  </si>
  <si>
    <t>AGELMK(1)QAAAAVGGK</t>
  </si>
  <si>
    <t>AGELMK(23.14)QAAAAVGGK(-23.14)</t>
  </si>
  <si>
    <t>_TFK(ac)GMYFTGDGAR_</t>
  </si>
  <si>
    <t>TFK(1)GMYFTGDGAR</t>
  </si>
  <si>
    <t>TFK(80.52)GMYFTGDGAR</t>
  </si>
  <si>
    <t>Q9I574</t>
  </si>
  <si>
    <t>&gt;sp|Q9I574|MLIC_PSEAE Membrane-bound lysozyme inhibitor of C-type lysozyme OS=Pseudomonas aeruginosa (strain ATCC 15692 / PAO1 / 1C / PRS 101 / LMG 12228) GN=mliC PE=1 SV=1;&gt;tr|U5QUQ8|U5QUQ8_PSEAE Membrane-bound lysozyme inhibitor of C-type lysozyme OS=Pse</t>
  </si>
  <si>
    <t>_K(ac)FTVQYLNK_</t>
  </si>
  <si>
    <t>K(1)FTVQYLNK</t>
  </si>
  <si>
    <t>K(37.34)FTVQYLNK(-37.34)</t>
  </si>
  <si>
    <t>Q9I5B8</t>
  </si>
  <si>
    <t>&gt;tr|Q9I5B8|Q9I5B8_PSEAE Uncharacterized protein OS=Pseudomonas aeruginosa (strain ATCC 15692 / PAO1 / 1C / PRS 101 / LMG 12228) GN=PA0821 PE=4 SV=1;&gt;tr|U5R543|U5R543_PSEAE Uncharacterized protein OS=Pseudomonas aeruginosa PAO1-VE2 GN=N296_848 PE=4 SV=1;&gt;tr</t>
  </si>
  <si>
    <t>_WCDK(ac)LLSAEPYLDATNTLPERL_</t>
  </si>
  <si>
    <t>WCDK(1)LLSAEPYLDATNTLPERL</t>
  </si>
  <si>
    <t>WCDK(36.48)LLSAEPYLDATNTLPERL</t>
  </si>
  <si>
    <t>Q9I5B9</t>
  </si>
  <si>
    <t xml:space="preserve">&gt;tr|Q9I5B9|Q9I5B9_PSEAE Uncharacterized protein OS=Pseudomonas aeruginosa (strain ATCC 15692 / PAO1 / 1C / PRS 101 / LMG 12228) GN=PA0820 PE=4 SV=1;&gt;tr|U5R423|U5R423_PSEAE HNH endonuclease family protein OS=Pseudomonas aeruginosa PAO1-VE2 GN=N296_847 PE=4 </t>
  </si>
  <si>
    <t>_TLSVDELK(ac)GLVR_</t>
  </si>
  <si>
    <t>TLSVDELK(1)GLVR</t>
  </si>
  <si>
    <t>TLSVDELK(64.64)GLVR</t>
  </si>
  <si>
    <t>Q9I5I4</t>
  </si>
  <si>
    <t>&gt;tr|Q9I5I4|Q9I5I4_PSEAE Probable enoyl-CoA hydratase/isomerase OS=Pseudomonas aeruginosa (strain ATCC 15692 / PAO1 / 1C / PRS 101 / LMG 12228) GN=PA0745 PE=3 SV=1;&gt;tr|U5QYH5|U5QYH5_PSEAE Enoyl-CoA hydratase/isomerase family protein OS=Pseudomonas aeruginos</t>
  </si>
  <si>
    <t>_EGVNAFLEK(ac)R_</t>
  </si>
  <si>
    <t>EGVNAFLEK(1)R</t>
  </si>
  <si>
    <t>EGVNAFLEK(41.28)R</t>
  </si>
  <si>
    <t>_ALADFK(ac)ANDVR_</t>
  </si>
  <si>
    <t>ALADFK(1)ANDVR</t>
  </si>
  <si>
    <t>ALADFK(77.38)ANDVR</t>
  </si>
  <si>
    <t>_IK(ac)DSLDLFVR_</t>
  </si>
  <si>
    <t>IK(1)DSLDLFVR</t>
  </si>
  <si>
    <t>IK(60.43)DSLDLFVR</t>
  </si>
  <si>
    <t>_FLLLEGVHQNAVDTLK(ac)AAGYTNIEYLK_</t>
  </si>
  <si>
    <t>FLLLEGVHQNAVDTLK(1)AAGYTNIEYLK</t>
  </si>
  <si>
    <t>FLLLEGVHQNAVDTLK(48.49)AAGYTNIEYLK(-48.49)</t>
  </si>
  <si>
    <t>Q9I6I9</t>
  </si>
  <si>
    <t>&gt;tr|Q9I6I9|Q9I6I9_PSEAE Polyamine transport protein PotG OS=Pseudomonas aeruginosa (strain ATCC 15692 / PAO1 / 1C / PRS 101 / LMG 12228) GN=spuF PE=3 SV=1;&gt;tr|U5R6N0|U5R6N0_PSEAE Polyamine ABC transporter, ATP-binding family protein OS=Pseudomonas aerugino</t>
  </si>
  <si>
    <t>_VAEMLK(ac)LVHMTQYAK_</t>
  </si>
  <si>
    <t>VAEMLK(1)LVHMTQYAK</t>
  </si>
  <si>
    <t>VAEMLK(46.8)LVHMTQYAK(-46.8)</t>
  </si>
  <si>
    <t>Q9I740</t>
  </si>
  <si>
    <t>&gt;tr|Q9I740|Q9I740_PSEAE Uncharacterized protein OS=Pseudomonas aeruginosa (strain ATCC 15692 / PAO1 / 1C / PRS 101 / LMG 12228) GN=PA0092 PE=4 SV=1;&gt;tr|U5R5J4|U5R5J4_PSEAE Uncharacterized protein OS=Pseudomonas aeruginosa PAO1-VE2 GN=N296_98 PE=4 SV=1;&gt;tr|</t>
  </si>
  <si>
    <t>_ALK(ac)DAYYVGIR_</t>
  </si>
  <si>
    <t>ALK(1)DAYYVGIR</t>
  </si>
  <si>
    <t>ALK(44.02)DAYYVGIR</t>
  </si>
  <si>
    <t>_EEYNIDK(ac)LR_</t>
  </si>
  <si>
    <t>EEYNIDK(1)LR</t>
  </si>
  <si>
    <t>EEYNIDK(60.02)LR</t>
  </si>
  <si>
    <t>_FTLSTLPANDFPTVEEGPGSLNFSIAQSK(ac)LR_</t>
  </si>
  <si>
    <t>FTLSTLPANDFPTVEEGPGSLNFSIAQSK(1)LR</t>
  </si>
  <si>
    <t>FTLSTLPANDFPTVEEGPGSLNFSIAQSK(36.48)LR</t>
  </si>
  <si>
    <t>_QK(ac)WFLLR_</t>
  </si>
  <si>
    <t>QK(1)WFLLR</t>
  </si>
  <si>
    <t>QK(97.07)WFLLR</t>
  </si>
  <si>
    <t>_YDGHCMHLPK(ac)DEVQR_</t>
  </si>
  <si>
    <t>YDGHCMHLPK(1)DEVQR</t>
  </si>
  <si>
    <t>YDGHCMHLPK(29.01)DEVQR</t>
  </si>
  <si>
    <t>_FMQK(ac)YYR_</t>
  </si>
  <si>
    <t>FMQK(1)YYR</t>
  </si>
  <si>
    <t>FMQK(66.99)YYR</t>
  </si>
  <si>
    <t>U5R9H8</t>
  </si>
  <si>
    <t xml:space="preserve">&gt;tr|U5R9H8|U5R9H8_PSEAE Phosphomannomutase/phosphoglucomutase domain protein OS=Pseudomonas aeruginosa PAO1-VE2 GN=algC PE=3 SV=1;&gt;tr|U5RD74|U5RD74_PSEAE Phosphomannomutase/phosphoglucomutase domain protein OS=Pseudomonas aeruginosa PAO1-VE13 GN=algC PE=3 </t>
  </si>
  <si>
    <t>_YFK(ac)QIRDDIAMAK_</t>
  </si>
  <si>
    <t>YFK(1)QIRDDIAMAK</t>
  </si>
  <si>
    <t>YFK(33.78)QIRDDIAMAK(-33.78)</t>
  </si>
  <si>
    <t>UniProt protein identifier</t>
  </si>
  <si>
    <t>positions</t>
  </si>
  <si>
    <t>position</t>
  </si>
  <si>
    <t>localization probability</t>
  </si>
  <si>
    <t>PEP (posterior error probability)</t>
  </si>
  <si>
    <t>protein descriptions</t>
  </si>
  <si>
    <t>score difference</t>
  </si>
  <si>
    <t>score</t>
  </si>
  <si>
    <t>diagnostic peak</t>
  </si>
  <si>
    <t>number of acetylated lysines</t>
  </si>
  <si>
    <t>amino acid</t>
  </si>
  <si>
    <t>modified sequence</t>
  </si>
  <si>
    <t>acetylated lysine probabilities</t>
  </si>
  <si>
    <t>acetylated lysine score differences</t>
  </si>
  <si>
    <t>position in peptide</t>
  </si>
  <si>
    <t>intensity</t>
  </si>
  <si>
    <t>intensity light</t>
  </si>
  <si>
    <t>intensity heavy</t>
  </si>
  <si>
    <t>ratio heavy to light normalized</t>
  </si>
  <si>
    <t xml:space="preserve">significance ratio heavy to light normalized </t>
  </si>
  <si>
    <t>log2 fold change</t>
  </si>
  <si>
    <t xml:space="preserve">Cysteine and methionine metabolism </t>
  </si>
  <si>
    <t xml:space="preserve">Pyruvate metabolism </t>
  </si>
  <si>
    <t xml:space="preserve">Citrate cycle (TCA cycle) </t>
  </si>
  <si>
    <t xml:space="preserve">Selenocompound metabolism </t>
  </si>
  <si>
    <t xml:space="preserve">Glycolysis / Gluconeogenesis </t>
  </si>
  <si>
    <t xml:space="preserve">Pentose phosphate pathway </t>
  </si>
  <si>
    <t xml:space="preserve">Pentose and glucuronate interconversions </t>
  </si>
  <si>
    <t xml:space="preserve">Fructose and mannose metabolism </t>
  </si>
  <si>
    <t xml:space="preserve">Galactose metabolism </t>
  </si>
  <si>
    <t xml:space="preserve">Ascorbate and aldarate metabolism </t>
  </si>
  <si>
    <t xml:space="preserve">Fatty acid biosynthesis </t>
  </si>
  <si>
    <t xml:space="preserve">Fatty acid degradation </t>
  </si>
  <si>
    <t xml:space="preserve">Synthesis and degradation of ketone bodies </t>
  </si>
  <si>
    <t xml:space="preserve">Ubiquinone and other terpenoid-quinone biosynthesis </t>
  </si>
  <si>
    <t xml:space="preserve">Oxidative phosphorylation </t>
  </si>
  <si>
    <t xml:space="preserve">Arginine biosynthesis </t>
  </si>
  <si>
    <t xml:space="preserve">Purine metabolism </t>
  </si>
  <si>
    <t xml:space="preserve">Pyrimidine metabolism </t>
  </si>
  <si>
    <t xml:space="preserve">Alanine, aspartate and glutamate metabolism </t>
  </si>
  <si>
    <t xml:space="preserve">Glycine, serine and threonine metabolism </t>
  </si>
  <si>
    <t xml:space="preserve">Monobactam biosynthesis </t>
  </si>
  <si>
    <t xml:space="preserve">Valine, leucine and isoleucine degradation </t>
  </si>
  <si>
    <t xml:space="preserve">Geraniol degradation </t>
  </si>
  <si>
    <t xml:space="preserve">Valine, leucine and isoleucine biosynthesis </t>
  </si>
  <si>
    <t xml:space="preserve">Lysine biosynthesis </t>
  </si>
  <si>
    <t xml:space="preserve">Lysine degradation </t>
  </si>
  <si>
    <t xml:space="preserve">Arginine and proline metabolism </t>
  </si>
  <si>
    <t xml:space="preserve">Carbapenem biosynthesis </t>
  </si>
  <si>
    <t xml:space="preserve">Histidine metabolism </t>
  </si>
  <si>
    <t xml:space="preserve">Tyrosine metabolism </t>
  </si>
  <si>
    <t xml:space="preserve">Phenylalanine metabolism </t>
  </si>
  <si>
    <t xml:space="preserve">Chlorocyclohexane and chlorobenzene degradation </t>
  </si>
  <si>
    <t xml:space="preserve">Benzoate degradation </t>
  </si>
  <si>
    <t xml:space="preserve">Fluorobenzoate degradation </t>
  </si>
  <si>
    <t xml:space="preserve">Tryptophan metabolism </t>
  </si>
  <si>
    <t xml:space="preserve">Phenylalanine, tyrosine and tryptophan biosynthesis </t>
  </si>
  <si>
    <t xml:space="preserve">Novobiocin biosynthesis </t>
  </si>
  <si>
    <t xml:space="preserve">Phenazine biosynthesis </t>
  </si>
  <si>
    <t xml:space="preserve">beta-Alanine metabolism </t>
  </si>
  <si>
    <t xml:space="preserve">Taurine and hypotaurine metabolism </t>
  </si>
  <si>
    <t xml:space="preserve">Phosphonate and phosphinate metabolism </t>
  </si>
  <si>
    <t xml:space="preserve">Cyanoamino acid metabolism </t>
  </si>
  <si>
    <t xml:space="preserve">D-Glutamine and D-glutamate metabolism </t>
  </si>
  <si>
    <t xml:space="preserve">D-Arginine and D-ornithine metabolism </t>
  </si>
  <si>
    <t xml:space="preserve">D-Alanine metabolism </t>
  </si>
  <si>
    <t xml:space="preserve">Glutathione metabolism </t>
  </si>
  <si>
    <t xml:space="preserve">Starch and sucrose metabolism </t>
  </si>
  <si>
    <t xml:space="preserve">Amino sugar and nucleotide sugar metabolism </t>
  </si>
  <si>
    <t xml:space="preserve">Streptomycin biosynthesis </t>
  </si>
  <si>
    <t xml:space="preserve">Polyketide sugar unit biosynthesis </t>
  </si>
  <si>
    <t xml:space="preserve">Acarbose and validamycin biosynthesis </t>
  </si>
  <si>
    <t xml:space="preserve">Lipopolysaccharide biosynthesis </t>
  </si>
  <si>
    <t xml:space="preserve">Peptidoglycan biosynthesis </t>
  </si>
  <si>
    <t xml:space="preserve">Glycerolipid metabolism </t>
  </si>
  <si>
    <t xml:space="preserve">Inositol phosphate metabolism </t>
  </si>
  <si>
    <t xml:space="preserve">Glycerophospholipid metabolism </t>
  </si>
  <si>
    <t xml:space="preserve">Ether lipid metabolism </t>
  </si>
  <si>
    <t xml:space="preserve">Arachidonic acid metabolism </t>
  </si>
  <si>
    <t xml:space="preserve">alpha-Linolenic acid metabolism </t>
  </si>
  <si>
    <t xml:space="preserve">Sphingolipid metabolism </t>
  </si>
  <si>
    <t xml:space="preserve">Xylene degradation </t>
  </si>
  <si>
    <t xml:space="preserve">Toluene degradation </t>
  </si>
  <si>
    <t xml:space="preserve">Chloroalkane and chloroalkene degradation </t>
  </si>
  <si>
    <t xml:space="preserve">Naphthalene degradation </t>
  </si>
  <si>
    <t xml:space="preserve">Aminobenzoate degradation </t>
  </si>
  <si>
    <t xml:space="preserve">Glyoxylate and dicarboxylate metabolism </t>
  </si>
  <si>
    <t xml:space="preserve">Nitrotoluene degradation </t>
  </si>
  <si>
    <t xml:space="preserve">Propanoate metabolism </t>
  </si>
  <si>
    <t xml:space="preserve">Styrene degradation </t>
  </si>
  <si>
    <t xml:space="preserve">Butanoate metabolism </t>
  </si>
  <si>
    <t xml:space="preserve">C5-Branched dibasic acid metabolism </t>
  </si>
  <si>
    <t xml:space="preserve">One carbon pool by folate </t>
  </si>
  <si>
    <t xml:space="preserve">Methane metabolism </t>
  </si>
  <si>
    <t xml:space="preserve">Thiamine metabolism </t>
  </si>
  <si>
    <t xml:space="preserve">Riboflavin metabolism </t>
  </si>
  <si>
    <t xml:space="preserve">Vitamin B6 metabolism </t>
  </si>
  <si>
    <t xml:space="preserve">Nicotinate and nicotinamide metabolism </t>
  </si>
  <si>
    <t xml:space="preserve">Pantothenate and CoA biosynthesis </t>
  </si>
  <si>
    <t xml:space="preserve">Biotin metabolism </t>
  </si>
  <si>
    <t xml:space="preserve">Lipoic acid metabolism </t>
  </si>
  <si>
    <t xml:space="preserve">Folate biosynthesis </t>
  </si>
  <si>
    <t xml:space="preserve">Porphyrin and chlorophyll metabolism </t>
  </si>
  <si>
    <t xml:space="preserve">Terpenoid backbone biosynthesis </t>
  </si>
  <si>
    <t xml:space="preserve">Limonene and pinene degradation </t>
  </si>
  <si>
    <t xml:space="preserve">Nitrogen metabolism </t>
  </si>
  <si>
    <t xml:space="preserve">Sulfur metabolism </t>
  </si>
  <si>
    <t xml:space="preserve">Caprolactam degradation </t>
  </si>
  <si>
    <t xml:space="preserve">Aminoacyl-tRNA biosynthesis </t>
  </si>
  <si>
    <t xml:space="preserve">Biosynthesis of unsaturated fatty acids </t>
  </si>
  <si>
    <t xml:space="preserve">Biosynthesis of siderophore group nonribosomal peptides </t>
  </si>
  <si>
    <t xml:space="preserve">Metabolic pathways </t>
  </si>
  <si>
    <t xml:space="preserve">Biosynthesis of secondary metabolites </t>
  </si>
  <si>
    <t xml:space="preserve">Microbial metabolism in diverse environments </t>
  </si>
  <si>
    <t xml:space="preserve">Biosynthesis of antibiotics </t>
  </si>
  <si>
    <t xml:space="preserve">Carbon metabolism </t>
  </si>
  <si>
    <t xml:space="preserve">2-Oxocarboxylic acid metabolism </t>
  </si>
  <si>
    <t xml:space="preserve">Fatty acid metabolism </t>
  </si>
  <si>
    <t xml:space="preserve">Degradation of aromatic compounds </t>
  </si>
  <si>
    <t xml:space="preserve">Biosynthesis of amino acids </t>
  </si>
  <si>
    <t xml:space="preserve">beta-Lactam resistance </t>
  </si>
  <si>
    <t xml:space="preserve">Vancomycin resistance </t>
  </si>
  <si>
    <t xml:space="preserve">Cationic antimicrobial peptide (CAMP) resistance </t>
  </si>
  <si>
    <t xml:space="preserve">ABC transporters </t>
  </si>
  <si>
    <t xml:space="preserve">Two-component system </t>
  </si>
  <si>
    <t xml:space="preserve">Quorum sensing </t>
  </si>
  <si>
    <t xml:space="preserve">Biofilm formation </t>
  </si>
  <si>
    <t xml:space="preserve">Bacterial chemotaxis </t>
  </si>
  <si>
    <t xml:space="preserve">Flagellar assembly </t>
  </si>
  <si>
    <t xml:space="preserve">Phosphotransferase system (PTS) </t>
  </si>
  <si>
    <t xml:space="preserve">Ribosome </t>
  </si>
  <si>
    <t xml:space="preserve">RNA degradation </t>
  </si>
  <si>
    <t xml:space="preserve">RNA polymerase </t>
  </si>
  <si>
    <t xml:space="preserve">DNA replication </t>
  </si>
  <si>
    <t xml:space="preserve">Protein export </t>
  </si>
  <si>
    <t xml:space="preserve">Bacterial secretion system </t>
  </si>
  <si>
    <t xml:space="preserve">Base excision repair </t>
  </si>
  <si>
    <t xml:space="preserve">Nucleotide excision repair </t>
  </si>
  <si>
    <t xml:space="preserve">Mismatch repair </t>
  </si>
  <si>
    <t xml:space="preserve">Homologous recombination </t>
  </si>
  <si>
    <t xml:space="preserve">Non-homologous end-joining </t>
  </si>
  <si>
    <t xml:space="preserve">Sulfur relay system </t>
  </si>
  <si>
    <t>KEGG pathway</t>
  </si>
  <si>
    <t>p-value</t>
  </si>
  <si>
    <t>adjusted p-value</t>
  </si>
  <si>
    <t>number of proteins not in pathway but in cumulative ranked set</t>
  </si>
  <si>
    <t>number of proteins not in pathway and not in cumulative ranked set</t>
  </si>
  <si>
    <t>number of proteins in pathway and in cumulative ranked set</t>
  </si>
  <si>
    <t>number of proteins in pathway but not in cumulative ranked set</t>
  </si>
  <si>
    <t>number of acetylation sites</t>
  </si>
  <si>
    <t>number of acetylated proteins</t>
  </si>
  <si>
    <t>total number of proteins in pathway</t>
  </si>
  <si>
    <t>percentage of proteins in pathway acetylated</t>
  </si>
  <si>
    <t>percentage of total acetylation sites</t>
  </si>
  <si>
    <t>percentage of total acetylated proteins</t>
  </si>
  <si>
    <t>Description</t>
  </si>
  <si>
    <t>Table S2 - full acetylome</t>
  </si>
  <si>
    <t>Table S2 - significant sites</t>
  </si>
  <si>
    <t>Table S2 - pathway coverage</t>
  </si>
  <si>
    <t>Table S2 - pathway enrichment</t>
  </si>
  <si>
    <t>Sheet</t>
  </si>
  <si>
    <t>Dataset of acetylated peptides. Columns A-E contain the acetylated peptides with UniProt identifier, description, position of the acetylation and corresponding localization probability. Columns F-O contain information on the respective acetylated peptides identified by MS, with their sequence, localisation of acetylated residue and PEP (Posterior Error Probability) score. Columns P-U contain the intensities for each peptide and normalized ratio of heavy and light samples, as well as their significances.</t>
  </si>
  <si>
    <t>Dataset of peptides with significantly altered acetylation levels upon Map expression. It is a subset of the full acetylome datatset, containing only those peptides with a PEP &lt; 0.05 and a p-value &lt; 0.01. Columns A-E contain the acetylated peptides with UniProt identifier, description, position of the acetylation and corresponding localization probability. Columns F-O contain information on the respective acetylated peptides identified by MS, with their sequence, localisation of acetylated residue and PEP (Posterior Error Probability) score. Columns P-T contain the intensities for each peptide and normalized ratio of Heavy (H) and Light (L) samples, as well as their significances.</t>
  </si>
  <si>
    <t>Dataset of acetylated pathways, summarizing acetylation coverage per KEGG pathway. Columns B–G list, for each pathway denoted in column A, the total number of acetylation sites detected, the number of acetylated proteins, the total number of proteins annotated in the pathway (KEGG), and the corresponding percentages.</t>
  </si>
  <si>
    <t>Dataset of KEGG pathway enrichment results. Columns B–E list protein counts for the enrichment 2×2 table at the rank prefix yielding the lowest Fisher p‑value (a, b, c, d). Columns F–G provide the p‑value and the  Benjamini Hochberg‑adjusted p‑value computed across pathways.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</si>
</sst>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sz val="11"/>
      <color theme="1"/>
      <name val="Aptos Narrow"/>
      <family val="2"/>
    </font>
    <font>
      <b/>
      <sz val="11"/>
      <color theme="1"/>
      <name val="Aptos Narrow"/>
      <family val="2"/>
    </font>
    <font>
      <b/>
      <sz val="11"/>
      <color theme="0"/>
      <name val="Aptos Narrow"/>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1"/>
        <bgColor theme="9"/>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theme="1"/>
      </left>
      <right/>
      <top style="thin">
        <color theme="1"/>
      </top>
      <bottom/>
      <diagonal/>
    </border>
    <border>
      <left/>
      <right/>
      <top style="thin">
        <color theme="1"/>
      </top>
      <bottom/>
      <diagonal/>
    </border>
    <border>
      <left style="thin">
        <color indexed="64"/>
      </left>
      <right/>
      <top style="thin">
        <color theme="1"/>
      </top>
      <bottom/>
      <diagonal/>
    </border>
    <border>
      <left/>
      <right style="thin">
        <color theme="1"/>
      </right>
      <top style="thin">
        <color theme="1"/>
      </top>
      <bottom/>
      <diagonal/>
    </border>
    <border>
      <left/>
      <right/>
      <top style="thin">
        <color theme="1"/>
      </top>
      <bottom style="thin">
        <color theme="1"/>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style="thin">
        <color theme="9" tint="0.39997558519241921"/>
      </top>
      <bottom/>
      <diagonal/>
    </border>
    <border>
      <left style="thin">
        <color theme="1"/>
      </left>
      <right/>
      <top/>
      <bottom style="thin">
        <color theme="1"/>
      </bottom>
      <diagonal/>
    </border>
    <border>
      <left/>
      <right/>
      <top/>
      <bottom style="thin">
        <color theme="1"/>
      </bottom>
      <diagonal/>
    </border>
    <border>
      <left/>
      <right style="thin">
        <color theme="1"/>
      </right>
      <top style="thin">
        <color theme="9" tint="0.39997558519241921"/>
      </top>
      <bottom/>
      <diagonal/>
    </border>
    <border>
      <left/>
      <right style="thin">
        <color theme="1"/>
      </right>
      <top/>
      <bottom style="thin">
        <color theme="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44">
    <xf numFmtId="0" fontId="0" fillId="0" borderId="0" xfId="0"/>
    <xf numFmtId="0" fontId="0" fillId="0" borderId="10" xfId="0" applyBorder="1"/>
    <xf numFmtId="0" fontId="0" fillId="33" borderId="0" xfId="0" applyFill="1"/>
    <xf numFmtId="0" fontId="21" fillId="33" borderId="0" xfId="0" applyFont="1" applyFill="1"/>
    <xf numFmtId="0" fontId="21" fillId="33" borderId="10" xfId="0" applyFont="1" applyFill="1" applyBorder="1"/>
    <xf numFmtId="0" fontId="20" fillId="0" borderId="0" xfId="0" applyFont="1"/>
    <xf numFmtId="0" fontId="20" fillId="0" borderId="10" xfId="0" applyFont="1" applyBorder="1"/>
    <xf numFmtId="11" fontId="20" fillId="0" borderId="0" xfId="0" applyNumberFormat="1" applyFont="1"/>
    <xf numFmtId="0" fontId="20" fillId="0" borderId="11" xfId="0" applyFont="1" applyBorder="1"/>
    <xf numFmtId="0" fontId="20" fillId="0" borderId="12" xfId="0" applyFont="1" applyBorder="1"/>
    <xf numFmtId="0" fontId="20" fillId="0" borderId="13" xfId="0" applyFont="1" applyBorder="1"/>
    <xf numFmtId="11" fontId="20" fillId="0" borderId="12" xfId="0" applyNumberFormat="1" applyFont="1" applyBorder="1"/>
    <xf numFmtId="11" fontId="20" fillId="0" borderId="14" xfId="0" applyNumberFormat="1" applyFont="1" applyBorder="1"/>
    <xf numFmtId="0" fontId="20" fillId="0" borderId="14" xfId="0" applyFont="1" applyBorder="1"/>
    <xf numFmtId="0" fontId="20" fillId="0" borderId="18" xfId="0" applyFont="1" applyBorder="1"/>
    <xf numFmtId="0" fontId="20" fillId="0" borderId="15" xfId="0" applyFont="1" applyBorder="1"/>
    <xf numFmtId="0" fontId="20" fillId="0" borderId="16" xfId="0" applyFont="1" applyBorder="1"/>
    <xf numFmtId="0" fontId="20" fillId="0" borderId="17" xfId="0" applyFont="1" applyBorder="1"/>
    <xf numFmtId="0" fontId="22" fillId="33" borderId="11" xfId="0" applyFont="1" applyFill="1" applyBorder="1"/>
    <xf numFmtId="0" fontId="22" fillId="33" borderId="12" xfId="0" applyFont="1" applyFill="1" applyBorder="1"/>
    <xf numFmtId="0" fontId="22" fillId="33" borderId="13" xfId="0" applyFont="1" applyFill="1" applyBorder="1"/>
    <xf numFmtId="0" fontId="22" fillId="33" borderId="14" xfId="0" applyFont="1" applyFill="1" applyBorder="1"/>
    <xf numFmtId="11" fontId="20" fillId="0" borderId="17" xfId="0" applyNumberFormat="1" applyFont="1" applyBorder="1"/>
    <xf numFmtId="0" fontId="0" fillId="0" borderId="0" xfId="0" applyAlignment="1">
      <alignment wrapText="1"/>
    </xf>
    <xf numFmtId="2" fontId="20" fillId="0" borderId="0" xfId="0" applyNumberFormat="1" applyFont="1" applyAlignment="1">
      <alignment horizontal="center"/>
    </xf>
    <xf numFmtId="2" fontId="20" fillId="0" borderId="0" xfId="0" applyNumberFormat="1" applyFont="1"/>
    <xf numFmtId="0" fontId="20" fillId="0" borderId="21" xfId="0" applyFont="1" applyBorder="1"/>
    <xf numFmtId="0" fontId="20" fillId="0" borderId="23" xfId="0" applyFont="1" applyBorder="1"/>
    <xf numFmtId="0" fontId="20" fillId="0" borderId="24" xfId="0" applyFont="1" applyBorder="1"/>
    <xf numFmtId="0" fontId="20" fillId="0" borderId="19" xfId="0" applyFont="1" applyBorder="1"/>
    <xf numFmtId="0" fontId="20" fillId="0" borderId="26" xfId="0" applyFont="1" applyBorder="1"/>
    <xf numFmtId="0" fontId="20" fillId="0" borderId="20" xfId="0" applyFont="1" applyBorder="1"/>
    <xf numFmtId="0" fontId="22" fillId="34" borderId="22" xfId="0" applyFont="1" applyFill="1" applyBorder="1" applyAlignment="1">
      <alignment wrapText="1"/>
    </xf>
    <xf numFmtId="0" fontId="22" fillId="34" borderId="25" xfId="0" applyFont="1" applyFill="1" applyBorder="1" applyAlignment="1">
      <alignment wrapText="1"/>
    </xf>
    <xf numFmtId="0" fontId="22" fillId="34" borderId="0" xfId="0" applyFont="1" applyFill="1" applyAlignment="1">
      <alignment wrapText="1"/>
    </xf>
    <xf numFmtId="0" fontId="0" fillId="33" borderId="0" xfId="0" applyFill="1" applyAlignment="1" applyProtection="1">
      <alignment wrapText="1"/>
      <protection hidden="1"/>
    </xf>
    <xf numFmtId="0" fontId="20" fillId="0" borderId="0" xfId="0" applyFont="1" applyProtection="1">
      <protection hidden="1"/>
    </xf>
    <xf numFmtId="0" fontId="0" fillId="0" borderId="0" xfId="0" applyProtection="1">
      <protection hidden="1"/>
    </xf>
    <xf numFmtId="0" fontId="22" fillId="34" borderId="29" xfId="0" applyFont="1" applyFill="1" applyBorder="1" applyAlignment="1">
      <alignment horizontal="center" vertical="center"/>
    </xf>
    <xf numFmtId="0" fontId="22" fillId="34" borderId="30" xfId="0" applyFont="1" applyFill="1" applyBorder="1" applyAlignment="1">
      <alignment horizontal="center" vertical="center"/>
    </xf>
    <xf numFmtId="0" fontId="21" fillId="0" borderId="27" xfId="0" applyFont="1" applyBorder="1" applyAlignment="1">
      <alignment horizontal="center" vertical="center"/>
    </xf>
    <xf numFmtId="0" fontId="20" fillId="0" borderId="28" xfId="0" applyFont="1" applyBorder="1" applyAlignment="1">
      <alignment horizontal="left" vertical="center" wrapText="1"/>
    </xf>
    <xf numFmtId="0" fontId="21" fillId="0" borderId="31" xfId="0" applyFont="1" applyBorder="1" applyAlignment="1">
      <alignment horizontal="center" vertical="center"/>
    </xf>
    <xf numFmtId="0" fontId="20" fillId="0" borderId="32" xfId="0" applyFont="1" applyBorder="1" applyAlignment="1">
      <alignment horizontal="left" vertical="center" wrapText="1"/>
    </xf>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evolgde hyperlink" xfId="65" builtinId="9" hidden="1"/>
    <cellStyle name="Gevolgde hyperlink" xfId="51" builtinId="9" hidden="1"/>
    <cellStyle name="Gevolgde hyperlink" xfId="63" builtinId="9" hidden="1"/>
    <cellStyle name="Gevolgde hyperlink" xfId="49" builtinId="9" hidden="1"/>
    <cellStyle name="Gevolgde hyperlink" xfId="55" builtinId="9" hidden="1"/>
    <cellStyle name="Gevolgde hyperlink" xfId="77" builtinId="9" hidden="1"/>
    <cellStyle name="Gevolgde hyperlink" xfId="45" builtinId="9" hidden="1"/>
    <cellStyle name="Gevolgde hyperlink" xfId="57" builtinId="9" hidden="1"/>
    <cellStyle name="Gevolgde hyperlink" xfId="47" builtinId="9" hidden="1"/>
    <cellStyle name="Gevolgde hyperlink" xfId="87" builtinId="9" hidden="1"/>
    <cellStyle name="Gevolgde hyperlink" xfId="59" builtinId="9" hidden="1"/>
    <cellStyle name="Gevolgde hyperlink" xfId="71" builtinId="9" hidden="1"/>
    <cellStyle name="Gevolgde hyperlink" xfId="75" builtinId="9" hidden="1"/>
    <cellStyle name="Gevolgde hyperlink" xfId="79" builtinId="9" hidden="1"/>
    <cellStyle name="Gevolgde hyperlink" xfId="53" builtinId="9" hidden="1"/>
    <cellStyle name="Gevolgde hyperlink" xfId="73" builtinId="9" hidden="1"/>
    <cellStyle name="Gevolgde hyperlink" xfId="81" builtinId="9" hidden="1"/>
    <cellStyle name="Gevolgde hyperlink" xfId="61" builtinId="9" hidden="1"/>
    <cellStyle name="Gevolgde hyperlink" xfId="85" builtinId="9" hidden="1"/>
    <cellStyle name="Gevolgde hyperlink" xfId="67" builtinId="9" hidden="1"/>
    <cellStyle name="Gevolgde hyperlink" xfId="83" builtinId="9" hidden="1"/>
    <cellStyle name="Gevolgde hyperlink" xfId="69" builtinId="9" hidden="1"/>
    <cellStyle name="Gevolgde hyperlink" xfId="43" builtinId="9" hidden="1"/>
    <cellStyle name="Goed" xfId="6" builtinId="26" customBuiltin="1"/>
    <cellStyle name="Hyperlink" xfId="62" builtinId="8" hidden="1"/>
    <cellStyle name="Hyperlink" xfId="72" builtinId="8" hidden="1"/>
    <cellStyle name="Hyperlink" xfId="70" builtinId="8" hidden="1"/>
    <cellStyle name="Hyperlink" xfId="52" builtinId="8" hidden="1"/>
    <cellStyle name="Hyperlink" xfId="76" builtinId="8" hidden="1"/>
    <cellStyle name="Hyperlink" xfId="80" builtinId="8" hidden="1"/>
    <cellStyle name="Hyperlink" xfId="82" builtinId="8" hidden="1"/>
    <cellStyle name="Hyperlink" xfId="44" builtinId="8" hidden="1"/>
    <cellStyle name="Hyperlink" xfId="64" builtinId="8" hidden="1"/>
    <cellStyle name="Hyperlink" xfId="56" builtinId="8" hidden="1"/>
    <cellStyle name="Hyperlink" xfId="54" builtinId="8" hidden="1"/>
    <cellStyle name="Hyperlink" xfId="46" builtinId="8" hidden="1"/>
    <cellStyle name="Hyperlink" xfId="48" builtinId="8" hidden="1"/>
    <cellStyle name="Hyperlink" xfId="86" builtinId="8" hidden="1"/>
    <cellStyle name="Hyperlink" xfId="78" builtinId="8" hidden="1"/>
    <cellStyle name="Hyperlink" xfId="68" builtinId="8" hidden="1"/>
    <cellStyle name="Hyperlink" xfId="66" builtinId="8" hidden="1"/>
    <cellStyle name="Hyperlink" xfId="42" builtinId="8" hidden="1"/>
    <cellStyle name="Hyperlink" xfId="84" builtinId="8" hidden="1"/>
    <cellStyle name="Hyperlink" xfId="58" builtinId="8" hidden="1"/>
    <cellStyle name="Hyperlink" xfId="74" builtinId="8" hidden="1"/>
    <cellStyle name="Hyperlink" xfId="60" builtinId="8" hidden="1"/>
    <cellStyle name="Hyperlink" xfId="50" builtinId="8" hidde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48">
    <dxf>
      <font>
        <strike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numFmt numFmtId="0" formatCode="General"/>
      <protection locked="1" hidden="1"/>
    </dxf>
    <dxf>
      <font>
        <strike val="0"/>
        <outline val="0"/>
        <shadow val="0"/>
        <u val="none"/>
        <vertAlign val="baseline"/>
        <sz val="11"/>
        <color theme="1"/>
        <name val="Aptos Narrow"/>
        <family val="2"/>
        <scheme val="none"/>
      </font>
      <protection locked="1" hidden="1"/>
    </dxf>
    <dxf>
      <font>
        <strike val="0"/>
        <outline val="0"/>
        <shadow val="0"/>
        <u val="none"/>
        <vertAlign val="baseline"/>
        <sz val="11"/>
        <color theme="1"/>
        <name val="Aptos Narrow"/>
        <family val="2"/>
        <scheme val="none"/>
      </font>
      <numFmt numFmtId="0" formatCode="General"/>
      <protection locked="1" hidden="1"/>
    </dxf>
    <dxf>
      <font>
        <strike val="0"/>
        <outline val="0"/>
        <shadow val="0"/>
        <u val="none"/>
        <vertAlign val="baseline"/>
        <sz val="11"/>
        <color theme="1"/>
        <name val="Aptos Narrow"/>
        <family val="2"/>
        <scheme val="none"/>
      </font>
      <protection locked="1" hidden="1"/>
    </dxf>
    <dxf>
      <font>
        <strike val="0"/>
        <outline val="0"/>
        <shadow val="0"/>
        <u val="none"/>
        <vertAlign val="baseline"/>
        <sz val="11"/>
        <color theme="1"/>
        <name val="Aptos Narrow"/>
        <family val="2"/>
        <scheme val="none"/>
      </font>
      <numFmt numFmtId="0" formatCode="General"/>
    </dxf>
    <dxf>
      <font>
        <strike val="0"/>
        <outline val="0"/>
        <shadow val="0"/>
        <u val="none"/>
        <vertAlign val="baseline"/>
        <sz val="11"/>
        <color theme="1"/>
        <name val="Aptos Narrow"/>
        <family val="2"/>
        <scheme val="none"/>
      </font>
    </dxf>
    <dxf>
      <fill>
        <patternFill patternType="solid">
          <fgColor indexed="64"/>
          <bgColor theme="1"/>
        </patternFill>
      </fill>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border diagonalUp="0" diagonalDown="0">
        <left/>
        <right style="thin">
          <color theme="1"/>
        </right>
        <top style="thin">
          <color theme="9" tint="0.39997558519241921"/>
        </top>
        <bottom style="thin">
          <color theme="9" tint="0.39997558519241921"/>
        </bottom>
        <vertical/>
        <horizontal style="thin">
          <color theme="9" tint="0.39997558519241921"/>
        </horizontal>
      </border>
    </dxf>
    <dxf>
      <font>
        <b val="0"/>
        <i val="0"/>
        <strike val="0"/>
        <condense val="0"/>
        <extend val="0"/>
        <outline val="0"/>
        <shadow val="0"/>
        <u val="none"/>
        <vertAlign val="baseline"/>
        <sz val="11"/>
        <color theme="1"/>
        <name val="Aptos Narrow"/>
        <family val="2"/>
        <scheme val="none"/>
      </font>
      <border diagonalUp="0" diagonalDown="0">
        <left/>
        <right/>
        <top style="thin">
          <color theme="9" tint="0.39997558519241921"/>
        </top>
        <bottom style="thin">
          <color theme="9" tint="0.39997558519241921"/>
        </bottom>
        <vertical/>
        <horizontal style="thin">
          <color theme="9" tint="0.39997558519241921"/>
        </horizontal>
      </border>
    </dxf>
    <dxf>
      <font>
        <b val="0"/>
        <i val="0"/>
        <strike val="0"/>
        <condense val="0"/>
        <extend val="0"/>
        <outline val="0"/>
        <shadow val="0"/>
        <u val="none"/>
        <vertAlign val="baseline"/>
        <sz val="11"/>
        <color theme="1"/>
        <name val="Aptos Narrow"/>
        <family val="2"/>
        <scheme val="none"/>
      </font>
      <border diagonalUp="0" diagonalDown="0">
        <left style="thin">
          <color theme="1"/>
        </left>
        <right/>
        <top style="thin">
          <color theme="9" tint="0.39997558519241921"/>
        </top>
        <bottom style="thin">
          <color theme="9" tint="0.39997558519241921"/>
        </bottom>
        <vertical/>
        <horizontal style="thin">
          <color theme="9" tint="0.39997558519241921"/>
        </horizontal>
      </border>
    </dxf>
    <dxf>
      <font>
        <b val="0"/>
        <i val="0"/>
        <strike val="0"/>
        <condense val="0"/>
        <extend val="0"/>
        <outline val="0"/>
        <shadow val="0"/>
        <u val="none"/>
        <vertAlign val="baseline"/>
        <sz val="11"/>
        <color theme="1"/>
        <name val="Aptos Narrow"/>
        <family val="2"/>
        <scheme val="none"/>
      </font>
      <border diagonalUp="0" diagonalDown="0">
        <left style="thin">
          <color theme="1"/>
        </left>
        <right style="thin">
          <color theme="1"/>
        </right>
        <top style="thin">
          <color theme="1"/>
        </top>
        <bottom style="thin">
          <color theme="1"/>
        </bottom>
        <vertical style="thin">
          <color theme="1"/>
        </vertical>
        <horizontal style="thin">
          <color theme="1"/>
        </horizontal>
      </border>
    </dxf>
    <dxf>
      <border outline="0">
        <left style="thin">
          <color theme="9" tint="0.39997558519241921"/>
        </left>
      </border>
    </dxf>
    <dxf>
      <font>
        <b/>
        <i val="0"/>
        <strike val="0"/>
        <condense val="0"/>
        <extend val="0"/>
        <outline val="0"/>
        <shadow val="0"/>
        <u val="none"/>
        <vertAlign val="baseline"/>
        <sz val="11"/>
        <color theme="0"/>
        <name val="Aptos Narrow"/>
        <family val="2"/>
        <scheme val="none"/>
      </font>
      <fill>
        <patternFill patternType="solid">
          <fgColor theme="9"/>
          <bgColor theme="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Aptos Narrow"/>
        <family val="2"/>
        <scheme val="none"/>
      </font>
    </dxf>
    <dxf>
      <border outline="0">
        <bottom style="thin">
          <color rgb="FF000000"/>
        </bottom>
      </border>
    </dxf>
    <dxf>
      <font>
        <b/>
        <i val="0"/>
        <strike val="0"/>
        <condense val="0"/>
        <extend val="0"/>
        <outline val="0"/>
        <shadow val="0"/>
        <u val="none"/>
        <vertAlign val="baseline"/>
        <sz val="11"/>
        <color theme="0"/>
        <name val="Aptos Narrow"/>
        <family val="2"/>
        <scheme val="none"/>
      </font>
      <fill>
        <patternFill patternType="solid">
          <fgColor theme="9"/>
          <bgColor theme="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strike val="0"/>
        <outline val="0"/>
        <shadow val="0"/>
        <u val="none"/>
        <vertAlign val="baseline"/>
        <sz val="11"/>
        <color theme="1"/>
        <name val="Aptos Narrow"/>
        <family val="2"/>
        <scheme val="none"/>
      </font>
      <fill>
        <patternFill patternType="none">
          <fgColor indexed="64"/>
          <bgColor auto="1"/>
        </patternFill>
      </fill>
    </dxf>
    <dxf>
      <font>
        <b val="0"/>
        <i val="0"/>
        <strike val="0"/>
        <condense val="0"/>
        <extend val="0"/>
        <outline val="0"/>
        <shadow val="0"/>
        <u val="none"/>
        <vertAlign val="baseline"/>
        <sz val="11"/>
        <color theme="1"/>
        <name val="Aptos Narrow"/>
        <family val="2"/>
        <scheme val="none"/>
      </font>
      <numFmt numFmtId="0" formatCode="General"/>
      <fill>
        <patternFill patternType="none">
          <fgColor indexed="64"/>
          <bgColor indexed="65"/>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auto="1"/>
        </patternFill>
      </fill>
    </dxf>
    <dxf>
      <font>
        <strike val="0"/>
        <outline val="0"/>
        <shadow val="0"/>
        <u val="none"/>
        <vertAlign val="baseline"/>
        <sz val="11"/>
        <color theme="1"/>
        <name val="Aptos Narrow"/>
        <family val="2"/>
        <scheme val="none"/>
      </font>
      <fill>
        <patternFill patternType="none">
          <fgColor indexed="64"/>
          <bgColor indexed="65"/>
        </patternFill>
      </fill>
    </dxf>
    <dxf>
      <font>
        <strike val="0"/>
        <outline val="0"/>
        <shadow val="0"/>
        <u val="none"/>
        <vertAlign val="baseline"/>
        <sz val="11"/>
        <color theme="1"/>
        <name val="Aptos Narrow"/>
        <family val="2"/>
        <scheme val="none"/>
      </font>
    </dxf>
    <dxf>
      <font>
        <b/>
        <strike val="0"/>
        <outline val="0"/>
        <shadow val="0"/>
        <u val="none"/>
        <vertAlign val="baseline"/>
        <sz val="11"/>
        <color theme="1"/>
        <name val="Aptos Narrow"/>
        <family val="2"/>
        <scheme val="none"/>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6E13F-F20E-4DDA-80FD-3684333A31A2}" name="Tabel1" displayName="Tabel1" ref="A1:B5" totalsRowShown="0" headerRowDxfId="24" dataDxfId="22" headerRowBorderDxfId="23" tableBorderDxfId="21" totalsRowBorderDxfId="20">
  <autoFilter ref="A1:B5" xr:uid="{EFC6E13F-F20E-4DDA-80FD-3684333A31A2}"/>
  <tableColumns count="2">
    <tableColumn id="1" xr3:uid="{A803714B-4406-46C4-873D-05AC48FDBFE9}" name="Sheet" dataDxfId="19"/>
    <tableColumn id="2" xr3:uid="{02454EF5-1BF0-4B64-AC60-C3EEA4D7CD9C}" name="Description" dataDxfId="1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U1274" totalsRowShown="0" headerRowDxfId="47" dataDxfId="46">
  <autoFilter ref="A1:U1274" xr:uid="{00000000-0009-0000-0100-000002000000}"/>
  <sortState xmlns:xlrd2="http://schemas.microsoft.com/office/spreadsheetml/2017/richdata2" ref="A2:U1273">
    <sortCondition descending="1" ref="S1:S1274"/>
  </sortState>
  <tableColumns count="21">
    <tableColumn id="7" xr3:uid="{00000000-0010-0000-0000-000007000000}" name="UniProt protein identifier" dataDxfId="45"/>
    <tableColumn id="8" xr3:uid="{00000000-0010-0000-0000-000008000000}" name="protein descriptions" dataDxfId="44"/>
    <tableColumn id="2" xr3:uid="{00000000-0010-0000-0000-000002000000}" name="positions" dataDxfId="43"/>
    <tableColumn id="33" xr3:uid="{00000000-0010-0000-0000-000021000000}" name="position" dataDxfId="42"/>
    <tableColumn id="9" xr3:uid="{00000000-0010-0000-0000-000009000000}" name="localization probability" dataDxfId="41"/>
    <tableColumn id="10" xr3:uid="{00000000-0010-0000-0000-00000A000000}" name="score difference" dataDxfId="40"/>
    <tableColumn id="11" xr3:uid="{00000000-0010-0000-0000-00000B000000}" name="PEP (posterior error probability)" dataDxfId="39"/>
    <tableColumn id="12" xr3:uid="{00000000-0010-0000-0000-00000C000000}" name="score" dataDxfId="38"/>
    <tableColumn id="13" xr3:uid="{00000000-0010-0000-0000-00000D000000}" name="diagnostic peak" dataDxfId="37"/>
    <tableColumn id="14" xr3:uid="{00000000-0010-0000-0000-00000E000000}" name="number of acetylated lysines" dataDxfId="36"/>
    <tableColumn id="15" xr3:uid="{00000000-0010-0000-0000-00000F000000}" name="amino acid" dataDxfId="35"/>
    <tableColumn id="16" xr3:uid="{00000000-0010-0000-0000-000010000000}" name="modified sequence" dataDxfId="34"/>
    <tableColumn id="17" xr3:uid="{00000000-0010-0000-0000-000011000000}" name="acetylated lysine probabilities" dataDxfId="33"/>
    <tableColumn id="18" xr3:uid="{00000000-0010-0000-0000-000012000000}" name="acetylated lysine score differences" dataDxfId="32"/>
    <tableColumn id="19" xr3:uid="{00000000-0010-0000-0000-000013000000}" name="position in peptide" dataDxfId="31"/>
    <tableColumn id="28" xr3:uid="{00000000-0010-0000-0000-00001C000000}" name="intensity" dataDxfId="30"/>
    <tableColumn id="29" xr3:uid="{00000000-0010-0000-0000-00001D000000}" name="intensity light" dataDxfId="29"/>
    <tableColumn id="30" xr3:uid="{00000000-0010-0000-0000-00001E000000}" name="intensity heavy" dataDxfId="28"/>
    <tableColumn id="31" xr3:uid="{00000000-0010-0000-0000-00001F000000}" name="ratio heavy to light normalized" dataDxfId="27"/>
    <tableColumn id="1" xr3:uid="{0AA68CAA-5B7B-4518-8CEA-6E356580D48C}" name="log2 fold change" dataDxfId="26">
      <calculatedColumnFormula>LOG(Table2[[#This Row],[ratio heavy to light normalized]],2)</calculatedColumnFormula>
    </tableColumn>
    <tableColumn id="32" xr3:uid="{00000000-0010-0000-0000-000020000000}" name="significance ratio heavy to light normalized " dataDxfId="2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9C9336-F510-4368-AA0C-57F75CE5CD70}" name="Tabel5" displayName="Tabel5" ref="A1:G110" totalsRowShown="0" headerRowDxfId="17" tableBorderDxfId="16">
  <autoFilter ref="A1:G110" xr:uid="{6114F4DA-E028-4EA4-9C55-57B0D469B204}"/>
  <tableColumns count="7">
    <tableColumn id="1" xr3:uid="{146D5A82-9C89-42E6-9326-3EA680ED538B}" name="KEGG pathway" dataDxfId="15"/>
    <tableColumn id="2" xr3:uid="{90C2952C-6C9A-47D5-810D-A94C0E6D1A8E}" name="number of acetylation sites" dataDxfId="14"/>
    <tableColumn id="3" xr3:uid="{EBECDDFC-400A-433B-9904-CBDDE9508083}" name="number of acetylated proteins" dataDxfId="13"/>
    <tableColumn id="4" xr3:uid="{98115FA6-31A7-4408-BB4C-8822AD235F12}" name="total number of proteins in pathway" dataDxfId="12"/>
    <tableColumn id="5" xr3:uid="{0C83B85A-4A72-49EB-A7C9-CC6457E55AFD}" name="percentage of proteins in pathway acetylated" dataDxfId="11">
      <calculatedColumnFormula>(C2/D2)*100</calculatedColumnFormula>
    </tableColumn>
    <tableColumn id="6" xr3:uid="{5312CE24-C0E4-4540-8481-6757CFF722F9}" name="percentage of total acetylation sites" dataDxfId="10">
      <calculatedColumnFormula>(B2/SUM(B$2:B$110)*100)</calculatedColumnFormula>
    </tableColumn>
    <tableColumn id="7" xr3:uid="{E790DE13-032F-4175-A467-B4D55DC7F740}" name="percentage of total acetylated proteins" dataDxfId="9">
      <calculatedColumnFormula>(C2/SUM(C$2:C$110)*100)</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0E38C9-E86D-4202-AC69-DB163F04FB9A}" name="ptwenrich_UP_FC_2_FDR_0_05_gp13_acetylome" displayName="ptwenrich_UP_FC_2_FDR_0_05_gp13_acetylome" ref="A1:G122" totalsRowShown="0" headerRowDxfId="8" dataDxfId="7">
  <autoFilter ref="A1:G122" xr:uid="{8B0E38C9-E86D-4202-AC69-DB163F04FB9A}"/>
  <tableColumns count="7">
    <tableColumn id="1" xr3:uid="{14E9F5B4-1F89-407E-866F-FD013BD1EBC8}" name="KEGG pathway" dataDxfId="6"/>
    <tableColumn id="5" xr3:uid="{6F878C73-A751-434E-BADA-7DE739B4FB1E}" name="number of proteins in pathway and in cumulative ranked set" dataDxfId="5"/>
    <tableColumn id="6" xr3:uid="{C9F286D3-8232-469A-AEEB-BB3D96142187}" name="number of proteins in pathway but not in cumulative ranked set" dataDxfId="4">
      <calculatedColumnFormula>3</calculatedColumnFormula>
    </tableColumn>
    <tableColumn id="7" xr3:uid="{ED8183E5-54EF-4FBD-AE0F-7C6C4ABF7585}" name="number of proteins not in pathway but in cumulative ranked set" dataDxfId="3"/>
    <tableColumn id="8" xr3:uid="{1B6CC48D-5CBC-453E-BB85-ED4E9910F653}" name="number of proteins not in pathway and not in cumulative ranked set" dataDxfId="2">
      <calculatedColumnFormula>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calculatedColumnFormula>
    </tableColumn>
    <tableColumn id="12" xr3:uid="{A5FC7CA2-1070-415C-8C01-689058751000}" name="p-value" dataDxfId="1"/>
    <tableColumn id="13" xr3:uid="{BA6229DF-0262-4EC0-9A71-DCB57A1DC2AA}" name="adjusted p-valu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C652-EA94-4EC4-A9BC-B8FA9D74E78A}">
  <dimension ref="A1:B5"/>
  <sheetViews>
    <sheetView workbookViewId="0">
      <selection sqref="A1:B2"/>
    </sheetView>
  </sheetViews>
  <sheetFormatPr defaultRowHeight="14.4" x14ac:dyDescent="0.3"/>
  <cols>
    <col min="1" max="1" width="27.44140625" bestFit="1" customWidth="1"/>
    <col min="2" max="2" width="93.77734375" customWidth="1"/>
  </cols>
  <sheetData>
    <row r="1" spans="1:2" x14ac:dyDescent="0.3">
      <c r="A1" s="38" t="s">
        <v>5150</v>
      </c>
      <c r="B1" s="39" t="s">
        <v>5145</v>
      </c>
    </row>
    <row r="2" spans="1:2" ht="72" x14ac:dyDescent="0.3">
      <c r="A2" s="40" t="s">
        <v>5146</v>
      </c>
      <c r="B2" s="41" t="s">
        <v>5151</v>
      </c>
    </row>
    <row r="3" spans="1:2" ht="86.4" x14ac:dyDescent="0.3">
      <c r="A3" s="40" t="s">
        <v>5147</v>
      </c>
      <c r="B3" s="41" t="s">
        <v>5152</v>
      </c>
    </row>
    <row r="4" spans="1:2" ht="43.2" x14ac:dyDescent="0.3">
      <c r="A4" s="40" t="s">
        <v>5148</v>
      </c>
      <c r="B4" s="41" t="s">
        <v>5153</v>
      </c>
    </row>
    <row r="5" spans="1:2" ht="43.2" x14ac:dyDescent="0.3">
      <c r="A5" s="42" t="s">
        <v>5149</v>
      </c>
      <c r="B5" s="43" t="s">
        <v>5154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74"/>
  <sheetViews>
    <sheetView tabSelected="1" topLeftCell="E1" zoomScaleNormal="100" workbookViewId="0">
      <selection activeCell="T17" sqref="T17"/>
    </sheetView>
  </sheetViews>
  <sheetFormatPr defaultColWidth="8.88671875" defaultRowHeight="14.4" x14ac:dyDescent="0.3"/>
  <cols>
    <col min="1" max="1" width="11.109375" customWidth="1"/>
    <col min="2" max="2" width="55.5546875" customWidth="1"/>
    <col min="3" max="5" width="11.109375" customWidth="1"/>
    <col min="6" max="6" width="7.77734375" style="1" customWidth="1"/>
    <col min="7" max="8" width="11.109375" customWidth="1"/>
    <col min="9" max="11" width="7.77734375" customWidth="1"/>
    <col min="12" max="14" width="22.21875" customWidth="1"/>
    <col min="15" max="15" width="7.77734375" customWidth="1"/>
    <col min="16" max="16" width="11.109375" style="1" customWidth="1"/>
    <col min="17" max="20" width="11.109375" customWidth="1"/>
    <col min="21" max="21" width="11" customWidth="1"/>
  </cols>
  <sheetData>
    <row r="1" spans="1:21" ht="13.5" customHeight="1" x14ac:dyDescent="0.3">
      <c r="A1" s="3" t="s">
        <v>4990</v>
      </c>
      <c r="B1" s="3" t="s">
        <v>4995</v>
      </c>
      <c r="C1" s="3" t="s">
        <v>4991</v>
      </c>
      <c r="D1" s="3" t="s">
        <v>4992</v>
      </c>
      <c r="E1" s="3" t="s">
        <v>4993</v>
      </c>
      <c r="F1" s="4" t="s">
        <v>4996</v>
      </c>
      <c r="G1" s="3" t="s">
        <v>4994</v>
      </c>
      <c r="H1" s="3" t="s">
        <v>4997</v>
      </c>
      <c r="I1" s="3" t="s">
        <v>4998</v>
      </c>
      <c r="J1" s="3" t="s">
        <v>4999</v>
      </c>
      <c r="K1" s="3" t="s">
        <v>5000</v>
      </c>
      <c r="L1" s="3" t="s">
        <v>5001</v>
      </c>
      <c r="M1" s="3" t="s">
        <v>5002</v>
      </c>
      <c r="N1" s="3" t="s">
        <v>5003</v>
      </c>
      <c r="O1" s="3" t="s">
        <v>5004</v>
      </c>
      <c r="P1" s="4" t="s">
        <v>5005</v>
      </c>
      <c r="Q1" s="3" t="s">
        <v>5006</v>
      </c>
      <c r="R1" s="3" t="s">
        <v>5007</v>
      </c>
      <c r="S1" s="3" t="s">
        <v>5008</v>
      </c>
      <c r="T1" s="3" t="s">
        <v>5010</v>
      </c>
      <c r="U1" s="3" t="s">
        <v>5009</v>
      </c>
    </row>
    <row r="2" spans="1:21" ht="13.5" customHeight="1" x14ac:dyDescent="0.3">
      <c r="A2" s="5" t="s">
        <v>0</v>
      </c>
      <c r="B2" s="5" t="s">
        <v>1</v>
      </c>
      <c r="C2" s="5">
        <v>306</v>
      </c>
      <c r="D2" s="5">
        <v>306</v>
      </c>
      <c r="E2" s="5">
        <v>1</v>
      </c>
      <c r="F2" s="6">
        <v>106.61799999999999</v>
      </c>
      <c r="G2" s="7">
        <v>3.9360099999999999E-16</v>
      </c>
      <c r="H2" s="5">
        <v>106.62</v>
      </c>
      <c r="I2" s="5"/>
      <c r="J2" s="5">
        <v>1</v>
      </c>
      <c r="K2" s="5" t="s">
        <v>2</v>
      </c>
      <c r="L2" s="5" t="s">
        <v>3</v>
      </c>
      <c r="M2" s="5" t="s">
        <v>4</v>
      </c>
      <c r="N2" s="5" t="s">
        <v>5</v>
      </c>
      <c r="O2" s="5">
        <v>5</v>
      </c>
      <c r="P2" s="6">
        <v>10633000</v>
      </c>
      <c r="Q2" s="5">
        <v>550750</v>
      </c>
      <c r="R2" s="5">
        <v>10082000</v>
      </c>
      <c r="S2" s="5">
        <v>15.097</v>
      </c>
      <c r="T2" s="5">
        <f>LOG(Table2[[#This Row],[ratio heavy to light normalized]],2)</f>
        <v>3.9161899878071305</v>
      </c>
      <c r="U2" s="7">
        <v>1.23297425522555E-71</v>
      </c>
    </row>
    <row r="3" spans="1:21" ht="13.5" customHeight="1" x14ac:dyDescent="0.3">
      <c r="A3" s="5" t="s">
        <v>0</v>
      </c>
      <c r="B3" s="5" t="s">
        <v>1</v>
      </c>
      <c r="C3" s="5">
        <v>738</v>
      </c>
      <c r="D3" s="5">
        <v>738</v>
      </c>
      <c r="E3" s="5">
        <v>1</v>
      </c>
      <c r="F3" s="6">
        <v>94.465299999999999</v>
      </c>
      <c r="G3" s="7">
        <v>7.9532099999999996E-13</v>
      </c>
      <c r="H3" s="5">
        <v>94.465000000000003</v>
      </c>
      <c r="I3" s="5"/>
      <c r="J3" s="5">
        <v>1</v>
      </c>
      <c r="K3" s="5" t="s">
        <v>2</v>
      </c>
      <c r="L3" s="5" t="s">
        <v>6</v>
      </c>
      <c r="M3" s="5" t="s">
        <v>7</v>
      </c>
      <c r="N3" s="5" t="s">
        <v>8</v>
      </c>
      <c r="O3" s="5">
        <v>10</v>
      </c>
      <c r="P3" s="6">
        <v>5308600</v>
      </c>
      <c r="Q3" s="5">
        <v>238380</v>
      </c>
      <c r="R3" s="5">
        <v>5070200</v>
      </c>
      <c r="S3" s="5">
        <v>11.018000000000001</v>
      </c>
      <c r="T3" s="5">
        <f>LOG(Table2[[#This Row],[ratio heavy to light normalized]],2)</f>
        <v>3.4617904629030036</v>
      </c>
      <c r="U3" s="7">
        <v>7.9946337006275702E-35</v>
      </c>
    </row>
    <row r="4" spans="1:21" ht="13.5" customHeight="1" x14ac:dyDescent="0.3">
      <c r="A4" s="5" t="s">
        <v>30</v>
      </c>
      <c r="B4" s="5" t="s">
        <v>31</v>
      </c>
      <c r="C4" s="5">
        <v>13</v>
      </c>
      <c r="D4" s="5">
        <v>13</v>
      </c>
      <c r="E4" s="5">
        <v>1</v>
      </c>
      <c r="F4" s="6">
        <v>42.598599999999998</v>
      </c>
      <c r="G4" s="5">
        <v>6.4129599999999997E-3</v>
      </c>
      <c r="H4" s="5">
        <v>42.598999999999997</v>
      </c>
      <c r="I4" s="5"/>
      <c r="J4" s="5">
        <v>1</v>
      </c>
      <c r="K4" s="5" t="s">
        <v>2</v>
      </c>
      <c r="L4" s="5" t="s">
        <v>32</v>
      </c>
      <c r="M4" s="5" t="s">
        <v>33</v>
      </c>
      <c r="N4" s="5" t="s">
        <v>34</v>
      </c>
      <c r="O4" s="5">
        <v>4</v>
      </c>
      <c r="P4" s="6">
        <v>745360</v>
      </c>
      <c r="Q4" s="5">
        <v>73407</v>
      </c>
      <c r="R4" s="5">
        <v>671950</v>
      </c>
      <c r="S4" s="5">
        <v>8.1655999999999995</v>
      </c>
      <c r="T4" s="5">
        <f>LOG(Table2[[#This Row],[ratio heavy to light normalized]],2)</f>
        <v>3.0295588974491166</v>
      </c>
      <c r="U4" s="7">
        <v>4.0438701941020302E-13</v>
      </c>
    </row>
    <row r="5" spans="1:21" ht="13.5" customHeight="1" x14ac:dyDescent="0.3">
      <c r="A5" s="5" t="s">
        <v>71</v>
      </c>
      <c r="B5" s="5" t="s">
        <v>72</v>
      </c>
      <c r="C5" s="5">
        <v>60</v>
      </c>
      <c r="D5" s="5">
        <v>60</v>
      </c>
      <c r="E5" s="5">
        <v>1</v>
      </c>
      <c r="F5" s="6">
        <v>66.325000000000003</v>
      </c>
      <c r="G5" s="7">
        <v>6.4162699999999995E-14</v>
      </c>
      <c r="H5" s="5">
        <v>66.325000000000003</v>
      </c>
      <c r="I5" s="5"/>
      <c r="J5" s="5">
        <v>1</v>
      </c>
      <c r="K5" s="5" t="s">
        <v>2</v>
      </c>
      <c r="L5" s="5" t="s">
        <v>73</v>
      </c>
      <c r="M5" s="5" t="s">
        <v>74</v>
      </c>
      <c r="N5" s="5" t="s">
        <v>75</v>
      </c>
      <c r="O5" s="5">
        <v>8</v>
      </c>
      <c r="P5" s="6">
        <v>1242000</v>
      </c>
      <c r="Q5" s="5">
        <v>122100</v>
      </c>
      <c r="R5" s="5">
        <v>1119900</v>
      </c>
      <c r="S5" s="5">
        <v>3.9268000000000001</v>
      </c>
      <c r="T5" s="5">
        <f>LOG(Table2[[#This Row],[ratio heavy to light normalized]],2)</f>
        <v>1.9733541204499441</v>
      </c>
      <c r="U5" s="7">
        <v>1.04780769773397E-6</v>
      </c>
    </row>
    <row r="6" spans="1:21" ht="13.5" customHeight="1" x14ac:dyDescent="0.3">
      <c r="A6" s="5" t="s">
        <v>35</v>
      </c>
      <c r="B6" s="5" t="s">
        <v>36</v>
      </c>
      <c r="C6" s="5">
        <v>420</v>
      </c>
      <c r="D6" s="5">
        <v>420</v>
      </c>
      <c r="E6" s="5">
        <v>1</v>
      </c>
      <c r="F6" s="6">
        <v>86.624300000000005</v>
      </c>
      <c r="G6" s="7">
        <v>1.22938E-8</v>
      </c>
      <c r="H6" s="5">
        <v>86.623999999999995</v>
      </c>
      <c r="I6" s="5"/>
      <c r="J6" s="5">
        <v>1</v>
      </c>
      <c r="K6" s="5" t="s">
        <v>2</v>
      </c>
      <c r="L6" s="5" t="s">
        <v>37</v>
      </c>
      <c r="M6" s="5" t="s">
        <v>38</v>
      </c>
      <c r="N6" s="5" t="s">
        <v>39</v>
      </c>
      <c r="O6" s="5">
        <v>6</v>
      </c>
      <c r="P6" s="6">
        <v>1951600</v>
      </c>
      <c r="Q6" s="5">
        <v>422840</v>
      </c>
      <c r="R6" s="5">
        <v>1528700</v>
      </c>
      <c r="S6" s="5">
        <v>3.9137</v>
      </c>
      <c r="T6" s="5">
        <f>LOG(Table2[[#This Row],[ratio heavy to light normalized]],2)</f>
        <v>1.9685331721374166</v>
      </c>
      <c r="U6" s="7">
        <v>7.17504300418017E-13</v>
      </c>
    </row>
    <row r="7" spans="1:21" ht="13.5" customHeight="1" x14ac:dyDescent="0.3">
      <c r="A7" s="5" t="s">
        <v>20</v>
      </c>
      <c r="B7" s="5" t="s">
        <v>21</v>
      </c>
      <c r="C7" s="5">
        <v>285</v>
      </c>
      <c r="D7" s="5">
        <v>285</v>
      </c>
      <c r="E7" s="5">
        <v>1</v>
      </c>
      <c r="F7" s="6">
        <v>91.857699999999994</v>
      </c>
      <c r="G7" s="7">
        <v>6.6498499999999993E-83</v>
      </c>
      <c r="H7" s="5">
        <v>180.2</v>
      </c>
      <c r="I7" s="5" t="s">
        <v>11</v>
      </c>
      <c r="J7" s="5">
        <v>1</v>
      </c>
      <c r="K7" s="5" t="s">
        <v>2</v>
      </c>
      <c r="L7" s="5" t="s">
        <v>22</v>
      </c>
      <c r="M7" s="5" t="s">
        <v>23</v>
      </c>
      <c r="N7" s="5" t="s">
        <v>24</v>
      </c>
      <c r="O7" s="5">
        <v>4</v>
      </c>
      <c r="P7" s="6">
        <v>21950000</v>
      </c>
      <c r="Q7" s="5">
        <v>4297400</v>
      </c>
      <c r="R7" s="5">
        <v>17653000</v>
      </c>
      <c r="S7" s="5">
        <v>3.6541000000000001</v>
      </c>
      <c r="T7" s="5">
        <f>LOG(Table2[[#This Row],[ratio heavy to light normalized]],2)</f>
        <v>1.8695161160480491</v>
      </c>
      <c r="U7" s="7">
        <v>1.7718911099890899E-18</v>
      </c>
    </row>
    <row r="8" spans="1:21" ht="13.5" customHeight="1" x14ac:dyDescent="0.3">
      <c r="A8" s="5" t="s">
        <v>20</v>
      </c>
      <c r="B8" s="5" t="s">
        <v>21</v>
      </c>
      <c r="C8" s="5">
        <v>386</v>
      </c>
      <c r="D8" s="5">
        <v>386</v>
      </c>
      <c r="E8" s="5">
        <v>1</v>
      </c>
      <c r="F8" s="6">
        <v>87.181200000000004</v>
      </c>
      <c r="G8" s="7">
        <v>2.7190299999999999E-10</v>
      </c>
      <c r="H8" s="5">
        <v>87.180999999999997</v>
      </c>
      <c r="I8" s="5"/>
      <c r="J8" s="5">
        <v>1</v>
      </c>
      <c r="K8" s="5" t="s">
        <v>2</v>
      </c>
      <c r="L8" s="5" t="s">
        <v>40</v>
      </c>
      <c r="M8" s="5" t="s">
        <v>41</v>
      </c>
      <c r="N8" s="5" t="s">
        <v>42</v>
      </c>
      <c r="O8" s="5">
        <v>3</v>
      </c>
      <c r="P8" s="6">
        <v>2089600</v>
      </c>
      <c r="Q8" s="5">
        <v>468860</v>
      </c>
      <c r="R8" s="5">
        <v>1620800</v>
      </c>
      <c r="S8" s="5">
        <v>3.5308999999999999</v>
      </c>
      <c r="T8" s="5">
        <f>LOG(Table2[[#This Row],[ratio heavy to light normalized]],2)</f>
        <v>1.8200359625455378</v>
      </c>
      <c r="U8" s="7">
        <v>2.6375868359907699E-11</v>
      </c>
    </row>
    <row r="9" spans="1:21" ht="13.5" customHeight="1" x14ac:dyDescent="0.3">
      <c r="A9" s="5" t="s">
        <v>25</v>
      </c>
      <c r="B9" s="5" t="s">
        <v>26</v>
      </c>
      <c r="C9" s="5">
        <v>284</v>
      </c>
      <c r="D9" s="5">
        <v>284</v>
      </c>
      <c r="E9" s="5">
        <v>1</v>
      </c>
      <c r="F9" s="6">
        <v>85.958100000000002</v>
      </c>
      <c r="G9" s="7">
        <v>1.57781E-8</v>
      </c>
      <c r="H9" s="5">
        <v>85.957999999999998</v>
      </c>
      <c r="I9" s="5"/>
      <c r="J9" s="5">
        <v>1</v>
      </c>
      <c r="K9" s="5" t="s">
        <v>2</v>
      </c>
      <c r="L9" s="5" t="s">
        <v>27</v>
      </c>
      <c r="M9" s="5" t="s">
        <v>28</v>
      </c>
      <c r="N9" s="5" t="s">
        <v>29</v>
      </c>
      <c r="O9" s="5">
        <v>6</v>
      </c>
      <c r="P9" s="6">
        <v>4143500</v>
      </c>
      <c r="Q9" s="5">
        <v>600870</v>
      </c>
      <c r="R9" s="5">
        <v>3542600</v>
      </c>
      <c r="S9" s="5">
        <v>3.4790000000000001</v>
      </c>
      <c r="T9" s="5">
        <f>LOG(Table2[[#This Row],[ratio heavy to light normalized]],2)</f>
        <v>1.7986726789578036</v>
      </c>
      <c r="U9" s="7">
        <v>2.79020833474045E-17</v>
      </c>
    </row>
    <row r="10" spans="1:21" ht="13.5" customHeight="1" x14ac:dyDescent="0.3">
      <c r="A10" s="5" t="s">
        <v>20</v>
      </c>
      <c r="B10" s="5" t="s">
        <v>21</v>
      </c>
      <c r="C10" s="5">
        <v>35</v>
      </c>
      <c r="D10" s="5">
        <v>35</v>
      </c>
      <c r="E10" s="5">
        <v>1</v>
      </c>
      <c r="F10" s="6">
        <v>56.851399999999998</v>
      </c>
      <c r="G10" s="7">
        <v>6.5682799999999996E-8</v>
      </c>
      <c r="H10" s="5">
        <v>56.850999999999999</v>
      </c>
      <c r="I10" s="5"/>
      <c r="J10" s="5">
        <v>1</v>
      </c>
      <c r="K10" s="5" t="s">
        <v>2</v>
      </c>
      <c r="L10" s="5" t="s">
        <v>53</v>
      </c>
      <c r="M10" s="5" t="s">
        <v>54</v>
      </c>
      <c r="N10" s="5" t="s">
        <v>55</v>
      </c>
      <c r="O10" s="5">
        <v>16</v>
      </c>
      <c r="P10" s="6">
        <v>1623900</v>
      </c>
      <c r="Q10" s="5">
        <v>605550</v>
      </c>
      <c r="R10" s="5">
        <v>1018400</v>
      </c>
      <c r="S10" s="5">
        <v>2.7360000000000002</v>
      </c>
      <c r="T10" s="5">
        <f>LOG(Table2[[#This Row],[ratio heavy to light normalized]],2)</f>
        <v>1.452068230223811</v>
      </c>
      <c r="U10" s="7">
        <v>6.6499424333493106E-8</v>
      </c>
    </row>
    <row r="11" spans="1:21" ht="13.5" customHeight="1" x14ac:dyDescent="0.3">
      <c r="A11" s="5" t="s">
        <v>66</v>
      </c>
      <c r="B11" s="5" t="s">
        <v>67</v>
      </c>
      <c r="C11" s="5">
        <v>60</v>
      </c>
      <c r="D11" s="5">
        <v>60</v>
      </c>
      <c r="E11" s="5">
        <v>1</v>
      </c>
      <c r="F11" s="6">
        <v>76.118399999999994</v>
      </c>
      <c r="G11" s="7">
        <v>7.4701199999999997E-19</v>
      </c>
      <c r="H11" s="5">
        <v>76.117999999999995</v>
      </c>
      <c r="I11" s="5"/>
      <c r="J11" s="5">
        <v>1</v>
      </c>
      <c r="K11" s="5" t="s">
        <v>2</v>
      </c>
      <c r="L11" s="5" t="s">
        <v>68</v>
      </c>
      <c r="M11" s="5" t="s">
        <v>69</v>
      </c>
      <c r="N11" s="5" t="s">
        <v>70</v>
      </c>
      <c r="O11" s="5">
        <v>8</v>
      </c>
      <c r="P11" s="6">
        <v>2584200</v>
      </c>
      <c r="Q11" s="5">
        <v>607460</v>
      </c>
      <c r="R11" s="5">
        <v>1976800</v>
      </c>
      <c r="S11" s="5">
        <v>2.5283000000000002</v>
      </c>
      <c r="T11" s="5">
        <f>LOG(Table2[[#This Row],[ratio heavy to light normalized]],2)</f>
        <v>1.3381676592560814</v>
      </c>
      <c r="U11" s="7">
        <v>5.4777366655112003E-7</v>
      </c>
    </row>
    <row r="12" spans="1:21" ht="13.5" customHeight="1" x14ac:dyDescent="0.3">
      <c r="A12" s="5" t="s">
        <v>81</v>
      </c>
      <c r="B12" s="5" t="s">
        <v>82</v>
      </c>
      <c r="C12" s="5">
        <v>314</v>
      </c>
      <c r="D12" s="5">
        <v>314</v>
      </c>
      <c r="E12" s="5">
        <v>1</v>
      </c>
      <c r="F12" s="6">
        <v>50.827300000000001</v>
      </c>
      <c r="G12" s="7">
        <v>3.35195E-7</v>
      </c>
      <c r="H12" s="5">
        <v>50.826999999999998</v>
      </c>
      <c r="I12" s="5" t="s">
        <v>11</v>
      </c>
      <c r="J12" s="5">
        <v>1</v>
      </c>
      <c r="K12" s="5" t="s">
        <v>2</v>
      </c>
      <c r="L12" s="5" t="s">
        <v>104</v>
      </c>
      <c r="M12" s="5" t="s">
        <v>105</v>
      </c>
      <c r="N12" s="5" t="s">
        <v>106</v>
      </c>
      <c r="O12" s="5">
        <v>3</v>
      </c>
      <c r="P12" s="6">
        <v>1899400</v>
      </c>
      <c r="Q12" s="5">
        <v>770000</v>
      </c>
      <c r="R12" s="5">
        <v>1129400</v>
      </c>
      <c r="S12" s="5">
        <v>2.0686</v>
      </c>
      <c r="T12" s="5">
        <f>LOG(Table2[[#This Row],[ratio heavy to light normalized]],2)</f>
        <v>1.0486547018403465</v>
      </c>
      <c r="U12" s="7">
        <v>5.9852629379840998E-5</v>
      </c>
    </row>
    <row r="13" spans="1:21" ht="13.5" customHeight="1" x14ac:dyDescent="0.3">
      <c r="A13" s="5" t="s">
        <v>238</v>
      </c>
      <c r="B13" s="5" t="s">
        <v>239</v>
      </c>
      <c r="C13" s="5">
        <v>214</v>
      </c>
      <c r="D13" s="5">
        <v>214</v>
      </c>
      <c r="E13" s="5">
        <v>1</v>
      </c>
      <c r="F13" s="6">
        <v>74.162000000000006</v>
      </c>
      <c r="G13" s="7">
        <v>3.2491199999999998E-5</v>
      </c>
      <c r="H13" s="5">
        <v>74.162000000000006</v>
      </c>
      <c r="I13" s="5" t="s">
        <v>11</v>
      </c>
      <c r="J13" s="5">
        <v>1</v>
      </c>
      <c r="K13" s="5" t="s">
        <v>2</v>
      </c>
      <c r="L13" s="5" t="s">
        <v>240</v>
      </c>
      <c r="M13" s="5" t="s">
        <v>241</v>
      </c>
      <c r="N13" s="5" t="s">
        <v>242</v>
      </c>
      <c r="O13" s="5">
        <v>5</v>
      </c>
      <c r="P13" s="6">
        <v>892970</v>
      </c>
      <c r="Q13" s="5">
        <v>418180</v>
      </c>
      <c r="R13" s="5">
        <v>474790</v>
      </c>
      <c r="S13" s="5">
        <v>1.93</v>
      </c>
      <c r="T13" s="5">
        <f>LOG(Table2[[#This Row],[ratio heavy to light normalized]],2)</f>
        <v>0.94860084749335571</v>
      </c>
      <c r="U13" s="5">
        <v>9.8395050841204694E-3</v>
      </c>
    </row>
    <row r="14" spans="1:21" ht="13.5" customHeight="1" x14ac:dyDescent="0.3">
      <c r="A14" s="5" t="s">
        <v>56</v>
      </c>
      <c r="B14" s="5" t="s">
        <v>57</v>
      </c>
      <c r="C14" s="5">
        <v>128</v>
      </c>
      <c r="D14" s="5">
        <v>128</v>
      </c>
      <c r="E14" s="5">
        <v>0.98052099999999998</v>
      </c>
      <c r="F14" s="6">
        <v>17.018999999999998</v>
      </c>
      <c r="G14" s="5">
        <v>0.32433099999999998</v>
      </c>
      <c r="H14" s="5">
        <v>23.456</v>
      </c>
      <c r="I14" s="5"/>
      <c r="J14" s="5">
        <v>1</v>
      </c>
      <c r="K14" s="5" t="s">
        <v>2</v>
      </c>
      <c r="L14" s="5" t="s">
        <v>58</v>
      </c>
      <c r="M14" s="5" t="s">
        <v>59</v>
      </c>
      <c r="N14" s="5" t="s">
        <v>60</v>
      </c>
      <c r="O14" s="5">
        <v>11</v>
      </c>
      <c r="P14" s="6">
        <v>1993400</v>
      </c>
      <c r="Q14" s="5">
        <v>1214100</v>
      </c>
      <c r="R14" s="5">
        <v>779310</v>
      </c>
      <c r="S14" s="5">
        <v>0.21859000000000001</v>
      </c>
      <c r="T14" s="5">
        <f>LOG(Table2[[#This Row],[ratio heavy to light normalized]],2)</f>
        <v>-2.1937006924155327</v>
      </c>
      <c r="U14" s="7">
        <v>1.13255140966352E-7</v>
      </c>
    </row>
    <row r="15" spans="1:21" ht="13.5" customHeight="1" x14ac:dyDescent="0.3">
      <c r="A15" s="5" t="s">
        <v>248</v>
      </c>
      <c r="B15" s="5" t="s">
        <v>249</v>
      </c>
      <c r="C15" s="5">
        <v>431</v>
      </c>
      <c r="D15" s="5">
        <v>431</v>
      </c>
      <c r="E15" s="5">
        <v>1</v>
      </c>
      <c r="F15" s="6">
        <v>47.531700000000001</v>
      </c>
      <c r="G15" s="5">
        <v>3.56418E-4</v>
      </c>
      <c r="H15" s="5">
        <v>47.531999999999996</v>
      </c>
      <c r="I15" s="5" t="s">
        <v>11</v>
      </c>
      <c r="J15" s="5">
        <v>1</v>
      </c>
      <c r="K15" s="5" t="s">
        <v>2</v>
      </c>
      <c r="L15" s="5" t="s">
        <v>250</v>
      </c>
      <c r="M15" s="5" t="s">
        <v>251</v>
      </c>
      <c r="N15" s="5" t="s">
        <v>252</v>
      </c>
      <c r="O15" s="5">
        <v>13</v>
      </c>
      <c r="P15" s="6">
        <v>624000</v>
      </c>
      <c r="Q15" s="5">
        <v>195350</v>
      </c>
      <c r="R15" s="5">
        <v>428650</v>
      </c>
      <c r="S15" s="5">
        <v>1.9184000000000001</v>
      </c>
      <c r="T15" s="5">
        <f>LOG(Table2[[#This Row],[ratio heavy to light normalized]],2)</f>
        <v>0.93990356386477425</v>
      </c>
      <c r="U15" s="5">
        <v>1.0410432335717E-2</v>
      </c>
    </row>
    <row r="16" spans="1:21" ht="13.5" customHeight="1" x14ac:dyDescent="0.3">
      <c r="A16" s="5" t="s">
        <v>81</v>
      </c>
      <c r="B16" s="5" t="s">
        <v>82</v>
      </c>
      <c r="C16" s="5">
        <v>130</v>
      </c>
      <c r="D16" s="5">
        <v>130</v>
      </c>
      <c r="E16" s="5">
        <v>1</v>
      </c>
      <c r="F16" s="6">
        <v>64.819999999999993</v>
      </c>
      <c r="G16" s="7">
        <v>8.9691200000000003E-8</v>
      </c>
      <c r="H16" s="5">
        <v>81.864999999999995</v>
      </c>
      <c r="I16" s="5" t="s">
        <v>11</v>
      </c>
      <c r="J16" s="5">
        <v>1</v>
      </c>
      <c r="K16" s="5" t="s">
        <v>2</v>
      </c>
      <c r="L16" s="5" t="s">
        <v>83</v>
      </c>
      <c r="M16" s="5" t="s">
        <v>84</v>
      </c>
      <c r="N16" s="5" t="s">
        <v>85</v>
      </c>
      <c r="O16" s="5">
        <v>5</v>
      </c>
      <c r="P16" s="6">
        <v>2921000</v>
      </c>
      <c r="Q16" s="5">
        <v>1161600</v>
      </c>
      <c r="R16" s="5">
        <v>1759400</v>
      </c>
      <c r="S16" s="5">
        <v>1.9051</v>
      </c>
      <c r="T16" s="5">
        <f>LOG(Table2[[#This Row],[ratio heavy to light normalized]],2)</f>
        <v>0.92986672775409362</v>
      </c>
      <c r="U16" s="7">
        <v>4.6314471174870803E-6</v>
      </c>
    </row>
    <row r="17" spans="1:21" ht="13.5" customHeight="1" x14ac:dyDescent="0.3">
      <c r="A17" s="5" t="s">
        <v>20</v>
      </c>
      <c r="B17" s="5" t="s">
        <v>21</v>
      </c>
      <c r="C17" s="5">
        <v>220</v>
      </c>
      <c r="D17" s="5">
        <v>220</v>
      </c>
      <c r="E17" s="5">
        <v>1</v>
      </c>
      <c r="F17" s="6">
        <v>36.467199999999998</v>
      </c>
      <c r="G17" s="5">
        <v>1.4907700000000001E-4</v>
      </c>
      <c r="H17" s="5">
        <v>36.466999999999999</v>
      </c>
      <c r="I17" s="5"/>
      <c r="J17" s="5">
        <v>1</v>
      </c>
      <c r="K17" s="5" t="s">
        <v>2</v>
      </c>
      <c r="L17" s="5" t="s">
        <v>131</v>
      </c>
      <c r="M17" s="5" t="s">
        <v>132</v>
      </c>
      <c r="N17" s="5" t="s">
        <v>133</v>
      </c>
      <c r="O17" s="5">
        <v>10</v>
      </c>
      <c r="P17" s="6">
        <v>2951300</v>
      </c>
      <c r="Q17" s="5">
        <v>543010</v>
      </c>
      <c r="R17" s="5">
        <v>2408300</v>
      </c>
      <c r="S17" s="5">
        <v>1.8675999999999999</v>
      </c>
      <c r="T17" s="5">
        <f>LOG(Table2[[#This Row],[ratio heavy to light normalized]],2)</f>
        <v>0.9011854936927397</v>
      </c>
      <c r="U17" s="5">
        <v>4.5425981518998999E-4</v>
      </c>
    </row>
    <row r="18" spans="1:21" ht="13.5" customHeight="1" x14ac:dyDescent="0.3">
      <c r="A18" s="5" t="s">
        <v>126</v>
      </c>
      <c r="B18" s="5" t="s">
        <v>127</v>
      </c>
      <c r="C18" s="5">
        <v>284</v>
      </c>
      <c r="D18" s="5">
        <v>284</v>
      </c>
      <c r="E18" s="5">
        <v>1</v>
      </c>
      <c r="F18" s="6">
        <v>63.290300000000002</v>
      </c>
      <c r="G18" s="7">
        <v>1.6900999999999999E-14</v>
      </c>
      <c r="H18" s="5">
        <v>89.43</v>
      </c>
      <c r="I18" s="5" t="s">
        <v>11</v>
      </c>
      <c r="J18" s="5">
        <v>1</v>
      </c>
      <c r="K18" s="5" t="s">
        <v>2</v>
      </c>
      <c r="L18" s="5" t="s">
        <v>134</v>
      </c>
      <c r="M18" s="5" t="s">
        <v>135</v>
      </c>
      <c r="N18" s="5" t="s">
        <v>136</v>
      </c>
      <c r="O18" s="5">
        <v>8</v>
      </c>
      <c r="P18" s="6">
        <v>2087800</v>
      </c>
      <c r="Q18" s="5">
        <v>822220</v>
      </c>
      <c r="R18" s="5">
        <v>1265600</v>
      </c>
      <c r="S18" s="5">
        <v>1.8584000000000001</v>
      </c>
      <c r="T18" s="5">
        <f>LOG(Table2[[#This Row],[ratio heavy to light normalized]],2)</f>
        <v>0.8940610592593583</v>
      </c>
      <c r="U18" s="5">
        <v>4.9791185972661799E-4</v>
      </c>
    </row>
    <row r="19" spans="1:21" ht="13.5" customHeight="1" x14ac:dyDescent="0.3">
      <c r="A19" s="5" t="s">
        <v>308</v>
      </c>
      <c r="B19" s="5" t="s">
        <v>309</v>
      </c>
      <c r="C19" s="5">
        <v>172</v>
      </c>
      <c r="D19" s="5">
        <v>172</v>
      </c>
      <c r="E19" s="5">
        <v>1</v>
      </c>
      <c r="F19" s="6">
        <v>56.569099999999999</v>
      </c>
      <c r="G19" s="7">
        <v>3.85369E-5</v>
      </c>
      <c r="H19" s="5">
        <v>56.569000000000003</v>
      </c>
      <c r="I19" s="5" t="s">
        <v>11</v>
      </c>
      <c r="J19" s="5">
        <v>1</v>
      </c>
      <c r="K19" s="5" t="s">
        <v>2</v>
      </c>
      <c r="L19" s="5" t="s">
        <v>310</v>
      </c>
      <c r="M19" s="5" t="s">
        <v>311</v>
      </c>
      <c r="N19" s="5" t="s">
        <v>312</v>
      </c>
      <c r="O19" s="5">
        <v>7</v>
      </c>
      <c r="P19" s="6">
        <v>928710</v>
      </c>
      <c r="Q19" s="5">
        <v>371220</v>
      </c>
      <c r="R19" s="5">
        <v>557500</v>
      </c>
      <c r="S19" s="5">
        <v>1.8209</v>
      </c>
      <c r="T19" s="5">
        <f>LOG(Table2[[#This Row],[ratio heavy to light normalized]],2)</f>
        <v>0.86465169471150827</v>
      </c>
      <c r="U19" s="5">
        <v>1.6715051661136002E-2</v>
      </c>
    </row>
    <row r="20" spans="1:21" ht="13.5" customHeight="1" x14ac:dyDescent="0.3">
      <c r="A20" s="5" t="s">
        <v>313</v>
      </c>
      <c r="B20" s="5" t="s">
        <v>314</v>
      </c>
      <c r="C20" s="5">
        <v>119</v>
      </c>
      <c r="D20" s="5">
        <v>119</v>
      </c>
      <c r="E20" s="5">
        <v>1</v>
      </c>
      <c r="F20" s="6">
        <v>36.846899999999998</v>
      </c>
      <c r="G20" s="5">
        <v>3.6671799999999998E-4</v>
      </c>
      <c r="H20" s="5">
        <v>59.35</v>
      </c>
      <c r="I20" s="5" t="s">
        <v>11</v>
      </c>
      <c r="J20" s="5">
        <v>1</v>
      </c>
      <c r="K20" s="5" t="s">
        <v>2</v>
      </c>
      <c r="L20" s="5" t="s">
        <v>315</v>
      </c>
      <c r="M20" s="5" t="s">
        <v>316</v>
      </c>
      <c r="N20" s="5" t="s">
        <v>317</v>
      </c>
      <c r="O20" s="5">
        <v>2</v>
      </c>
      <c r="P20" s="6">
        <v>352160</v>
      </c>
      <c r="Q20" s="5">
        <v>185910</v>
      </c>
      <c r="R20" s="5">
        <v>166250</v>
      </c>
      <c r="S20" s="5">
        <v>1.8156000000000001</v>
      </c>
      <c r="T20" s="5">
        <f>LOG(Table2[[#This Row],[ratio heavy to light normalized]],2)</f>
        <v>0.86044639338844409</v>
      </c>
      <c r="U20" s="5">
        <v>1.7150114750911601E-2</v>
      </c>
    </row>
    <row r="21" spans="1:21" ht="13.5" customHeight="1" x14ac:dyDescent="0.3">
      <c r="A21" s="5" t="s">
        <v>81</v>
      </c>
      <c r="B21" s="5" t="s">
        <v>82</v>
      </c>
      <c r="C21" s="5">
        <v>48</v>
      </c>
      <c r="D21" s="5">
        <v>48</v>
      </c>
      <c r="E21" s="5">
        <v>1</v>
      </c>
      <c r="F21" s="6">
        <v>116.233</v>
      </c>
      <c r="G21" s="7">
        <v>2.0996499999999999E-21</v>
      </c>
      <c r="H21" s="5">
        <v>116.23</v>
      </c>
      <c r="I21" s="5"/>
      <c r="J21" s="5">
        <v>1</v>
      </c>
      <c r="K21" s="5" t="s">
        <v>2</v>
      </c>
      <c r="L21" s="5" t="s">
        <v>101</v>
      </c>
      <c r="M21" s="5" t="s">
        <v>102</v>
      </c>
      <c r="N21" s="5" t="s">
        <v>103</v>
      </c>
      <c r="O21" s="5">
        <v>9</v>
      </c>
      <c r="P21" s="6">
        <v>4858400</v>
      </c>
      <c r="Q21" s="5">
        <v>1847000</v>
      </c>
      <c r="R21" s="5">
        <v>3011300</v>
      </c>
      <c r="S21" s="5">
        <v>1.7824</v>
      </c>
      <c r="T21" s="5">
        <f>LOG(Table2[[#This Row],[ratio heavy to light normalized]],2)</f>
        <v>0.83382113779058242</v>
      </c>
      <c r="U21" s="7">
        <v>3.2881070480995801E-5</v>
      </c>
    </row>
    <row r="22" spans="1:21" ht="13.5" customHeight="1" x14ac:dyDescent="0.3">
      <c r="A22" s="5" t="s">
        <v>357</v>
      </c>
      <c r="B22" s="5" t="s">
        <v>358</v>
      </c>
      <c r="C22" s="5">
        <v>34</v>
      </c>
      <c r="D22" s="5">
        <v>34</v>
      </c>
      <c r="E22" s="5">
        <v>1</v>
      </c>
      <c r="F22" s="6">
        <v>48.883400000000002</v>
      </c>
      <c r="G22" s="7">
        <v>1.6903200000000001E-5</v>
      </c>
      <c r="H22" s="5">
        <v>48.883000000000003</v>
      </c>
      <c r="I22" s="5"/>
      <c r="J22" s="5">
        <v>1</v>
      </c>
      <c r="K22" s="5" t="s">
        <v>2</v>
      </c>
      <c r="L22" s="5" t="s">
        <v>359</v>
      </c>
      <c r="M22" s="5" t="s">
        <v>360</v>
      </c>
      <c r="N22" s="5" t="s">
        <v>361</v>
      </c>
      <c r="O22" s="5">
        <v>14</v>
      </c>
      <c r="P22" s="6">
        <v>520770</v>
      </c>
      <c r="Q22" s="5">
        <v>228920</v>
      </c>
      <c r="R22" s="5">
        <v>291850</v>
      </c>
      <c r="S22" s="5">
        <v>1.7312000000000001</v>
      </c>
      <c r="T22" s="5">
        <f>LOG(Table2[[#This Row],[ratio heavy to light normalized]],2)</f>
        <v>0.79177240427736595</v>
      </c>
      <c r="U22" s="5">
        <v>2.57959254485601E-2</v>
      </c>
    </row>
    <row r="23" spans="1:21" ht="13.5" customHeight="1" x14ac:dyDescent="0.3">
      <c r="A23" s="5" t="s">
        <v>233</v>
      </c>
      <c r="B23" s="5" t="s">
        <v>234</v>
      </c>
      <c r="C23" s="5">
        <v>425</v>
      </c>
      <c r="D23" s="5">
        <v>425</v>
      </c>
      <c r="E23" s="5">
        <v>1</v>
      </c>
      <c r="F23" s="6">
        <v>76.759299999999996</v>
      </c>
      <c r="G23" s="7">
        <v>3.2154000000000001E-13</v>
      </c>
      <c r="H23" s="5">
        <v>76.759</v>
      </c>
      <c r="I23" s="5"/>
      <c r="J23" s="5">
        <v>1</v>
      </c>
      <c r="K23" s="5" t="s">
        <v>2</v>
      </c>
      <c r="L23" s="5" t="s">
        <v>362</v>
      </c>
      <c r="M23" s="5" t="s">
        <v>363</v>
      </c>
      <c r="N23" s="5" t="s">
        <v>364</v>
      </c>
      <c r="O23" s="5">
        <v>9</v>
      </c>
      <c r="P23" s="6">
        <v>707530</v>
      </c>
      <c r="Q23" s="5">
        <v>329780</v>
      </c>
      <c r="R23" s="5">
        <v>377750</v>
      </c>
      <c r="S23" s="5">
        <v>1.7246999999999999</v>
      </c>
      <c r="T23" s="5">
        <f>LOG(Table2[[#This Row],[ratio heavy to light normalized]],2)</f>
        <v>0.78634543658521039</v>
      </c>
      <c r="U23" s="5">
        <v>2.6617326465074601E-2</v>
      </c>
    </row>
    <row r="24" spans="1:21" ht="13.5" customHeight="1" x14ac:dyDescent="0.3">
      <c r="A24" s="5" t="s">
        <v>155</v>
      </c>
      <c r="B24" s="5" t="s">
        <v>156</v>
      </c>
      <c r="C24" s="5">
        <v>272</v>
      </c>
      <c r="D24" s="5">
        <v>272</v>
      </c>
      <c r="E24" s="5">
        <v>1</v>
      </c>
      <c r="F24" s="6">
        <v>13.406700000000001</v>
      </c>
      <c r="G24" s="5">
        <v>9.7671400000000005E-3</v>
      </c>
      <c r="H24" s="5">
        <v>45.914999999999999</v>
      </c>
      <c r="I24" s="5"/>
      <c r="J24" s="5">
        <v>1</v>
      </c>
      <c r="K24" s="5" t="s">
        <v>2</v>
      </c>
      <c r="L24" s="5" t="s">
        <v>157</v>
      </c>
      <c r="M24" s="5" t="s">
        <v>158</v>
      </c>
      <c r="N24" s="5" t="s">
        <v>159</v>
      </c>
      <c r="O24" s="5">
        <v>8</v>
      </c>
      <c r="P24" s="6">
        <v>1103200</v>
      </c>
      <c r="Q24" s="5">
        <v>369820</v>
      </c>
      <c r="R24" s="5">
        <v>733390</v>
      </c>
      <c r="S24" s="5">
        <v>1.7186999999999999</v>
      </c>
      <c r="T24" s="5">
        <f>LOG(Table2[[#This Row],[ratio heavy to light normalized]],2)</f>
        <v>0.7813177436039046</v>
      </c>
      <c r="U24" s="5">
        <v>1.9731079846249701E-3</v>
      </c>
    </row>
    <row r="25" spans="1:21" ht="13.5" customHeight="1" x14ac:dyDescent="0.3">
      <c r="A25" s="5" t="s">
        <v>107</v>
      </c>
      <c r="B25" s="5" t="s">
        <v>108</v>
      </c>
      <c r="C25" s="5">
        <v>215</v>
      </c>
      <c r="D25" s="5">
        <v>215</v>
      </c>
      <c r="E25" s="5">
        <v>1</v>
      </c>
      <c r="F25" s="6">
        <v>26.383900000000001</v>
      </c>
      <c r="G25" s="5">
        <v>0.44686300000000001</v>
      </c>
      <c r="H25" s="5">
        <v>26.384</v>
      </c>
      <c r="I25" s="5" t="s">
        <v>11</v>
      </c>
      <c r="J25" s="5">
        <v>1</v>
      </c>
      <c r="K25" s="5" t="s">
        <v>2</v>
      </c>
      <c r="L25" s="5" t="s">
        <v>109</v>
      </c>
      <c r="M25" s="5" t="s">
        <v>110</v>
      </c>
      <c r="N25" s="5" t="s">
        <v>111</v>
      </c>
      <c r="O25" s="5">
        <v>4</v>
      </c>
      <c r="P25" s="6">
        <v>207000</v>
      </c>
      <c r="Q25" s="5">
        <v>131820</v>
      </c>
      <c r="R25" s="5">
        <v>75181</v>
      </c>
      <c r="S25" s="5">
        <v>0.29593000000000003</v>
      </c>
      <c r="T25" s="5">
        <f>LOG(Table2[[#This Row],[ratio heavy to light normalized]],2)</f>
        <v>-1.7566721372627689</v>
      </c>
      <c r="U25" s="7">
        <v>8.4083746181999396E-5</v>
      </c>
    </row>
    <row r="26" spans="1:21" ht="13.5" customHeight="1" x14ac:dyDescent="0.3">
      <c r="A26" s="5" t="s">
        <v>160</v>
      </c>
      <c r="B26" s="5" t="s">
        <v>161</v>
      </c>
      <c r="C26" s="5">
        <v>48</v>
      </c>
      <c r="D26" s="5">
        <v>48</v>
      </c>
      <c r="E26" s="5">
        <v>1</v>
      </c>
      <c r="F26" s="6">
        <v>40.0246</v>
      </c>
      <c r="G26" s="5">
        <v>1.47879E-2</v>
      </c>
      <c r="H26" s="5">
        <v>40.024999999999999</v>
      </c>
      <c r="I26" s="5"/>
      <c r="J26" s="5">
        <v>1</v>
      </c>
      <c r="K26" s="5" t="s">
        <v>2</v>
      </c>
      <c r="L26" s="5" t="s">
        <v>162</v>
      </c>
      <c r="M26" s="5" t="s">
        <v>163</v>
      </c>
      <c r="N26" s="5" t="s">
        <v>164</v>
      </c>
      <c r="O26" s="5">
        <v>13</v>
      </c>
      <c r="P26" s="6">
        <v>1818800</v>
      </c>
      <c r="Q26" s="5">
        <v>837740</v>
      </c>
      <c r="R26" s="5">
        <v>981070</v>
      </c>
      <c r="S26" s="5">
        <v>1.7130000000000001</v>
      </c>
      <c r="T26" s="5">
        <f>LOG(Table2[[#This Row],[ratio heavy to light normalized]],2)</f>
        <v>0.77652515142191203</v>
      </c>
      <c r="U26" s="5">
        <v>2.0855375272021302E-3</v>
      </c>
    </row>
    <row r="27" spans="1:21" ht="13.5" customHeight="1" x14ac:dyDescent="0.3">
      <c r="A27" s="5" t="s">
        <v>394</v>
      </c>
      <c r="B27" s="5" t="s">
        <v>395</v>
      </c>
      <c r="C27" s="5">
        <v>343</v>
      </c>
      <c r="D27" s="5">
        <v>343</v>
      </c>
      <c r="E27" s="5">
        <v>1</v>
      </c>
      <c r="F27" s="6">
        <v>37.091700000000003</v>
      </c>
      <c r="G27" s="5">
        <v>5.0558900000000004E-3</v>
      </c>
      <c r="H27" s="5">
        <v>37.091999999999999</v>
      </c>
      <c r="I27" s="5"/>
      <c r="J27" s="5">
        <v>1</v>
      </c>
      <c r="K27" s="5" t="s">
        <v>2</v>
      </c>
      <c r="L27" s="5" t="s">
        <v>396</v>
      </c>
      <c r="M27" s="5" t="s">
        <v>397</v>
      </c>
      <c r="N27" s="5" t="s">
        <v>398</v>
      </c>
      <c r="O27" s="5">
        <v>7</v>
      </c>
      <c r="P27" s="6">
        <v>492990</v>
      </c>
      <c r="Q27" s="5">
        <v>228670</v>
      </c>
      <c r="R27" s="5">
        <v>264320</v>
      </c>
      <c r="S27" s="5">
        <v>1.6874</v>
      </c>
      <c r="T27" s="5">
        <f>LOG(Table2[[#This Row],[ratio heavy to light normalized]],2)</f>
        <v>0.75480200659078134</v>
      </c>
      <c r="U27" s="5">
        <v>3.1852599326460999E-2</v>
      </c>
    </row>
    <row r="28" spans="1:21" ht="13.5" customHeight="1" x14ac:dyDescent="0.3">
      <c r="A28" s="5" t="s">
        <v>399</v>
      </c>
      <c r="B28" s="5" t="s">
        <v>400</v>
      </c>
      <c r="C28" s="5">
        <v>86</v>
      </c>
      <c r="D28" s="5">
        <v>86</v>
      </c>
      <c r="E28" s="5">
        <v>1</v>
      </c>
      <c r="F28" s="6">
        <v>44.6158</v>
      </c>
      <c r="G28" s="7">
        <v>1.4373899999999999E-7</v>
      </c>
      <c r="H28" s="5">
        <v>73.435000000000002</v>
      </c>
      <c r="I28" s="5" t="s">
        <v>11</v>
      </c>
      <c r="J28" s="5">
        <v>1</v>
      </c>
      <c r="K28" s="5" t="s">
        <v>2</v>
      </c>
      <c r="L28" s="5" t="s">
        <v>401</v>
      </c>
      <c r="M28" s="5" t="s">
        <v>402</v>
      </c>
      <c r="N28" s="5" t="s">
        <v>403</v>
      </c>
      <c r="O28" s="5">
        <v>7</v>
      </c>
      <c r="P28" s="6">
        <v>825920</v>
      </c>
      <c r="Q28" s="5">
        <v>433250</v>
      </c>
      <c r="R28" s="5">
        <v>392670</v>
      </c>
      <c r="S28" s="5">
        <v>1.6868000000000001</v>
      </c>
      <c r="T28" s="5">
        <f>LOG(Table2[[#This Row],[ratio heavy to light normalized]],2)</f>
        <v>0.75428892672968428</v>
      </c>
      <c r="U28" s="5">
        <v>3.1944579356826402E-2</v>
      </c>
    </row>
    <row r="29" spans="1:21" ht="13.5" customHeight="1" x14ac:dyDescent="0.3">
      <c r="A29" s="5" t="s">
        <v>126</v>
      </c>
      <c r="B29" s="5" t="s">
        <v>127</v>
      </c>
      <c r="C29" s="5" t="s">
        <v>165</v>
      </c>
      <c r="D29" s="5">
        <v>166</v>
      </c>
      <c r="E29" s="5">
        <v>1</v>
      </c>
      <c r="F29" s="6">
        <v>51.0593</v>
      </c>
      <c r="G29" s="5">
        <v>1.45488E-3</v>
      </c>
      <c r="H29" s="5">
        <v>51.058999999999997</v>
      </c>
      <c r="I29" s="5" t="s">
        <v>11</v>
      </c>
      <c r="J29" s="5">
        <v>1</v>
      </c>
      <c r="K29" s="5" t="s">
        <v>2</v>
      </c>
      <c r="L29" s="5" t="s">
        <v>166</v>
      </c>
      <c r="M29" s="5" t="s">
        <v>167</v>
      </c>
      <c r="N29" s="5" t="s">
        <v>168</v>
      </c>
      <c r="O29" s="5">
        <v>6</v>
      </c>
      <c r="P29" s="6">
        <v>1053500</v>
      </c>
      <c r="Q29" s="5">
        <v>378730</v>
      </c>
      <c r="R29" s="5">
        <v>674750</v>
      </c>
      <c r="S29" s="5">
        <v>1.6832</v>
      </c>
      <c r="T29" s="5">
        <f>LOG(Table2[[#This Row],[ratio heavy to light normalized]],2)</f>
        <v>0.75120660974285303</v>
      </c>
      <c r="U29" s="5">
        <v>2.78316573585156E-3</v>
      </c>
    </row>
    <row r="30" spans="1:21" ht="13.5" customHeight="1" x14ac:dyDescent="0.3">
      <c r="A30" s="5" t="s">
        <v>126</v>
      </c>
      <c r="B30" s="5" t="s">
        <v>127</v>
      </c>
      <c r="C30" s="5">
        <v>62</v>
      </c>
      <c r="D30" s="5">
        <v>62</v>
      </c>
      <c r="E30" s="5">
        <v>1</v>
      </c>
      <c r="F30" s="6">
        <v>66.691900000000004</v>
      </c>
      <c r="G30" s="5">
        <v>4.1145E-4</v>
      </c>
      <c r="H30" s="5">
        <v>66.691999999999993</v>
      </c>
      <c r="I30" s="5"/>
      <c r="J30" s="5">
        <v>1</v>
      </c>
      <c r="K30" s="5" t="s">
        <v>2</v>
      </c>
      <c r="L30" s="5" t="s">
        <v>404</v>
      </c>
      <c r="M30" s="5" t="s">
        <v>405</v>
      </c>
      <c r="N30" s="5" t="s">
        <v>406</v>
      </c>
      <c r="O30" s="5">
        <v>8</v>
      </c>
      <c r="P30" s="6">
        <v>534290</v>
      </c>
      <c r="Q30" s="5">
        <v>215860</v>
      </c>
      <c r="R30" s="5">
        <v>318430</v>
      </c>
      <c r="S30" s="5">
        <v>1.6816</v>
      </c>
      <c r="T30" s="5">
        <f>LOG(Table2[[#This Row],[ratio heavy to light normalized]],2)</f>
        <v>0.74983457441272905</v>
      </c>
      <c r="U30" s="5">
        <v>3.2752725272060301E-2</v>
      </c>
    </row>
    <row r="31" spans="1:21" ht="13.5" customHeight="1" x14ac:dyDescent="0.3">
      <c r="A31" s="5" t="s">
        <v>81</v>
      </c>
      <c r="B31" s="5" t="s">
        <v>82</v>
      </c>
      <c r="C31" s="5">
        <v>74</v>
      </c>
      <c r="D31" s="5">
        <v>74</v>
      </c>
      <c r="E31" s="5">
        <v>1</v>
      </c>
      <c r="F31" s="6">
        <v>59.7956</v>
      </c>
      <c r="G31" s="5">
        <v>1.4988299999999999E-4</v>
      </c>
      <c r="H31" s="5">
        <v>59.795999999999999</v>
      </c>
      <c r="I31" s="5"/>
      <c r="J31" s="5">
        <v>1</v>
      </c>
      <c r="K31" s="5" t="s">
        <v>2</v>
      </c>
      <c r="L31" s="5" t="s">
        <v>118</v>
      </c>
      <c r="M31" s="5" t="s">
        <v>119</v>
      </c>
      <c r="N31" s="5" t="s">
        <v>120</v>
      </c>
      <c r="O31" s="5">
        <v>12</v>
      </c>
      <c r="P31" s="6">
        <v>3689900</v>
      </c>
      <c r="Q31" s="5">
        <v>1269500</v>
      </c>
      <c r="R31" s="5">
        <v>2420400</v>
      </c>
      <c r="S31" s="5">
        <v>1.6526000000000001</v>
      </c>
      <c r="T31" s="5">
        <f>LOG(Table2[[#This Row],[ratio heavy to light normalized]],2)</f>
        <v>0.72473757287612939</v>
      </c>
      <c r="U31" s="5">
        <v>2.4627006561193801E-4</v>
      </c>
    </row>
    <row r="32" spans="1:21" ht="13.5" customHeight="1" x14ac:dyDescent="0.3">
      <c r="A32" s="5" t="s">
        <v>121</v>
      </c>
      <c r="B32" s="5" t="s">
        <v>122</v>
      </c>
      <c r="C32" s="5">
        <v>251</v>
      </c>
      <c r="D32" s="5">
        <v>251</v>
      </c>
      <c r="E32" s="5">
        <v>1</v>
      </c>
      <c r="F32" s="6">
        <v>13.5245</v>
      </c>
      <c r="G32" s="7">
        <v>5.7438699999999997E-45</v>
      </c>
      <c r="H32" s="5">
        <v>138.02000000000001</v>
      </c>
      <c r="I32" s="5" t="s">
        <v>11</v>
      </c>
      <c r="J32" s="5">
        <v>1</v>
      </c>
      <c r="K32" s="5" t="s">
        <v>2</v>
      </c>
      <c r="L32" s="5" t="s">
        <v>123</v>
      </c>
      <c r="M32" s="5" t="s">
        <v>124</v>
      </c>
      <c r="N32" s="5" t="s">
        <v>125</v>
      </c>
      <c r="O32" s="5">
        <v>13</v>
      </c>
      <c r="P32" s="6">
        <v>8092200</v>
      </c>
      <c r="Q32" s="5">
        <v>4131200</v>
      </c>
      <c r="R32" s="5">
        <v>3961100</v>
      </c>
      <c r="S32" s="5">
        <v>1.6424000000000001</v>
      </c>
      <c r="T32" s="5">
        <f>LOG(Table2[[#This Row],[ratio heavy to light normalized]],2)</f>
        <v>0.71580553255915269</v>
      </c>
      <c r="U32" s="5">
        <v>2.8753591710500902E-4</v>
      </c>
    </row>
    <row r="33" spans="1:21" ht="13.5" customHeight="1" x14ac:dyDescent="0.3">
      <c r="A33" s="5" t="s">
        <v>412</v>
      </c>
      <c r="B33" s="5" t="s">
        <v>413</v>
      </c>
      <c r="C33" s="5">
        <v>305</v>
      </c>
      <c r="D33" s="5">
        <v>305</v>
      </c>
      <c r="E33" s="5">
        <v>1</v>
      </c>
      <c r="F33" s="6">
        <v>59.205199999999998</v>
      </c>
      <c r="G33" s="7">
        <v>1.8766999999999998E-5</v>
      </c>
      <c r="H33" s="5">
        <v>59.204999999999998</v>
      </c>
      <c r="I33" s="5" t="s">
        <v>11</v>
      </c>
      <c r="J33" s="5">
        <v>1</v>
      </c>
      <c r="K33" s="5" t="s">
        <v>2</v>
      </c>
      <c r="L33" s="5" t="s">
        <v>414</v>
      </c>
      <c r="M33" s="5" t="s">
        <v>415</v>
      </c>
      <c r="N33" s="5" t="s">
        <v>416</v>
      </c>
      <c r="O33" s="5">
        <v>6</v>
      </c>
      <c r="P33" s="6">
        <v>705940</v>
      </c>
      <c r="Q33" s="5">
        <v>273760</v>
      </c>
      <c r="R33" s="5">
        <v>432170</v>
      </c>
      <c r="S33" s="5">
        <v>1.6398999999999999</v>
      </c>
      <c r="T33" s="5">
        <f>LOG(Table2[[#This Row],[ratio heavy to light normalized]],2)</f>
        <v>0.71360784295145152</v>
      </c>
      <c r="U33" s="5">
        <v>3.9999265077370998E-2</v>
      </c>
    </row>
    <row r="34" spans="1:21" ht="13.5" customHeight="1" x14ac:dyDescent="0.3">
      <c r="A34" s="5" t="s">
        <v>126</v>
      </c>
      <c r="B34" s="5" t="s">
        <v>127</v>
      </c>
      <c r="C34" s="5">
        <v>276</v>
      </c>
      <c r="D34" s="5">
        <v>276</v>
      </c>
      <c r="E34" s="5">
        <v>1</v>
      </c>
      <c r="F34" s="6">
        <v>89.430300000000003</v>
      </c>
      <c r="G34" s="7">
        <v>1.6900999999999999E-14</v>
      </c>
      <c r="H34" s="5">
        <v>89.43</v>
      </c>
      <c r="I34" s="5" t="s">
        <v>11</v>
      </c>
      <c r="J34" s="5">
        <v>1</v>
      </c>
      <c r="K34" s="5" t="s">
        <v>2</v>
      </c>
      <c r="L34" s="5" t="s">
        <v>128</v>
      </c>
      <c r="M34" s="5" t="s">
        <v>129</v>
      </c>
      <c r="N34" s="5" t="s">
        <v>130</v>
      </c>
      <c r="O34" s="5">
        <v>5</v>
      </c>
      <c r="P34" s="6">
        <v>7083400</v>
      </c>
      <c r="Q34" s="5">
        <v>2746600</v>
      </c>
      <c r="R34" s="5">
        <v>4336800</v>
      </c>
      <c r="S34" s="5">
        <v>1.6242000000000001</v>
      </c>
      <c r="T34" s="5">
        <f>LOG(Table2[[#This Row],[ratio heavy to light normalized]],2)</f>
        <v>0.69972929338667067</v>
      </c>
      <c r="U34" s="5">
        <v>3.7856849141540102E-4</v>
      </c>
    </row>
    <row r="35" spans="1:21" ht="13.5" customHeight="1" x14ac:dyDescent="0.3">
      <c r="A35" s="5" t="s">
        <v>187</v>
      </c>
      <c r="B35" s="5" t="s">
        <v>188</v>
      </c>
      <c r="C35" s="5">
        <v>264</v>
      </c>
      <c r="D35" s="5">
        <v>264</v>
      </c>
      <c r="E35" s="5">
        <v>1</v>
      </c>
      <c r="F35" s="6">
        <v>93.143199999999993</v>
      </c>
      <c r="G35" s="7">
        <v>2.4972300000000002E-10</v>
      </c>
      <c r="H35" s="5">
        <v>93.143000000000001</v>
      </c>
      <c r="I35" s="5"/>
      <c r="J35" s="5">
        <v>1</v>
      </c>
      <c r="K35" s="5" t="s">
        <v>2</v>
      </c>
      <c r="L35" s="5" t="s">
        <v>189</v>
      </c>
      <c r="M35" s="5" t="s">
        <v>190</v>
      </c>
      <c r="N35" s="5" t="s">
        <v>191</v>
      </c>
      <c r="O35" s="5">
        <v>5</v>
      </c>
      <c r="P35" s="6">
        <v>1814700</v>
      </c>
      <c r="Q35" s="5">
        <v>703270</v>
      </c>
      <c r="R35" s="5">
        <v>1111400</v>
      </c>
      <c r="S35" s="5">
        <v>1.6166</v>
      </c>
      <c r="T35" s="5">
        <f>LOG(Table2[[#This Row],[ratio heavy to light normalized]],2)</f>
        <v>0.69296275277291863</v>
      </c>
      <c r="U35" s="5">
        <v>5.2630904714083201E-3</v>
      </c>
    </row>
    <row r="36" spans="1:21" ht="13.5" customHeight="1" x14ac:dyDescent="0.3">
      <c r="A36" s="5" t="s">
        <v>205</v>
      </c>
      <c r="B36" s="5" t="s">
        <v>206</v>
      </c>
      <c r="C36" s="5">
        <v>131</v>
      </c>
      <c r="D36" s="5">
        <v>131</v>
      </c>
      <c r="E36" s="5">
        <v>1</v>
      </c>
      <c r="F36" s="6">
        <v>59.1845</v>
      </c>
      <c r="G36" s="7">
        <v>2.6610300000000002E-5</v>
      </c>
      <c r="H36" s="5">
        <v>59.185000000000002</v>
      </c>
      <c r="I36" s="5" t="s">
        <v>11</v>
      </c>
      <c r="J36" s="5">
        <v>1</v>
      </c>
      <c r="K36" s="5" t="s">
        <v>2</v>
      </c>
      <c r="L36" s="5" t="s">
        <v>207</v>
      </c>
      <c r="M36" s="5" t="s">
        <v>208</v>
      </c>
      <c r="N36" s="5" t="s">
        <v>209</v>
      </c>
      <c r="O36" s="5">
        <v>4</v>
      </c>
      <c r="P36" s="6">
        <v>1884300</v>
      </c>
      <c r="Q36" s="5">
        <v>742210</v>
      </c>
      <c r="R36" s="5">
        <v>1142000</v>
      </c>
      <c r="S36" s="5">
        <v>1.5787</v>
      </c>
      <c r="T36" s="5">
        <f>LOG(Table2[[#This Row],[ratio heavy to light normalized]],2)</f>
        <v>0.6587370422349369</v>
      </c>
      <c r="U36" s="5">
        <v>7.5220740066218404E-3</v>
      </c>
    </row>
    <row r="37" spans="1:21" ht="13.5" customHeight="1" x14ac:dyDescent="0.3">
      <c r="A37" s="5" t="s">
        <v>137</v>
      </c>
      <c r="B37" s="5" t="s">
        <v>138</v>
      </c>
      <c r="C37" s="5">
        <v>293</v>
      </c>
      <c r="D37" s="5">
        <v>293</v>
      </c>
      <c r="E37" s="5">
        <v>1</v>
      </c>
      <c r="F37" s="6">
        <v>48.513199999999998</v>
      </c>
      <c r="G37" s="5">
        <v>2.7207199999999998E-3</v>
      </c>
      <c r="H37" s="5">
        <v>48.512999999999998</v>
      </c>
      <c r="I37" s="5" t="s">
        <v>11</v>
      </c>
      <c r="J37" s="5">
        <v>1</v>
      </c>
      <c r="K37" s="5" t="s">
        <v>2</v>
      </c>
      <c r="L37" s="5" t="s">
        <v>139</v>
      </c>
      <c r="M37" s="5" t="s">
        <v>140</v>
      </c>
      <c r="N37" s="5" t="s">
        <v>141</v>
      </c>
      <c r="O37" s="5">
        <v>7</v>
      </c>
      <c r="P37" s="6">
        <v>3501900</v>
      </c>
      <c r="Q37" s="5">
        <v>1423600</v>
      </c>
      <c r="R37" s="5">
        <v>2078300</v>
      </c>
      <c r="S37" s="5">
        <v>1.5625</v>
      </c>
      <c r="T37" s="5">
        <f>LOG(Table2[[#This Row],[ratio heavy to light normalized]],2)</f>
        <v>0.6438561897747247</v>
      </c>
      <c r="U37" s="5">
        <v>9.4827583504187999E-4</v>
      </c>
    </row>
    <row r="38" spans="1:21" ht="13.5" customHeight="1" x14ac:dyDescent="0.3">
      <c r="A38" s="5" t="s">
        <v>278</v>
      </c>
      <c r="B38" s="5" t="s">
        <v>279</v>
      </c>
      <c r="C38" s="5">
        <v>566</v>
      </c>
      <c r="D38" s="5">
        <v>566</v>
      </c>
      <c r="E38" s="5">
        <v>1</v>
      </c>
      <c r="F38" s="6">
        <v>35.349600000000002</v>
      </c>
      <c r="G38" s="5">
        <v>9.0876700000000008E-3</v>
      </c>
      <c r="H38" s="5">
        <v>35.35</v>
      </c>
      <c r="I38" s="5"/>
      <c r="J38" s="5">
        <v>1</v>
      </c>
      <c r="K38" s="5" t="s">
        <v>2</v>
      </c>
      <c r="L38" s="5" t="s">
        <v>505</v>
      </c>
      <c r="M38" s="5" t="s">
        <v>506</v>
      </c>
      <c r="N38" s="5" t="s">
        <v>507</v>
      </c>
      <c r="O38" s="5">
        <v>6</v>
      </c>
      <c r="P38" s="6">
        <v>421350</v>
      </c>
      <c r="Q38" s="5">
        <v>148270</v>
      </c>
      <c r="R38" s="5">
        <v>273080</v>
      </c>
      <c r="S38" s="5">
        <v>1.5602</v>
      </c>
      <c r="T38" s="5">
        <f>LOG(Table2[[#This Row],[ratio heavy to light normalized]],2)</f>
        <v>0.64173097813474689</v>
      </c>
      <c r="U38" s="5">
        <v>5.8442853053524799E-2</v>
      </c>
    </row>
    <row r="39" spans="1:21" ht="13.5" customHeight="1" x14ac:dyDescent="0.3">
      <c r="A39" s="5" t="s">
        <v>513</v>
      </c>
      <c r="B39" s="5" t="s">
        <v>514</v>
      </c>
      <c r="C39" s="5">
        <v>251</v>
      </c>
      <c r="D39" s="5">
        <v>251</v>
      </c>
      <c r="E39" s="5">
        <v>1</v>
      </c>
      <c r="F39" s="6">
        <v>95.400899999999993</v>
      </c>
      <c r="G39" s="7">
        <v>4.7776199999999997E-15</v>
      </c>
      <c r="H39" s="5">
        <v>95.400999999999996</v>
      </c>
      <c r="I39" s="5" t="s">
        <v>11</v>
      </c>
      <c r="J39" s="5">
        <v>1</v>
      </c>
      <c r="K39" s="5" t="s">
        <v>2</v>
      </c>
      <c r="L39" s="5" t="s">
        <v>515</v>
      </c>
      <c r="M39" s="5" t="s">
        <v>516</v>
      </c>
      <c r="N39" s="5" t="s">
        <v>517</v>
      </c>
      <c r="O39" s="5">
        <v>8</v>
      </c>
      <c r="P39" s="6">
        <v>891270</v>
      </c>
      <c r="Q39" s="5">
        <v>408690</v>
      </c>
      <c r="R39" s="5">
        <v>482580</v>
      </c>
      <c r="S39" s="5">
        <v>1.552</v>
      </c>
      <c r="T39" s="5">
        <f>LOG(Table2[[#This Row],[ratio heavy to light normalized]],2)</f>
        <v>0.63412855752504071</v>
      </c>
      <c r="U39" s="5">
        <v>6.0752760584229702E-2</v>
      </c>
    </row>
    <row r="40" spans="1:21" ht="13.5" customHeight="1" x14ac:dyDescent="0.3">
      <c r="A40" s="5" t="s">
        <v>169</v>
      </c>
      <c r="B40" s="5" t="s">
        <v>170</v>
      </c>
      <c r="C40" s="5">
        <v>66</v>
      </c>
      <c r="D40" s="5">
        <v>66</v>
      </c>
      <c r="E40" s="5">
        <v>1</v>
      </c>
      <c r="F40" s="6">
        <v>36.683999999999997</v>
      </c>
      <c r="G40" s="5">
        <v>6.5404400000000001E-2</v>
      </c>
      <c r="H40" s="5">
        <v>36.683999999999997</v>
      </c>
      <c r="I40" s="5"/>
      <c r="J40" s="5">
        <v>1</v>
      </c>
      <c r="K40" s="5" t="s">
        <v>2</v>
      </c>
      <c r="L40" s="5" t="s">
        <v>171</v>
      </c>
      <c r="M40" s="5" t="s">
        <v>172</v>
      </c>
      <c r="N40" s="5" t="s">
        <v>173</v>
      </c>
      <c r="O40" s="5">
        <v>8</v>
      </c>
      <c r="P40" s="6">
        <v>528400</v>
      </c>
      <c r="Q40" s="5">
        <v>154250</v>
      </c>
      <c r="R40" s="5">
        <v>374150</v>
      </c>
      <c r="S40" s="5">
        <v>2.1844000000000001</v>
      </c>
      <c r="T40" s="5">
        <f>LOG(Table2[[#This Row],[ratio heavy to light normalized]],2)</f>
        <v>1.1272370619248147</v>
      </c>
      <c r="U40" s="5">
        <v>2.8587109487490901E-3</v>
      </c>
    </row>
    <row r="41" spans="1:21" ht="13.5" customHeight="1" x14ac:dyDescent="0.3">
      <c r="A41" s="5" t="s">
        <v>341</v>
      </c>
      <c r="B41" s="5" t="s">
        <v>342</v>
      </c>
      <c r="C41" s="5">
        <v>276</v>
      </c>
      <c r="D41" s="5">
        <v>276</v>
      </c>
      <c r="E41" s="5">
        <v>1</v>
      </c>
      <c r="F41" s="6">
        <v>81.703000000000003</v>
      </c>
      <c r="G41" s="7">
        <v>1.3506699999999999E-12</v>
      </c>
      <c r="H41" s="5">
        <v>81.703000000000003</v>
      </c>
      <c r="I41" s="5" t="s">
        <v>11</v>
      </c>
      <c r="J41" s="5">
        <v>1</v>
      </c>
      <c r="K41" s="5" t="s">
        <v>2</v>
      </c>
      <c r="L41" s="5" t="s">
        <v>343</v>
      </c>
      <c r="M41" s="5" t="s">
        <v>344</v>
      </c>
      <c r="N41" s="5" t="s">
        <v>345</v>
      </c>
      <c r="O41" s="5">
        <v>6</v>
      </c>
      <c r="P41" s="6">
        <v>1461400</v>
      </c>
      <c r="Q41" s="5">
        <v>649370</v>
      </c>
      <c r="R41" s="5">
        <v>812040</v>
      </c>
      <c r="S41" s="5">
        <v>1.4644999999999999</v>
      </c>
      <c r="T41" s="5">
        <f>LOG(Table2[[#This Row],[ratio heavy to light normalized]],2)</f>
        <v>0.55040819321727974</v>
      </c>
      <c r="U41" s="5">
        <v>2.1428267760138099E-2</v>
      </c>
    </row>
    <row r="42" spans="1:21" ht="13.5" customHeight="1" x14ac:dyDescent="0.3">
      <c r="A42" s="5" t="s">
        <v>564</v>
      </c>
      <c r="B42" s="5" t="s">
        <v>565</v>
      </c>
      <c r="C42" s="5">
        <v>321</v>
      </c>
      <c r="D42" s="5">
        <v>321</v>
      </c>
      <c r="E42" s="5">
        <v>1</v>
      </c>
      <c r="F42" s="6">
        <v>66.532499999999999</v>
      </c>
      <c r="G42" s="7">
        <v>1.05135E-8</v>
      </c>
      <c r="H42" s="5">
        <v>66.533000000000001</v>
      </c>
      <c r="I42" s="5" t="s">
        <v>11</v>
      </c>
      <c r="J42" s="5">
        <v>1</v>
      </c>
      <c r="K42" s="5" t="s">
        <v>2</v>
      </c>
      <c r="L42" s="5" t="s">
        <v>673</v>
      </c>
      <c r="M42" s="5" t="s">
        <v>674</v>
      </c>
      <c r="N42" s="5" t="s">
        <v>675</v>
      </c>
      <c r="O42" s="5">
        <v>13</v>
      </c>
      <c r="P42" s="6">
        <v>613700</v>
      </c>
      <c r="Q42" s="5">
        <v>297590</v>
      </c>
      <c r="R42" s="5">
        <v>316120</v>
      </c>
      <c r="S42" s="5">
        <v>1.4628000000000001</v>
      </c>
      <c r="T42" s="5">
        <f>LOG(Table2[[#This Row],[ratio heavy to light normalized]],2)</f>
        <v>0.54873253179191894</v>
      </c>
      <c r="U42" s="5">
        <v>9.22708062045242E-2</v>
      </c>
    </row>
    <row r="43" spans="1:21" ht="13.5" customHeight="1" x14ac:dyDescent="0.3">
      <c r="A43" s="5" t="s">
        <v>349</v>
      </c>
      <c r="B43" s="5" t="s">
        <v>350</v>
      </c>
      <c r="C43" s="5">
        <v>105</v>
      </c>
      <c r="D43" s="5">
        <v>105</v>
      </c>
      <c r="E43" s="5">
        <v>1</v>
      </c>
      <c r="F43" s="6">
        <v>77.911699999999996</v>
      </c>
      <c r="G43" s="7">
        <v>7.5276700000000005E-11</v>
      </c>
      <c r="H43" s="5">
        <v>77.912000000000006</v>
      </c>
      <c r="I43" s="5"/>
      <c r="J43" s="5">
        <v>1</v>
      </c>
      <c r="K43" s="5" t="s">
        <v>2</v>
      </c>
      <c r="L43" s="5" t="s">
        <v>351</v>
      </c>
      <c r="M43" s="5" t="s">
        <v>352</v>
      </c>
      <c r="N43" s="5" t="s">
        <v>353</v>
      </c>
      <c r="O43" s="5">
        <v>9</v>
      </c>
      <c r="P43" s="6">
        <v>2326600</v>
      </c>
      <c r="Q43" s="5">
        <v>1037700</v>
      </c>
      <c r="R43" s="5">
        <v>1288900</v>
      </c>
      <c r="S43" s="5">
        <v>1.4605999999999999</v>
      </c>
      <c r="T43" s="5">
        <f>LOG(Table2[[#This Row],[ratio heavy to light normalized]],2)</f>
        <v>0.54656113568524933</v>
      </c>
      <c r="U43" s="5">
        <v>2.21884920488396E-2</v>
      </c>
    </row>
    <row r="44" spans="1:21" ht="13.5" customHeight="1" x14ac:dyDescent="0.3">
      <c r="A44" s="5" t="s">
        <v>689</v>
      </c>
      <c r="B44" s="5" t="s">
        <v>690</v>
      </c>
      <c r="C44" s="5">
        <v>424</v>
      </c>
      <c r="D44" s="5">
        <v>424</v>
      </c>
      <c r="E44" s="5">
        <v>1</v>
      </c>
      <c r="F44" s="6">
        <v>70.621600000000001</v>
      </c>
      <c r="G44" s="7">
        <v>9.2321499999999997E-8</v>
      </c>
      <c r="H44" s="5">
        <v>70.622</v>
      </c>
      <c r="I44" s="5" t="s">
        <v>11</v>
      </c>
      <c r="J44" s="5">
        <v>1</v>
      </c>
      <c r="K44" s="5" t="s">
        <v>2</v>
      </c>
      <c r="L44" s="5" t="s">
        <v>691</v>
      </c>
      <c r="M44" s="5" t="s">
        <v>692</v>
      </c>
      <c r="N44" s="5" t="s">
        <v>693</v>
      </c>
      <c r="O44" s="5">
        <v>9</v>
      </c>
      <c r="P44" s="6">
        <v>584340</v>
      </c>
      <c r="Q44" s="5">
        <v>274540</v>
      </c>
      <c r="R44" s="5">
        <v>309800</v>
      </c>
      <c r="S44" s="5">
        <v>1.4516</v>
      </c>
      <c r="T44" s="5">
        <f>LOG(Table2[[#This Row],[ratio heavy to light normalized]],2)</f>
        <v>0.53764396192988484</v>
      </c>
      <c r="U44" s="5">
        <v>9.7188309229364805E-2</v>
      </c>
    </row>
    <row r="45" spans="1:21" ht="13.5" customHeight="1" x14ac:dyDescent="0.3">
      <c r="A45" s="5" t="s">
        <v>376</v>
      </c>
      <c r="B45" s="5" t="s">
        <v>377</v>
      </c>
      <c r="C45" s="5">
        <v>23</v>
      </c>
      <c r="D45" s="5">
        <v>23</v>
      </c>
      <c r="E45" s="5">
        <v>1</v>
      </c>
      <c r="F45" s="6">
        <v>54.9816</v>
      </c>
      <c r="G45" s="5">
        <v>5.3560200000000004E-3</v>
      </c>
      <c r="H45" s="5">
        <v>54.981999999999999</v>
      </c>
      <c r="I45" s="5"/>
      <c r="J45" s="5">
        <v>1</v>
      </c>
      <c r="K45" s="5" t="s">
        <v>2</v>
      </c>
      <c r="L45" s="5" t="s">
        <v>378</v>
      </c>
      <c r="M45" s="5" t="s">
        <v>379</v>
      </c>
      <c r="N45" s="5" t="s">
        <v>380</v>
      </c>
      <c r="O45" s="5">
        <v>6</v>
      </c>
      <c r="P45" s="6">
        <v>1951200</v>
      </c>
      <c r="Q45" s="5">
        <v>648890</v>
      </c>
      <c r="R45" s="5">
        <v>1302300</v>
      </c>
      <c r="S45" s="5">
        <v>1.4353</v>
      </c>
      <c r="T45" s="5">
        <f>LOG(Table2[[#This Row],[ratio heavy to light normalized]],2)</f>
        <v>0.52135231409766225</v>
      </c>
      <c r="U45" s="5">
        <v>2.77746799318839E-2</v>
      </c>
    </row>
    <row r="46" spans="1:21" ht="13.5" customHeight="1" x14ac:dyDescent="0.3">
      <c r="A46" s="5" t="s">
        <v>210</v>
      </c>
      <c r="B46" s="5" t="s">
        <v>211</v>
      </c>
      <c r="C46" s="5">
        <v>1195</v>
      </c>
      <c r="D46" s="5">
        <v>1195</v>
      </c>
      <c r="E46" s="5">
        <v>1</v>
      </c>
      <c r="F46" s="6">
        <v>61.7318</v>
      </c>
      <c r="G46" s="7">
        <v>1.4002500000000001E-7</v>
      </c>
      <c r="H46" s="5">
        <v>61.731999999999999</v>
      </c>
      <c r="I46" s="5"/>
      <c r="J46" s="5">
        <v>1</v>
      </c>
      <c r="K46" s="5" t="s">
        <v>2</v>
      </c>
      <c r="L46" s="5" t="s">
        <v>750</v>
      </c>
      <c r="M46" s="5" t="s">
        <v>751</v>
      </c>
      <c r="N46" s="5" t="s">
        <v>752</v>
      </c>
      <c r="O46" s="5">
        <v>15</v>
      </c>
      <c r="P46" s="6">
        <v>396980</v>
      </c>
      <c r="Q46" s="5">
        <v>151260</v>
      </c>
      <c r="R46" s="5">
        <v>245710</v>
      </c>
      <c r="S46" s="5">
        <v>1.4146000000000001</v>
      </c>
      <c r="T46" s="5">
        <f>LOG(Table2[[#This Row],[ratio heavy to light normalized]],2)</f>
        <v>0.50039416641579526</v>
      </c>
      <c r="U46" s="5">
        <v>0.11525689042208601</v>
      </c>
    </row>
    <row r="47" spans="1:21" ht="13.5" customHeight="1" x14ac:dyDescent="0.3">
      <c r="A47" s="5" t="s">
        <v>225</v>
      </c>
      <c r="B47" s="5" t="s">
        <v>226</v>
      </c>
      <c r="C47" s="5">
        <v>308</v>
      </c>
      <c r="D47" s="5">
        <v>308</v>
      </c>
      <c r="E47" s="5">
        <v>1</v>
      </c>
      <c r="F47" s="6">
        <v>128.28299999999999</v>
      </c>
      <c r="G47" s="7">
        <v>1.18304E-32</v>
      </c>
      <c r="H47" s="5">
        <v>128.28</v>
      </c>
      <c r="I47" s="5" t="s">
        <v>11</v>
      </c>
      <c r="J47" s="5">
        <v>1</v>
      </c>
      <c r="K47" s="5" t="s">
        <v>2</v>
      </c>
      <c r="L47" s="5" t="s">
        <v>227</v>
      </c>
      <c r="M47" s="5" t="s">
        <v>228</v>
      </c>
      <c r="N47" s="5" t="s">
        <v>229</v>
      </c>
      <c r="O47" s="5">
        <v>12</v>
      </c>
      <c r="P47" s="6">
        <v>2809700</v>
      </c>
      <c r="Q47" s="5">
        <v>1140300</v>
      </c>
      <c r="R47" s="5">
        <v>1669400</v>
      </c>
      <c r="S47" s="5">
        <v>1.3988</v>
      </c>
      <c r="T47" s="5">
        <f>LOG(Table2[[#This Row],[ratio heavy to light normalized]],2)</f>
        <v>0.48418970114826698</v>
      </c>
      <c r="U47" s="5">
        <v>9.5018236100733195E-3</v>
      </c>
    </row>
    <row r="48" spans="1:21" ht="13.5" customHeight="1" x14ac:dyDescent="0.3">
      <c r="A48" s="5" t="s">
        <v>126</v>
      </c>
      <c r="B48" s="5" t="s">
        <v>127</v>
      </c>
      <c r="C48" s="5">
        <v>411</v>
      </c>
      <c r="D48" s="5">
        <v>411</v>
      </c>
      <c r="E48" s="5">
        <v>1</v>
      </c>
      <c r="F48" s="6">
        <v>40.496400000000001</v>
      </c>
      <c r="G48" s="5">
        <v>3.7746700000000001E-2</v>
      </c>
      <c r="H48" s="5">
        <v>40.496000000000002</v>
      </c>
      <c r="I48" s="5"/>
      <c r="J48" s="5">
        <v>1</v>
      </c>
      <c r="K48" s="5" t="s">
        <v>2</v>
      </c>
      <c r="L48" s="5" t="s">
        <v>230</v>
      </c>
      <c r="M48" s="5" t="s">
        <v>231</v>
      </c>
      <c r="N48" s="5" t="s">
        <v>232</v>
      </c>
      <c r="O48" s="5">
        <v>5</v>
      </c>
      <c r="P48" s="6">
        <v>4893900</v>
      </c>
      <c r="Q48" s="5">
        <v>1724800</v>
      </c>
      <c r="R48" s="5">
        <v>3169000</v>
      </c>
      <c r="S48" s="5">
        <v>1.3978999999999999</v>
      </c>
      <c r="T48" s="5">
        <f>LOG(Table2[[#This Row],[ratio heavy to light normalized]],2)</f>
        <v>0.48326115995212721</v>
      </c>
      <c r="U48" s="5">
        <v>9.61685180758356E-3</v>
      </c>
    </row>
    <row r="49" spans="1:21" ht="13.5" customHeight="1" x14ac:dyDescent="0.3">
      <c r="A49" s="5" t="s">
        <v>432</v>
      </c>
      <c r="B49" s="5" t="s">
        <v>433</v>
      </c>
      <c r="C49" s="5">
        <v>100</v>
      </c>
      <c r="D49" s="5">
        <v>100</v>
      </c>
      <c r="E49" s="5">
        <v>1</v>
      </c>
      <c r="F49" s="6">
        <v>37.091700000000003</v>
      </c>
      <c r="G49" s="5">
        <v>1.5732499999999999E-4</v>
      </c>
      <c r="H49" s="5">
        <v>47.639000000000003</v>
      </c>
      <c r="I49" s="5"/>
      <c r="J49" s="5">
        <v>1</v>
      </c>
      <c r="K49" s="5" t="s">
        <v>2</v>
      </c>
      <c r="L49" s="5" t="s">
        <v>434</v>
      </c>
      <c r="M49" s="5" t="s">
        <v>435</v>
      </c>
      <c r="N49" s="5" t="s">
        <v>436</v>
      </c>
      <c r="O49" s="5">
        <v>5</v>
      </c>
      <c r="P49" s="6">
        <v>1663300</v>
      </c>
      <c r="Q49" s="5">
        <v>868110</v>
      </c>
      <c r="R49" s="5">
        <v>795220</v>
      </c>
      <c r="S49" s="5">
        <v>1.3864000000000001</v>
      </c>
      <c r="T49" s="5">
        <f>LOG(Table2[[#This Row],[ratio heavy to light normalized]],2)</f>
        <v>0.47134355961072033</v>
      </c>
      <c r="U49" s="5">
        <v>4.2507465455995298E-2</v>
      </c>
    </row>
    <row r="50" spans="1:21" ht="13.5" customHeight="1" x14ac:dyDescent="0.3">
      <c r="A50" s="5" t="s">
        <v>813</v>
      </c>
      <c r="B50" s="5" t="s">
        <v>814</v>
      </c>
      <c r="C50" s="5">
        <v>33</v>
      </c>
      <c r="D50" s="5">
        <v>33</v>
      </c>
      <c r="E50" s="5">
        <v>1</v>
      </c>
      <c r="F50" s="6">
        <v>37.4756</v>
      </c>
      <c r="G50" s="5">
        <v>3.4293499999999998E-2</v>
      </c>
      <c r="H50" s="5">
        <v>37.475999999999999</v>
      </c>
      <c r="I50" s="5"/>
      <c r="J50" s="5">
        <v>1</v>
      </c>
      <c r="K50" s="5" t="s">
        <v>2</v>
      </c>
      <c r="L50" s="5" t="s">
        <v>815</v>
      </c>
      <c r="M50" s="5" t="s">
        <v>816</v>
      </c>
      <c r="N50" s="5" t="s">
        <v>817</v>
      </c>
      <c r="O50" s="5">
        <v>4</v>
      </c>
      <c r="P50" s="6">
        <v>438500</v>
      </c>
      <c r="Q50" s="5">
        <v>203150</v>
      </c>
      <c r="R50" s="5">
        <v>235350</v>
      </c>
      <c r="S50" s="5">
        <v>1.3764000000000001</v>
      </c>
      <c r="T50" s="5">
        <f>LOG(Table2[[#This Row],[ratio heavy to light normalized]],2)</f>
        <v>0.46089979718753188</v>
      </c>
      <c r="U50" s="5">
        <v>0.137195596778771</v>
      </c>
    </row>
    <row r="51" spans="1:21" ht="13.5" customHeight="1" x14ac:dyDescent="0.3">
      <c r="A51" s="5" t="s">
        <v>440</v>
      </c>
      <c r="B51" s="5" t="s">
        <v>441</v>
      </c>
      <c r="C51" s="5">
        <v>46</v>
      </c>
      <c r="D51" s="5">
        <v>46</v>
      </c>
      <c r="E51" s="5">
        <v>1</v>
      </c>
      <c r="F51" s="6">
        <v>41.2271</v>
      </c>
      <c r="G51" s="5">
        <v>1.61567E-2</v>
      </c>
      <c r="H51" s="5">
        <v>41.226999999999997</v>
      </c>
      <c r="I51" s="5"/>
      <c r="J51" s="5">
        <v>1</v>
      </c>
      <c r="K51" s="5" t="s">
        <v>2</v>
      </c>
      <c r="L51" s="5" t="s">
        <v>442</v>
      </c>
      <c r="M51" s="5" t="s">
        <v>443</v>
      </c>
      <c r="N51" s="5" t="s">
        <v>444</v>
      </c>
      <c r="O51" s="5">
        <v>5</v>
      </c>
      <c r="P51" s="6">
        <v>1532300</v>
      </c>
      <c r="Q51" s="5">
        <v>705770</v>
      </c>
      <c r="R51" s="5">
        <v>826490</v>
      </c>
      <c r="S51" s="5">
        <v>1.3738999999999999</v>
      </c>
      <c r="T51" s="5">
        <f>LOG(Table2[[#This Row],[ratio heavy to light normalized]],2)</f>
        <v>0.45827700069580513</v>
      </c>
      <c r="U51" s="5">
        <v>4.7301247580896398E-2</v>
      </c>
    </row>
    <row r="52" spans="1:21" ht="13.5" customHeight="1" x14ac:dyDescent="0.3">
      <c r="A52" s="5" t="s">
        <v>828</v>
      </c>
      <c r="B52" s="5" t="s">
        <v>829</v>
      </c>
      <c r="C52" s="5">
        <v>261</v>
      </c>
      <c r="D52" s="5">
        <v>261</v>
      </c>
      <c r="E52" s="5">
        <v>1</v>
      </c>
      <c r="F52" s="6">
        <v>56.359200000000001</v>
      </c>
      <c r="G52" s="5">
        <v>2.7361899999999999E-3</v>
      </c>
      <c r="H52" s="5">
        <v>56.359000000000002</v>
      </c>
      <c r="I52" s="5"/>
      <c r="J52" s="5">
        <v>1</v>
      </c>
      <c r="K52" s="5" t="s">
        <v>2</v>
      </c>
      <c r="L52" s="5" t="s">
        <v>830</v>
      </c>
      <c r="M52" s="5" t="s">
        <v>831</v>
      </c>
      <c r="N52" s="5" t="s">
        <v>832</v>
      </c>
      <c r="O52" s="5">
        <v>2</v>
      </c>
      <c r="P52" s="6">
        <v>444130</v>
      </c>
      <c r="Q52" s="5">
        <v>224950</v>
      </c>
      <c r="R52" s="5">
        <v>219180</v>
      </c>
      <c r="S52" s="5">
        <v>1.3733</v>
      </c>
      <c r="T52" s="5">
        <f>LOG(Table2[[#This Row],[ratio heavy to light normalized]],2)</f>
        <v>0.45764681939244412</v>
      </c>
      <c r="U52" s="5">
        <v>0.13913724589835899</v>
      </c>
    </row>
    <row r="53" spans="1:21" ht="13.5" customHeight="1" x14ac:dyDescent="0.3">
      <c r="A53" s="5" t="s">
        <v>453</v>
      </c>
      <c r="B53" s="5" t="s">
        <v>454</v>
      </c>
      <c r="C53" s="5">
        <v>60</v>
      </c>
      <c r="D53" s="5">
        <v>60</v>
      </c>
      <c r="E53" s="5">
        <v>1</v>
      </c>
      <c r="F53" s="6">
        <v>86.898099999999999</v>
      </c>
      <c r="G53" s="7">
        <v>2.5917499999999999E-10</v>
      </c>
      <c r="H53" s="5">
        <v>86.897999999999996</v>
      </c>
      <c r="I53" s="5"/>
      <c r="J53" s="5">
        <v>1</v>
      </c>
      <c r="K53" s="5" t="s">
        <v>2</v>
      </c>
      <c r="L53" s="5" t="s">
        <v>455</v>
      </c>
      <c r="M53" s="5" t="s">
        <v>456</v>
      </c>
      <c r="N53" s="5" t="s">
        <v>457</v>
      </c>
      <c r="O53" s="5">
        <v>7</v>
      </c>
      <c r="P53" s="6">
        <v>1254000</v>
      </c>
      <c r="Q53" s="5">
        <v>578420</v>
      </c>
      <c r="R53" s="5">
        <v>675580</v>
      </c>
      <c r="S53" s="5">
        <v>1.3644000000000001</v>
      </c>
      <c r="T53" s="5">
        <f>LOG(Table2[[#This Row],[ratio heavy to light normalized]],2)</f>
        <v>0.44826666006395477</v>
      </c>
      <c r="U53" s="5">
        <v>5.1274416996307602E-2</v>
      </c>
    </row>
    <row r="54" spans="1:21" ht="13.5" customHeight="1" x14ac:dyDescent="0.3">
      <c r="A54" s="5" t="s">
        <v>623</v>
      </c>
      <c r="B54" s="5" t="s">
        <v>624</v>
      </c>
      <c r="C54" s="5">
        <v>9</v>
      </c>
      <c r="D54" s="5">
        <v>9</v>
      </c>
      <c r="E54" s="5">
        <v>1</v>
      </c>
      <c r="F54" s="6">
        <v>42.788600000000002</v>
      </c>
      <c r="G54" s="5">
        <v>6.1412100000000002E-3</v>
      </c>
      <c r="H54" s="5">
        <v>42.789000000000001</v>
      </c>
      <c r="I54" s="5" t="s">
        <v>11</v>
      </c>
      <c r="J54" s="5">
        <v>1</v>
      </c>
      <c r="K54" s="5" t="s">
        <v>2</v>
      </c>
      <c r="L54" s="5" t="s">
        <v>882</v>
      </c>
      <c r="M54" s="5" t="s">
        <v>883</v>
      </c>
      <c r="N54" s="5" t="s">
        <v>884</v>
      </c>
      <c r="O54" s="5">
        <v>3</v>
      </c>
      <c r="P54" s="6">
        <v>349210</v>
      </c>
      <c r="Q54" s="5">
        <v>123810</v>
      </c>
      <c r="R54" s="5">
        <v>225400</v>
      </c>
      <c r="S54" s="5">
        <v>1.3615999999999999</v>
      </c>
      <c r="T54" s="5">
        <f>LOG(Table2[[#This Row],[ratio heavy to light normalized]],2)</f>
        <v>0.44530294213651317</v>
      </c>
      <c r="U54" s="5">
        <v>0.14669799686499399</v>
      </c>
    </row>
    <row r="55" spans="1:21" ht="13.5" customHeight="1" x14ac:dyDescent="0.3">
      <c r="A55" s="5" t="s">
        <v>298</v>
      </c>
      <c r="B55" s="5" t="s">
        <v>299</v>
      </c>
      <c r="C55" s="5">
        <v>54</v>
      </c>
      <c r="D55" s="5">
        <v>54</v>
      </c>
      <c r="E55" s="5">
        <v>1</v>
      </c>
      <c r="F55" s="6">
        <v>68.751000000000005</v>
      </c>
      <c r="G55" s="7">
        <v>4.48764E-42</v>
      </c>
      <c r="H55" s="5">
        <v>142.43</v>
      </c>
      <c r="I55" s="5" t="s">
        <v>11</v>
      </c>
      <c r="J55" s="5">
        <v>1</v>
      </c>
      <c r="K55" s="5" t="s">
        <v>2</v>
      </c>
      <c r="L55" s="5" t="s">
        <v>300</v>
      </c>
      <c r="M55" s="5" t="s">
        <v>301</v>
      </c>
      <c r="N55" s="5" t="s">
        <v>302</v>
      </c>
      <c r="O55" s="5">
        <v>13</v>
      </c>
      <c r="P55" s="6">
        <v>12044000</v>
      </c>
      <c r="Q55" s="5">
        <v>4699300</v>
      </c>
      <c r="R55" s="5">
        <v>7344700</v>
      </c>
      <c r="S55" s="5">
        <v>1.3609</v>
      </c>
      <c r="T55" s="5">
        <f>LOG(Table2[[#This Row],[ratio heavy to light normalized]],2)</f>
        <v>0.44456106037278398</v>
      </c>
      <c r="U55" s="5">
        <v>1.5660313015977902E-2</v>
      </c>
    </row>
    <row r="56" spans="1:21" ht="13.5" customHeight="1" x14ac:dyDescent="0.3">
      <c r="A56" s="5" t="s">
        <v>468</v>
      </c>
      <c r="B56" s="5" t="s">
        <v>469</v>
      </c>
      <c r="C56" s="5">
        <v>448</v>
      </c>
      <c r="D56" s="5">
        <v>448</v>
      </c>
      <c r="E56" s="5">
        <v>1</v>
      </c>
      <c r="F56" s="6">
        <v>105.137</v>
      </c>
      <c r="G56" s="7">
        <v>5.04273E-26</v>
      </c>
      <c r="H56" s="5">
        <v>105.14</v>
      </c>
      <c r="I56" s="5" t="s">
        <v>11</v>
      </c>
      <c r="J56" s="5">
        <v>1</v>
      </c>
      <c r="K56" s="5" t="s">
        <v>2</v>
      </c>
      <c r="L56" s="5" t="s">
        <v>470</v>
      </c>
      <c r="M56" s="5" t="s">
        <v>471</v>
      </c>
      <c r="N56" s="5" t="s">
        <v>472</v>
      </c>
      <c r="O56" s="5">
        <v>9</v>
      </c>
      <c r="P56" s="6">
        <v>2130600</v>
      </c>
      <c r="Q56" s="5">
        <v>834190</v>
      </c>
      <c r="R56" s="5">
        <v>1296400</v>
      </c>
      <c r="S56" s="5">
        <v>1.3582000000000001</v>
      </c>
      <c r="T56" s="5">
        <f>LOG(Table2[[#This Row],[ratio heavy to light normalized]],2)</f>
        <v>0.44169593743456981</v>
      </c>
      <c r="U56" s="5">
        <v>5.40313806482077E-2</v>
      </c>
    </row>
    <row r="57" spans="1:21" ht="13.5" customHeight="1" x14ac:dyDescent="0.3">
      <c r="A57" s="5" t="s">
        <v>894</v>
      </c>
      <c r="B57" s="5" t="s">
        <v>895</v>
      </c>
      <c r="C57" s="5">
        <v>1463</v>
      </c>
      <c r="D57" s="5">
        <v>1463</v>
      </c>
      <c r="E57" s="5">
        <v>1</v>
      </c>
      <c r="F57" s="6">
        <v>72.484700000000004</v>
      </c>
      <c r="G57" s="7">
        <v>1.6147999999999999E-5</v>
      </c>
      <c r="H57" s="5">
        <v>72.484999999999999</v>
      </c>
      <c r="I57" s="5"/>
      <c r="J57" s="5">
        <v>1</v>
      </c>
      <c r="K57" s="5" t="s">
        <v>2</v>
      </c>
      <c r="L57" s="5" t="s">
        <v>896</v>
      </c>
      <c r="M57" s="5" t="s">
        <v>897</v>
      </c>
      <c r="N57" s="5" t="s">
        <v>898</v>
      </c>
      <c r="O57" s="5">
        <v>6</v>
      </c>
      <c r="P57" s="6">
        <v>825920</v>
      </c>
      <c r="Q57" s="5">
        <v>367770</v>
      </c>
      <c r="R57" s="5">
        <v>458150</v>
      </c>
      <c r="S57" s="5">
        <v>1.3573</v>
      </c>
      <c r="T57" s="5">
        <f>LOG(Table2[[#This Row],[ratio heavy to light normalized]],2)</f>
        <v>0.44073963061494709</v>
      </c>
      <c r="U57" s="5">
        <v>0.14957128887186599</v>
      </c>
    </row>
    <row r="58" spans="1:21" ht="13.5" customHeight="1" x14ac:dyDescent="0.3">
      <c r="A58" s="5" t="s">
        <v>489</v>
      </c>
      <c r="B58" s="5" t="s">
        <v>490</v>
      </c>
      <c r="C58" s="5">
        <v>203</v>
      </c>
      <c r="D58" s="5">
        <v>203</v>
      </c>
      <c r="E58" s="5">
        <v>1</v>
      </c>
      <c r="F58" s="6">
        <v>63.3063</v>
      </c>
      <c r="G58" s="7">
        <v>6.7031999999999996E-6</v>
      </c>
      <c r="H58" s="5">
        <v>63.305999999999997</v>
      </c>
      <c r="I58" s="5" t="s">
        <v>11</v>
      </c>
      <c r="J58" s="5">
        <v>1</v>
      </c>
      <c r="K58" s="5" t="s">
        <v>2</v>
      </c>
      <c r="L58" s="5" t="s">
        <v>491</v>
      </c>
      <c r="M58" s="5" t="s">
        <v>492</v>
      </c>
      <c r="N58" s="5" t="s">
        <v>493</v>
      </c>
      <c r="O58" s="5">
        <v>1</v>
      </c>
      <c r="P58" s="6">
        <v>1097400</v>
      </c>
      <c r="Q58" s="5">
        <v>476990</v>
      </c>
      <c r="R58" s="5">
        <v>620440</v>
      </c>
      <c r="S58" s="5">
        <v>1.3533999999999999</v>
      </c>
      <c r="T58" s="5">
        <f>LOG(Table2[[#This Row],[ratio heavy to light normalized]],2)</f>
        <v>0.4365882936601177</v>
      </c>
      <c r="U58" s="5">
        <v>5.6258977414262501E-2</v>
      </c>
    </row>
    <row r="59" spans="1:21" ht="13.5" customHeight="1" x14ac:dyDescent="0.3">
      <c r="A59" s="5" t="s">
        <v>902</v>
      </c>
      <c r="B59" s="5" t="s">
        <v>903</v>
      </c>
      <c r="C59" s="5">
        <v>637</v>
      </c>
      <c r="D59" s="5">
        <v>637</v>
      </c>
      <c r="E59" s="5">
        <v>1</v>
      </c>
      <c r="F59" s="6">
        <v>49.928899999999999</v>
      </c>
      <c r="G59" s="5">
        <v>1.6252300000000001E-3</v>
      </c>
      <c r="H59" s="5">
        <v>49.929000000000002</v>
      </c>
      <c r="I59" s="5" t="s">
        <v>11</v>
      </c>
      <c r="J59" s="5">
        <v>1</v>
      </c>
      <c r="K59" s="5" t="s">
        <v>2</v>
      </c>
      <c r="L59" s="5" t="s">
        <v>904</v>
      </c>
      <c r="M59" s="5" t="s">
        <v>905</v>
      </c>
      <c r="N59" s="5" t="s">
        <v>906</v>
      </c>
      <c r="O59" s="5">
        <v>13</v>
      </c>
      <c r="P59" s="6">
        <v>474780</v>
      </c>
      <c r="Q59" s="5">
        <v>215620</v>
      </c>
      <c r="R59" s="5">
        <v>259150</v>
      </c>
      <c r="S59" s="5">
        <v>1.3513999999999999</v>
      </c>
      <c r="T59" s="5">
        <f>LOG(Table2[[#This Row],[ratio heavy to light normalized]],2)</f>
        <v>0.43445476023240287</v>
      </c>
      <c r="U59" s="5">
        <v>0.15359859812179399</v>
      </c>
    </row>
    <row r="60" spans="1:21" ht="13.5" customHeight="1" x14ac:dyDescent="0.3">
      <c r="A60" s="5" t="s">
        <v>155</v>
      </c>
      <c r="B60" s="5" t="s">
        <v>156</v>
      </c>
      <c r="C60" s="5">
        <v>264</v>
      </c>
      <c r="D60" s="5">
        <v>264</v>
      </c>
      <c r="E60" s="5">
        <v>1</v>
      </c>
      <c r="F60" s="6">
        <v>45.915399999999998</v>
      </c>
      <c r="G60" s="5">
        <v>9.7671400000000005E-3</v>
      </c>
      <c r="H60" s="5">
        <v>45.914999999999999</v>
      </c>
      <c r="I60" s="5" t="s">
        <v>11</v>
      </c>
      <c r="J60" s="5">
        <v>1</v>
      </c>
      <c r="K60" s="5" t="s">
        <v>2</v>
      </c>
      <c r="L60" s="5" t="s">
        <v>499</v>
      </c>
      <c r="M60" s="5" t="s">
        <v>500</v>
      </c>
      <c r="N60" s="5" t="s">
        <v>501</v>
      </c>
      <c r="O60" s="5">
        <v>4</v>
      </c>
      <c r="P60" s="6">
        <v>1155900</v>
      </c>
      <c r="Q60" s="5">
        <v>542690</v>
      </c>
      <c r="R60" s="5">
        <v>613170</v>
      </c>
      <c r="S60" s="5">
        <v>1.3512999999999999</v>
      </c>
      <c r="T60" s="5">
        <f>LOG(Table2[[#This Row],[ratio heavy to light normalized]],2)</f>
        <v>0.4343480006925689</v>
      </c>
      <c r="U60" s="5">
        <v>5.7259886848906497E-2</v>
      </c>
    </row>
    <row r="61" spans="1:21" ht="13.5" customHeight="1" x14ac:dyDescent="0.3">
      <c r="A61" s="5" t="s">
        <v>917</v>
      </c>
      <c r="B61" s="5" t="s">
        <v>918</v>
      </c>
      <c r="C61" s="5">
        <v>108</v>
      </c>
      <c r="D61" s="5">
        <v>108</v>
      </c>
      <c r="E61" s="5">
        <v>1</v>
      </c>
      <c r="F61" s="6">
        <v>41.400799999999997</v>
      </c>
      <c r="G61" s="7">
        <v>1.9400799999999999E-12</v>
      </c>
      <c r="H61" s="5">
        <v>79.465999999999994</v>
      </c>
      <c r="I61" s="5"/>
      <c r="J61" s="5">
        <v>1</v>
      </c>
      <c r="K61" s="5" t="s">
        <v>2</v>
      </c>
      <c r="L61" s="5" t="s">
        <v>919</v>
      </c>
      <c r="M61" s="5" t="s">
        <v>920</v>
      </c>
      <c r="N61" s="5" t="s">
        <v>921</v>
      </c>
      <c r="O61" s="5">
        <v>8</v>
      </c>
      <c r="P61" s="6">
        <v>404410</v>
      </c>
      <c r="Q61" s="5">
        <v>179330</v>
      </c>
      <c r="R61" s="5">
        <v>225080</v>
      </c>
      <c r="S61" s="5">
        <v>1.3456999999999999</v>
      </c>
      <c r="T61" s="5">
        <f>LOG(Table2[[#This Row],[ratio heavy to light normalized]],2)</f>
        <v>0.42835682246518292</v>
      </c>
      <c r="U61" s="5">
        <v>0.15758441543895499</v>
      </c>
    </row>
    <row r="62" spans="1:21" ht="13.5" customHeight="1" x14ac:dyDescent="0.3">
      <c r="A62" s="5" t="s">
        <v>952</v>
      </c>
      <c r="B62" s="5" t="s">
        <v>953</v>
      </c>
      <c r="C62" s="5">
        <v>215</v>
      </c>
      <c r="D62" s="5">
        <v>215</v>
      </c>
      <c r="E62" s="5">
        <v>1</v>
      </c>
      <c r="F62" s="6">
        <v>81.337599999999995</v>
      </c>
      <c r="G62" s="7">
        <v>3.2376399999999999E-7</v>
      </c>
      <c r="H62" s="5">
        <v>81.337999999999994</v>
      </c>
      <c r="I62" s="5" t="s">
        <v>11</v>
      </c>
      <c r="J62" s="5">
        <v>1</v>
      </c>
      <c r="K62" s="5" t="s">
        <v>2</v>
      </c>
      <c r="L62" s="5" t="s">
        <v>954</v>
      </c>
      <c r="M62" s="5" t="s">
        <v>955</v>
      </c>
      <c r="N62" s="5" t="s">
        <v>956</v>
      </c>
      <c r="O62" s="5">
        <v>4</v>
      </c>
      <c r="P62" s="6">
        <v>954120</v>
      </c>
      <c r="Q62" s="5">
        <v>372080</v>
      </c>
      <c r="R62" s="5">
        <v>582040</v>
      </c>
      <c r="S62" s="5">
        <v>1.3415999999999999</v>
      </c>
      <c r="T62" s="5">
        <f>LOG(Table2[[#This Row],[ratio heavy to light normalized]],2)</f>
        <v>0.42395459401489682</v>
      </c>
      <c r="U62" s="5">
        <v>0.16051022221623101</v>
      </c>
    </row>
    <row r="63" spans="1:21" ht="13.5" customHeight="1" x14ac:dyDescent="0.3">
      <c r="A63" s="5" t="s">
        <v>278</v>
      </c>
      <c r="B63" s="5" t="s">
        <v>279</v>
      </c>
      <c r="C63" s="5">
        <v>129</v>
      </c>
      <c r="D63" s="5">
        <v>129</v>
      </c>
      <c r="E63" s="5">
        <v>1</v>
      </c>
      <c r="F63" s="6">
        <v>20.856999999999999</v>
      </c>
      <c r="G63" s="5">
        <v>0.53820999999999997</v>
      </c>
      <c r="H63" s="5">
        <v>20.856999999999999</v>
      </c>
      <c r="I63" s="5"/>
      <c r="J63" s="5">
        <v>1</v>
      </c>
      <c r="K63" s="5" t="s">
        <v>2</v>
      </c>
      <c r="L63" s="5" t="s">
        <v>280</v>
      </c>
      <c r="M63" s="5" t="s">
        <v>281</v>
      </c>
      <c r="N63" s="5" t="s">
        <v>282</v>
      </c>
      <c r="O63" s="5">
        <v>5</v>
      </c>
      <c r="P63" s="6">
        <v>442800</v>
      </c>
      <c r="Q63" s="5">
        <v>223850</v>
      </c>
      <c r="R63" s="5">
        <v>218950</v>
      </c>
      <c r="S63" s="5">
        <v>1.8619000000000001</v>
      </c>
      <c r="T63" s="5">
        <f>LOG(Table2[[#This Row],[ratio heavy to light normalized]],2)</f>
        <v>0.89677558987937356</v>
      </c>
      <c r="U63" s="5">
        <v>1.3699466412846801E-2</v>
      </c>
    </row>
    <row r="64" spans="1:21" ht="13.5" customHeight="1" x14ac:dyDescent="0.3">
      <c r="A64" s="5" t="s">
        <v>828</v>
      </c>
      <c r="B64" s="5" t="s">
        <v>829</v>
      </c>
      <c r="C64" s="5">
        <v>270</v>
      </c>
      <c r="D64" s="5">
        <v>270</v>
      </c>
      <c r="E64" s="5">
        <v>1</v>
      </c>
      <c r="F64" s="6">
        <v>21.840800000000002</v>
      </c>
      <c r="G64" s="5">
        <v>2.7361899999999999E-3</v>
      </c>
      <c r="H64" s="5">
        <v>56.359000000000002</v>
      </c>
      <c r="I64" s="5"/>
      <c r="J64" s="5">
        <v>1</v>
      </c>
      <c r="K64" s="5" t="s">
        <v>2</v>
      </c>
      <c r="L64" s="5" t="s">
        <v>975</v>
      </c>
      <c r="M64" s="5" t="s">
        <v>976</v>
      </c>
      <c r="N64" s="5" t="s">
        <v>977</v>
      </c>
      <c r="O64" s="5">
        <v>9</v>
      </c>
      <c r="P64" s="6">
        <v>707890</v>
      </c>
      <c r="Q64" s="5">
        <v>317800</v>
      </c>
      <c r="R64" s="5">
        <v>390100</v>
      </c>
      <c r="S64" s="5">
        <v>1.335</v>
      </c>
      <c r="T64" s="5">
        <f>LOG(Table2[[#This Row],[ratio heavy to light normalized]],2)</f>
        <v>0.41683974191282924</v>
      </c>
      <c r="U64" s="5">
        <v>0.16532541585230101</v>
      </c>
    </row>
    <row r="65" spans="1:21" ht="13.5" customHeight="1" x14ac:dyDescent="0.3">
      <c r="A65" s="5" t="s">
        <v>288</v>
      </c>
      <c r="B65" s="5" t="s">
        <v>289</v>
      </c>
      <c r="C65" s="5">
        <v>317</v>
      </c>
      <c r="D65" s="5">
        <v>317</v>
      </c>
      <c r="E65" s="5">
        <v>1</v>
      </c>
      <c r="F65" s="6">
        <v>12.710599999999999</v>
      </c>
      <c r="G65" s="5">
        <v>1.02294</v>
      </c>
      <c r="H65" s="5">
        <v>12.711</v>
      </c>
      <c r="I65" s="5"/>
      <c r="J65" s="5">
        <v>1</v>
      </c>
      <c r="K65" s="5" t="s">
        <v>2</v>
      </c>
      <c r="L65" s="5" t="s">
        <v>290</v>
      </c>
      <c r="M65" s="5" t="s">
        <v>291</v>
      </c>
      <c r="N65" s="5" t="s">
        <v>292</v>
      </c>
      <c r="O65" s="5">
        <v>18</v>
      </c>
      <c r="P65" s="6">
        <v>1210300</v>
      </c>
      <c r="Q65" s="5">
        <v>409430</v>
      </c>
      <c r="R65" s="5">
        <v>800900</v>
      </c>
      <c r="S65" s="5">
        <v>1.5097</v>
      </c>
      <c r="T65" s="5">
        <f>LOG(Table2[[#This Row],[ratio heavy to light normalized]],2)</f>
        <v>0.59426189291976805</v>
      </c>
      <c r="U65" s="5">
        <v>1.42409595044605E-2</v>
      </c>
    </row>
    <row r="66" spans="1:21" ht="13.5" customHeight="1" x14ac:dyDescent="0.3">
      <c r="A66" s="5" t="s">
        <v>1004</v>
      </c>
      <c r="B66" s="5" t="s">
        <v>1005</v>
      </c>
      <c r="C66" s="5">
        <v>298</v>
      </c>
      <c r="D66" s="5">
        <v>298</v>
      </c>
      <c r="E66" s="5">
        <v>1</v>
      </c>
      <c r="F66" s="6">
        <v>30.427700000000002</v>
      </c>
      <c r="G66" s="5">
        <v>2.0219299999999999E-2</v>
      </c>
      <c r="H66" s="5">
        <v>30.428000000000001</v>
      </c>
      <c r="I66" s="5"/>
      <c r="J66" s="5">
        <v>1</v>
      </c>
      <c r="K66" s="5" t="s">
        <v>2</v>
      </c>
      <c r="L66" s="5" t="s">
        <v>1006</v>
      </c>
      <c r="M66" s="5" t="s">
        <v>1007</v>
      </c>
      <c r="N66" s="5" t="s">
        <v>1008</v>
      </c>
      <c r="O66" s="5">
        <v>18</v>
      </c>
      <c r="P66" s="6">
        <v>868160</v>
      </c>
      <c r="Q66" s="5">
        <v>321150</v>
      </c>
      <c r="R66" s="5">
        <v>547010</v>
      </c>
      <c r="S66" s="5">
        <v>1.3223</v>
      </c>
      <c r="T66" s="5">
        <f>LOG(Table2[[#This Row],[ratio heavy to light normalized]],2)</f>
        <v>0.40304952889652451</v>
      </c>
      <c r="U66" s="5">
        <v>0.17496666571417099</v>
      </c>
    </row>
    <row r="67" spans="1:21" ht="13.5" customHeight="1" x14ac:dyDescent="0.3">
      <c r="A67" s="5" t="s">
        <v>1014</v>
      </c>
      <c r="B67" s="5" t="s">
        <v>1015</v>
      </c>
      <c r="C67" s="5">
        <v>62</v>
      </c>
      <c r="D67" s="5">
        <v>62</v>
      </c>
      <c r="E67" s="5">
        <v>1</v>
      </c>
      <c r="F67" s="6">
        <v>63.283200000000001</v>
      </c>
      <c r="G67" s="5">
        <v>1.2396200000000001E-3</v>
      </c>
      <c r="H67" s="5">
        <v>63.283000000000001</v>
      </c>
      <c r="I67" s="5" t="s">
        <v>11</v>
      </c>
      <c r="J67" s="5">
        <v>1</v>
      </c>
      <c r="K67" s="5" t="s">
        <v>2</v>
      </c>
      <c r="L67" s="5" t="s">
        <v>1016</v>
      </c>
      <c r="M67" s="5" t="s">
        <v>1017</v>
      </c>
      <c r="N67" s="5" t="s">
        <v>1018</v>
      </c>
      <c r="O67" s="5">
        <v>4</v>
      </c>
      <c r="P67" s="6">
        <v>673710</v>
      </c>
      <c r="Q67" s="5">
        <v>246580</v>
      </c>
      <c r="R67" s="5">
        <v>427130</v>
      </c>
      <c r="S67" s="5">
        <v>1.3180000000000001</v>
      </c>
      <c r="T67" s="5">
        <f>LOG(Table2[[#This Row],[ratio heavy to light normalized]],2)</f>
        <v>0.39835037034596477</v>
      </c>
      <c r="U67" s="5">
        <v>0.17834609423954101</v>
      </c>
    </row>
    <row r="68" spans="1:21" ht="13.5" customHeight="1" x14ac:dyDescent="0.3">
      <c r="A68" s="5" t="s">
        <v>278</v>
      </c>
      <c r="B68" s="5" t="s">
        <v>279</v>
      </c>
      <c r="C68" s="5">
        <v>390</v>
      </c>
      <c r="D68" s="5">
        <v>390</v>
      </c>
      <c r="E68" s="5">
        <v>1</v>
      </c>
      <c r="F68" s="6">
        <v>56.9514</v>
      </c>
      <c r="G68" s="5">
        <v>1.1354E-4</v>
      </c>
      <c r="H68" s="5">
        <v>56.951000000000001</v>
      </c>
      <c r="I68" s="5" t="s">
        <v>11</v>
      </c>
      <c r="J68" s="5">
        <v>1</v>
      </c>
      <c r="K68" s="5" t="s">
        <v>2</v>
      </c>
      <c r="L68" s="5" t="s">
        <v>584</v>
      </c>
      <c r="M68" s="5" t="s">
        <v>585</v>
      </c>
      <c r="N68" s="5" t="s">
        <v>586</v>
      </c>
      <c r="O68" s="5">
        <v>8</v>
      </c>
      <c r="P68" s="6">
        <v>2428700</v>
      </c>
      <c r="Q68" s="5">
        <v>895680</v>
      </c>
      <c r="R68" s="5">
        <v>1533000</v>
      </c>
      <c r="S68" s="5">
        <v>1.3168</v>
      </c>
      <c r="T68" s="5">
        <f>LOG(Table2[[#This Row],[ratio heavy to light normalized]],2)</f>
        <v>0.39703624087217632</v>
      </c>
      <c r="U68" s="5">
        <v>7.6222270264357794E-2</v>
      </c>
    </row>
    <row r="69" spans="1:21" ht="13.5" customHeight="1" x14ac:dyDescent="0.3">
      <c r="A69" s="5" t="s">
        <v>937</v>
      </c>
      <c r="B69" s="5" t="s">
        <v>938</v>
      </c>
      <c r="C69" s="5">
        <v>560</v>
      </c>
      <c r="D69" s="5">
        <v>560</v>
      </c>
      <c r="E69" s="5">
        <v>1</v>
      </c>
      <c r="F69" s="6">
        <v>53.828499999999998</v>
      </c>
      <c r="G69" s="7">
        <v>7.9468800000000004E-6</v>
      </c>
      <c r="H69" s="5">
        <v>53.828000000000003</v>
      </c>
      <c r="I69" s="5"/>
      <c r="J69" s="5">
        <v>1</v>
      </c>
      <c r="K69" s="5" t="s">
        <v>2</v>
      </c>
      <c r="L69" s="5" t="s">
        <v>1024</v>
      </c>
      <c r="M69" s="5" t="s">
        <v>1025</v>
      </c>
      <c r="N69" s="5" t="s">
        <v>1026</v>
      </c>
      <c r="O69" s="5">
        <v>8</v>
      </c>
      <c r="P69" s="6">
        <v>837370</v>
      </c>
      <c r="Q69" s="5">
        <v>325420</v>
      </c>
      <c r="R69" s="5">
        <v>511950</v>
      </c>
      <c r="S69" s="5">
        <v>1.3152999999999999</v>
      </c>
      <c r="T69" s="5">
        <f>LOG(Table2[[#This Row],[ratio heavy to light normalized]],2)</f>
        <v>0.39539189392821011</v>
      </c>
      <c r="U69" s="5">
        <v>0.18049847492961801</v>
      </c>
    </row>
    <row r="70" spans="1:21" ht="13.5" customHeight="1" x14ac:dyDescent="0.3">
      <c r="A70" s="5" t="s">
        <v>595</v>
      </c>
      <c r="B70" s="5" t="s">
        <v>596</v>
      </c>
      <c r="C70" s="5">
        <v>695</v>
      </c>
      <c r="D70" s="5">
        <v>695</v>
      </c>
      <c r="E70" s="5">
        <v>1</v>
      </c>
      <c r="F70" s="6">
        <v>83.691599999999994</v>
      </c>
      <c r="G70" s="7">
        <v>8.2666400000000002E-13</v>
      </c>
      <c r="H70" s="5">
        <v>83.691999999999993</v>
      </c>
      <c r="I70" s="5" t="s">
        <v>11</v>
      </c>
      <c r="J70" s="5">
        <v>1</v>
      </c>
      <c r="K70" s="5" t="s">
        <v>2</v>
      </c>
      <c r="L70" s="5" t="s">
        <v>597</v>
      </c>
      <c r="M70" s="5" t="s">
        <v>598</v>
      </c>
      <c r="N70" s="5" t="s">
        <v>599</v>
      </c>
      <c r="O70" s="5">
        <v>7</v>
      </c>
      <c r="P70" s="6">
        <v>1307700</v>
      </c>
      <c r="Q70" s="5">
        <v>666440</v>
      </c>
      <c r="R70" s="5">
        <v>641300</v>
      </c>
      <c r="S70" s="5">
        <v>1.3138000000000001</v>
      </c>
      <c r="T70" s="5">
        <f>LOG(Table2[[#This Row],[ratio heavy to light normalized]],2)</f>
        <v>0.39374567066082494</v>
      </c>
      <c r="U70" s="5">
        <v>7.8115700653440603E-2</v>
      </c>
    </row>
    <row r="71" spans="1:21" ht="13.5" customHeight="1" x14ac:dyDescent="0.3">
      <c r="A71" s="5" t="s">
        <v>381</v>
      </c>
      <c r="B71" s="5" t="s">
        <v>382</v>
      </c>
      <c r="C71" s="5">
        <v>570</v>
      </c>
      <c r="D71" s="5">
        <v>570</v>
      </c>
      <c r="E71" s="5">
        <v>1</v>
      </c>
      <c r="F71" s="6">
        <v>112.73699999999999</v>
      </c>
      <c r="G71" s="7">
        <v>9.9126999999999997E-39</v>
      </c>
      <c r="H71" s="5">
        <v>112.74</v>
      </c>
      <c r="I71" s="5" t="s">
        <v>11</v>
      </c>
      <c r="J71" s="5">
        <v>1</v>
      </c>
      <c r="K71" s="5" t="s">
        <v>2</v>
      </c>
      <c r="L71" s="5" t="s">
        <v>383</v>
      </c>
      <c r="M71" s="5" t="s">
        <v>384</v>
      </c>
      <c r="N71" s="5" t="s">
        <v>385</v>
      </c>
      <c r="O71" s="5">
        <v>20</v>
      </c>
      <c r="P71" s="6">
        <v>29730000</v>
      </c>
      <c r="Q71" s="5">
        <v>14198000</v>
      </c>
      <c r="R71" s="5">
        <v>15532000</v>
      </c>
      <c r="S71" s="5">
        <v>1.3133999999999999</v>
      </c>
      <c r="T71" s="5">
        <f>LOG(Table2[[#This Row],[ratio heavy to light normalized]],2)</f>
        <v>0.39330636035265276</v>
      </c>
      <c r="U71" s="5">
        <v>2.8656418938278999E-2</v>
      </c>
    </row>
    <row r="72" spans="1:21" ht="13.5" customHeight="1" x14ac:dyDescent="0.3">
      <c r="A72" s="5" t="s">
        <v>278</v>
      </c>
      <c r="B72" s="5" t="s">
        <v>279</v>
      </c>
      <c r="C72" s="5">
        <v>422</v>
      </c>
      <c r="D72" s="5">
        <v>422</v>
      </c>
      <c r="E72" s="5">
        <v>1</v>
      </c>
      <c r="F72" s="6">
        <v>62.546199999999999</v>
      </c>
      <c r="G72" s="5">
        <v>1.8357399999999999E-4</v>
      </c>
      <c r="H72" s="5">
        <v>62.545999999999999</v>
      </c>
      <c r="I72" s="5" t="s">
        <v>11</v>
      </c>
      <c r="J72" s="5">
        <v>1</v>
      </c>
      <c r="K72" s="5" t="s">
        <v>2</v>
      </c>
      <c r="L72" s="5" t="s">
        <v>600</v>
      </c>
      <c r="M72" s="5" t="s">
        <v>601</v>
      </c>
      <c r="N72" s="5" t="s">
        <v>602</v>
      </c>
      <c r="O72" s="5">
        <v>4</v>
      </c>
      <c r="P72" s="6">
        <v>2245200</v>
      </c>
      <c r="Q72" s="5">
        <v>1122400</v>
      </c>
      <c r="R72" s="5">
        <v>1122800</v>
      </c>
      <c r="S72" s="5">
        <v>1.3115000000000001</v>
      </c>
      <c r="T72" s="5">
        <f>LOG(Table2[[#This Row],[ratio heavy to light normalized]],2)</f>
        <v>0.39121780760289732</v>
      </c>
      <c r="U72" s="5">
        <v>7.9596121965602895E-2</v>
      </c>
    </row>
    <row r="73" spans="1:21" ht="13.5" customHeight="1" x14ac:dyDescent="0.3">
      <c r="A73" s="5" t="s">
        <v>1090</v>
      </c>
      <c r="B73" s="5" t="s">
        <v>1091</v>
      </c>
      <c r="C73" s="5">
        <v>141</v>
      </c>
      <c r="D73" s="5">
        <v>141</v>
      </c>
      <c r="E73" s="5">
        <v>1</v>
      </c>
      <c r="F73" s="6">
        <v>69.815200000000004</v>
      </c>
      <c r="G73" s="7">
        <v>1.0865E-5</v>
      </c>
      <c r="H73" s="5">
        <v>69.814999999999998</v>
      </c>
      <c r="I73" s="5" t="s">
        <v>11</v>
      </c>
      <c r="J73" s="5">
        <v>1</v>
      </c>
      <c r="K73" s="5" t="s">
        <v>2</v>
      </c>
      <c r="L73" s="5" t="s">
        <v>1092</v>
      </c>
      <c r="M73" s="5" t="s">
        <v>1093</v>
      </c>
      <c r="N73" s="5" t="s">
        <v>1094</v>
      </c>
      <c r="O73" s="5">
        <v>1</v>
      </c>
      <c r="P73" s="6">
        <v>463850</v>
      </c>
      <c r="Q73" s="5">
        <v>217560</v>
      </c>
      <c r="R73" s="5">
        <v>246280</v>
      </c>
      <c r="S73" s="5">
        <v>1.296</v>
      </c>
      <c r="T73" s="5">
        <f>LOG(Table2[[#This Row],[ratio heavy to light normalized]],2)</f>
        <v>0.3740657182225377</v>
      </c>
      <c r="U73" s="5">
        <v>0.19658748066158499</v>
      </c>
    </row>
    <row r="74" spans="1:21" ht="13.5" customHeight="1" x14ac:dyDescent="0.3">
      <c r="A74" s="5" t="s">
        <v>668</v>
      </c>
      <c r="B74" s="5" t="s">
        <v>669</v>
      </c>
      <c r="C74" s="5">
        <v>386</v>
      </c>
      <c r="D74" s="5">
        <v>386</v>
      </c>
      <c r="E74" s="5">
        <v>1</v>
      </c>
      <c r="F74" s="6">
        <v>84.17</v>
      </c>
      <c r="G74" s="7">
        <v>1.5689E-7</v>
      </c>
      <c r="H74" s="5">
        <v>84.17</v>
      </c>
      <c r="I74" s="5" t="s">
        <v>11</v>
      </c>
      <c r="J74" s="5">
        <v>1</v>
      </c>
      <c r="K74" s="5" t="s">
        <v>2</v>
      </c>
      <c r="L74" s="5" t="s">
        <v>670</v>
      </c>
      <c r="M74" s="5" t="s">
        <v>671</v>
      </c>
      <c r="N74" s="5" t="s">
        <v>672</v>
      </c>
      <c r="O74" s="5">
        <v>6</v>
      </c>
      <c r="P74" s="6">
        <v>1327200</v>
      </c>
      <c r="Q74" s="5">
        <v>644900</v>
      </c>
      <c r="R74" s="5">
        <v>682270</v>
      </c>
      <c r="S74" s="5">
        <v>1.2952999999999999</v>
      </c>
      <c r="T74" s="5">
        <f>LOG(Table2[[#This Row],[ratio heavy to light normalized]],2)</f>
        <v>0.37328627427302419</v>
      </c>
      <c r="U74" s="5">
        <v>9.0763628418369005E-2</v>
      </c>
    </row>
    <row r="75" spans="1:21" ht="13.5" customHeight="1" x14ac:dyDescent="0.3">
      <c r="A75" s="5" t="s">
        <v>1095</v>
      </c>
      <c r="B75" s="5" t="s">
        <v>1096</v>
      </c>
      <c r="C75" s="5">
        <v>79</v>
      </c>
      <c r="D75" s="5">
        <v>79</v>
      </c>
      <c r="E75" s="5">
        <v>1</v>
      </c>
      <c r="F75" s="6">
        <v>33.675800000000002</v>
      </c>
      <c r="G75" s="5">
        <v>7.2482899999999997E-4</v>
      </c>
      <c r="H75" s="5">
        <v>33.676000000000002</v>
      </c>
      <c r="I75" s="5"/>
      <c r="J75" s="5">
        <v>1</v>
      </c>
      <c r="K75" s="5" t="s">
        <v>2</v>
      </c>
      <c r="L75" s="5" t="s">
        <v>1097</v>
      </c>
      <c r="M75" s="5" t="s">
        <v>1098</v>
      </c>
      <c r="N75" s="5" t="s">
        <v>1099</v>
      </c>
      <c r="O75" s="5">
        <v>15</v>
      </c>
      <c r="P75" s="6">
        <v>927410</v>
      </c>
      <c r="Q75" s="5">
        <v>395490</v>
      </c>
      <c r="R75" s="5">
        <v>531910</v>
      </c>
      <c r="S75" s="5">
        <v>1.2931999999999999</v>
      </c>
      <c r="T75" s="5">
        <f>LOG(Table2[[#This Row],[ratio heavy to light normalized]],2)</f>
        <v>0.37094541257663599</v>
      </c>
      <c r="U75" s="5">
        <v>0.19902696508548501</v>
      </c>
    </row>
    <row r="76" spans="1:21" ht="13.5" customHeight="1" x14ac:dyDescent="0.3">
      <c r="A76" s="5" t="s">
        <v>1095</v>
      </c>
      <c r="B76" s="5" t="s">
        <v>1096</v>
      </c>
      <c r="C76" s="5">
        <v>304</v>
      </c>
      <c r="D76" s="5">
        <v>304</v>
      </c>
      <c r="E76" s="5">
        <v>1</v>
      </c>
      <c r="F76" s="6">
        <v>101.929</v>
      </c>
      <c r="G76" s="7">
        <v>7.1335200000000005E-17</v>
      </c>
      <c r="H76" s="5">
        <v>101.93</v>
      </c>
      <c r="I76" s="5"/>
      <c r="J76" s="5">
        <v>1</v>
      </c>
      <c r="K76" s="5" t="s">
        <v>2</v>
      </c>
      <c r="L76" s="5" t="s">
        <v>1118</v>
      </c>
      <c r="M76" s="5" t="s">
        <v>1119</v>
      </c>
      <c r="N76" s="5" t="s">
        <v>1120</v>
      </c>
      <c r="O76" s="5">
        <v>11</v>
      </c>
      <c r="P76" s="6">
        <v>354400</v>
      </c>
      <c r="Q76" s="5">
        <v>157510</v>
      </c>
      <c r="R76" s="5">
        <v>196890</v>
      </c>
      <c r="S76" s="5">
        <v>1.2825</v>
      </c>
      <c r="T76" s="5">
        <f>LOG(Table2[[#This Row],[ratio heavy to light normalized]],2)</f>
        <v>0.35895882583232935</v>
      </c>
      <c r="U76" s="5">
        <v>0.208603923626071</v>
      </c>
    </row>
    <row r="77" spans="1:21" ht="13.5" customHeight="1" x14ac:dyDescent="0.3">
      <c r="A77" s="5" t="s">
        <v>1131</v>
      </c>
      <c r="B77" s="5" t="s">
        <v>1132</v>
      </c>
      <c r="C77" s="5">
        <v>107</v>
      </c>
      <c r="D77" s="5">
        <v>107</v>
      </c>
      <c r="E77" s="5">
        <v>1</v>
      </c>
      <c r="F77" s="6">
        <v>91.656800000000004</v>
      </c>
      <c r="G77" s="7">
        <v>4.3500499999999998E-21</v>
      </c>
      <c r="H77" s="5">
        <v>91.656999999999996</v>
      </c>
      <c r="I77" s="5" t="s">
        <v>11</v>
      </c>
      <c r="J77" s="5">
        <v>1</v>
      </c>
      <c r="K77" s="5" t="s">
        <v>2</v>
      </c>
      <c r="L77" s="5" t="s">
        <v>1133</v>
      </c>
      <c r="M77" s="5" t="s">
        <v>1134</v>
      </c>
      <c r="N77" s="5" t="s">
        <v>1135</v>
      </c>
      <c r="O77" s="5">
        <v>10</v>
      </c>
      <c r="P77" s="6">
        <v>975970</v>
      </c>
      <c r="Q77" s="5">
        <v>519240</v>
      </c>
      <c r="R77" s="5">
        <v>456740</v>
      </c>
      <c r="S77" s="5">
        <v>1.2818000000000001</v>
      </c>
      <c r="T77" s="5">
        <f>LOG(Table2[[#This Row],[ratio heavy to light normalized]],2)</f>
        <v>0.35817117496955436</v>
      </c>
      <c r="U77" s="5">
        <v>0.20924473304260099</v>
      </c>
    </row>
    <row r="78" spans="1:21" ht="13.5" customHeight="1" x14ac:dyDescent="0.3">
      <c r="A78" s="5" t="s">
        <v>715</v>
      </c>
      <c r="B78" s="5" t="s">
        <v>716</v>
      </c>
      <c r="C78" s="5">
        <v>524</v>
      </c>
      <c r="D78" s="5">
        <v>524</v>
      </c>
      <c r="E78" s="5">
        <v>1</v>
      </c>
      <c r="F78" s="6">
        <v>52.789700000000003</v>
      </c>
      <c r="G78" s="5">
        <v>1.02541E-2</v>
      </c>
      <c r="H78" s="5">
        <v>52.79</v>
      </c>
      <c r="I78" s="5"/>
      <c r="J78" s="5">
        <v>1</v>
      </c>
      <c r="K78" s="5" t="s">
        <v>2</v>
      </c>
      <c r="L78" s="5" t="s">
        <v>717</v>
      </c>
      <c r="M78" s="5" t="s">
        <v>718</v>
      </c>
      <c r="N78" s="5" t="s">
        <v>719</v>
      </c>
      <c r="O78" s="5">
        <v>6</v>
      </c>
      <c r="P78" s="6">
        <v>1516400</v>
      </c>
      <c r="Q78" s="5">
        <v>709180</v>
      </c>
      <c r="R78" s="5">
        <v>807210</v>
      </c>
      <c r="S78" s="5">
        <v>1.2761</v>
      </c>
      <c r="T78" s="5">
        <f>LOG(Table2[[#This Row],[ratio heavy to light normalized]],2)</f>
        <v>0.35174138854728904</v>
      </c>
      <c r="U78" s="5">
        <v>0.105811591239273</v>
      </c>
    </row>
    <row r="79" spans="1:21" ht="13.5" customHeight="1" x14ac:dyDescent="0.3">
      <c r="A79" s="5" t="s">
        <v>56</v>
      </c>
      <c r="B79" s="5" t="s">
        <v>57</v>
      </c>
      <c r="C79" s="5">
        <v>145</v>
      </c>
      <c r="D79" s="5">
        <v>145</v>
      </c>
      <c r="E79" s="5">
        <v>1</v>
      </c>
      <c r="F79" s="6">
        <v>28.326899999999998</v>
      </c>
      <c r="G79" s="5">
        <v>0.40021099999999998</v>
      </c>
      <c r="H79" s="5">
        <v>28.327000000000002</v>
      </c>
      <c r="I79" s="5" t="s">
        <v>11</v>
      </c>
      <c r="J79" s="5">
        <v>1</v>
      </c>
      <c r="K79" s="5" t="s">
        <v>2</v>
      </c>
      <c r="L79" s="5" t="s">
        <v>354</v>
      </c>
      <c r="M79" s="5" t="s">
        <v>355</v>
      </c>
      <c r="N79" s="5" t="s">
        <v>356</v>
      </c>
      <c r="O79" s="5">
        <v>11</v>
      </c>
      <c r="P79" s="6">
        <v>594140</v>
      </c>
      <c r="Q79" s="5">
        <v>406150</v>
      </c>
      <c r="R79" s="5">
        <v>187990</v>
      </c>
      <c r="S79" s="5">
        <v>0.46849000000000002</v>
      </c>
      <c r="T79" s="5">
        <f>LOG(Table2[[#This Row],[ratio heavy to light normalized]],2)</f>
        <v>-1.093909841249177</v>
      </c>
      <c r="U79" s="5">
        <v>2.4002913784161199E-2</v>
      </c>
    </row>
    <row r="80" spans="1:21" ht="13.5" customHeight="1" x14ac:dyDescent="0.3">
      <c r="A80" s="5" t="s">
        <v>1178</v>
      </c>
      <c r="B80" s="5" t="s">
        <v>1179</v>
      </c>
      <c r="C80" s="5">
        <v>337</v>
      </c>
      <c r="D80" s="5">
        <v>337</v>
      </c>
      <c r="E80" s="5">
        <v>1</v>
      </c>
      <c r="F80" s="6">
        <v>44.6158</v>
      </c>
      <c r="G80" s="5">
        <v>4.5262699999999998E-3</v>
      </c>
      <c r="H80" s="5">
        <v>44.616</v>
      </c>
      <c r="I80" s="5" t="s">
        <v>11</v>
      </c>
      <c r="J80" s="5">
        <v>1</v>
      </c>
      <c r="K80" s="5" t="s">
        <v>2</v>
      </c>
      <c r="L80" s="5" t="s">
        <v>1180</v>
      </c>
      <c r="M80" s="5" t="s">
        <v>1181</v>
      </c>
      <c r="N80" s="5" t="s">
        <v>1182</v>
      </c>
      <c r="O80" s="5">
        <v>8</v>
      </c>
      <c r="P80" s="6">
        <v>564320</v>
      </c>
      <c r="Q80" s="5">
        <v>292880</v>
      </c>
      <c r="R80" s="5">
        <v>271440</v>
      </c>
      <c r="S80" s="5">
        <v>1.2715000000000001</v>
      </c>
      <c r="T80" s="5">
        <f>LOG(Table2[[#This Row],[ratio heavy to light normalized]],2)</f>
        <v>0.34653146202801932</v>
      </c>
      <c r="U80" s="5">
        <v>0.21888115310628101</v>
      </c>
    </row>
    <row r="81" spans="1:21" ht="13.5" customHeight="1" x14ac:dyDescent="0.3">
      <c r="A81" s="5" t="s">
        <v>1191</v>
      </c>
      <c r="B81" s="5" t="s">
        <v>1192</v>
      </c>
      <c r="C81" s="5">
        <v>62</v>
      </c>
      <c r="D81" s="5">
        <v>62</v>
      </c>
      <c r="E81" s="5">
        <v>1</v>
      </c>
      <c r="F81" s="6">
        <v>60.255099999999999</v>
      </c>
      <c r="G81" s="5">
        <v>1.7613699999999999E-3</v>
      </c>
      <c r="H81" s="5">
        <v>60.255000000000003</v>
      </c>
      <c r="I81" s="5" t="s">
        <v>11</v>
      </c>
      <c r="J81" s="5">
        <v>1</v>
      </c>
      <c r="K81" s="5" t="s">
        <v>2</v>
      </c>
      <c r="L81" s="5" t="s">
        <v>1193</v>
      </c>
      <c r="M81" s="5" t="s">
        <v>1194</v>
      </c>
      <c r="N81" s="5" t="s">
        <v>1195</v>
      </c>
      <c r="O81" s="5">
        <v>7</v>
      </c>
      <c r="P81" s="6">
        <v>633490</v>
      </c>
      <c r="Q81" s="5">
        <v>263210</v>
      </c>
      <c r="R81" s="5">
        <v>370280</v>
      </c>
      <c r="S81" s="5">
        <v>1.2699</v>
      </c>
      <c r="T81" s="5">
        <f>LOG(Table2[[#This Row],[ratio heavy to light normalized]],2)</f>
        <v>0.34471489449012716</v>
      </c>
      <c r="U81" s="5">
        <v>0.22041337483220999</v>
      </c>
    </row>
    <row r="82" spans="1:21" ht="13.5" customHeight="1" x14ac:dyDescent="0.3">
      <c r="A82" s="5" t="s">
        <v>730</v>
      </c>
      <c r="B82" s="5" t="s">
        <v>731</v>
      </c>
      <c r="C82" s="5">
        <v>140</v>
      </c>
      <c r="D82" s="5">
        <v>140</v>
      </c>
      <c r="E82" s="5">
        <v>1</v>
      </c>
      <c r="F82" s="6">
        <v>85.844999999999999</v>
      </c>
      <c r="G82" s="7">
        <v>2.87271E-11</v>
      </c>
      <c r="H82" s="5">
        <v>85.844999999999999</v>
      </c>
      <c r="I82" s="5"/>
      <c r="J82" s="5">
        <v>1</v>
      </c>
      <c r="K82" s="5" t="s">
        <v>2</v>
      </c>
      <c r="L82" s="5" t="s">
        <v>732</v>
      </c>
      <c r="M82" s="5" t="s">
        <v>733</v>
      </c>
      <c r="N82" s="5" t="s">
        <v>734</v>
      </c>
      <c r="O82" s="5">
        <v>10</v>
      </c>
      <c r="P82" s="6">
        <v>2136200</v>
      </c>
      <c r="Q82" s="5">
        <v>1004600</v>
      </c>
      <c r="R82" s="5">
        <v>1131600</v>
      </c>
      <c r="S82" s="5">
        <v>1.2690999999999999</v>
      </c>
      <c r="T82" s="5">
        <f>LOG(Table2[[#This Row],[ratio heavy to light normalized]],2)</f>
        <v>0.34380575225231264</v>
      </c>
      <c r="U82" s="5">
        <v>0.111829115742532</v>
      </c>
    </row>
    <row r="83" spans="1:21" ht="13.5" customHeight="1" x14ac:dyDescent="0.3">
      <c r="A83" s="5" t="s">
        <v>445</v>
      </c>
      <c r="B83" s="5" t="s">
        <v>446</v>
      </c>
      <c r="C83" s="5">
        <v>251</v>
      </c>
      <c r="D83" s="5">
        <v>251</v>
      </c>
      <c r="E83" s="5">
        <v>0.99993399999999999</v>
      </c>
      <c r="F83" s="6">
        <v>41.8249</v>
      </c>
      <c r="G83" s="7">
        <v>5.41802E-7</v>
      </c>
      <c r="H83" s="5">
        <v>43.731999999999999</v>
      </c>
      <c r="I83" s="5" t="s">
        <v>11</v>
      </c>
      <c r="J83" s="5">
        <v>1</v>
      </c>
      <c r="K83" s="5" t="s">
        <v>2</v>
      </c>
      <c r="L83" s="5" t="s">
        <v>447</v>
      </c>
      <c r="M83" s="5" t="s">
        <v>448</v>
      </c>
      <c r="N83" s="5" t="s">
        <v>449</v>
      </c>
      <c r="O83" s="5">
        <v>9</v>
      </c>
      <c r="P83" s="6">
        <v>2891200</v>
      </c>
      <c r="Q83" s="5">
        <v>1095400</v>
      </c>
      <c r="R83" s="5">
        <v>1795800</v>
      </c>
      <c r="S83" s="5">
        <v>1.2673000000000001</v>
      </c>
      <c r="T83" s="5">
        <f>LOG(Table2[[#This Row],[ratio heavy to light normalized]],2)</f>
        <v>0.34175808507872119</v>
      </c>
      <c r="U83" s="5">
        <v>5.0192993209330898E-2</v>
      </c>
    </row>
    <row r="84" spans="1:21" ht="13.5" customHeight="1" x14ac:dyDescent="0.3">
      <c r="A84" s="5" t="s">
        <v>745</v>
      </c>
      <c r="B84" s="5" t="s">
        <v>746</v>
      </c>
      <c r="C84" s="5">
        <v>88</v>
      </c>
      <c r="D84" s="5">
        <v>88</v>
      </c>
      <c r="E84" s="5">
        <v>1</v>
      </c>
      <c r="F84" s="6">
        <v>98.943200000000004</v>
      </c>
      <c r="G84" s="7">
        <v>5.7513400000000005E-23</v>
      </c>
      <c r="H84" s="5">
        <v>98.942999999999998</v>
      </c>
      <c r="I84" s="5"/>
      <c r="J84" s="5">
        <v>1</v>
      </c>
      <c r="K84" s="5" t="s">
        <v>2</v>
      </c>
      <c r="L84" s="5" t="s">
        <v>747</v>
      </c>
      <c r="M84" s="5" t="s">
        <v>748</v>
      </c>
      <c r="N84" s="5" t="s">
        <v>749</v>
      </c>
      <c r="O84" s="5">
        <v>15</v>
      </c>
      <c r="P84" s="6">
        <v>1140400</v>
      </c>
      <c r="Q84" s="5">
        <v>497640</v>
      </c>
      <c r="R84" s="5">
        <v>642790</v>
      </c>
      <c r="S84" s="5">
        <v>1.2656000000000001</v>
      </c>
      <c r="T84" s="5">
        <f>LOG(Table2[[#This Row],[ratio heavy to light normalized]],2)</f>
        <v>0.33982150492334251</v>
      </c>
      <c r="U84" s="5">
        <v>0.114950494483822</v>
      </c>
    </row>
    <row r="85" spans="1:21" ht="13.5" customHeight="1" x14ac:dyDescent="0.3">
      <c r="A85" s="5" t="s">
        <v>758</v>
      </c>
      <c r="B85" s="5" t="s">
        <v>759</v>
      </c>
      <c r="C85" s="5">
        <v>13</v>
      </c>
      <c r="D85" s="5">
        <v>13</v>
      </c>
      <c r="E85" s="5">
        <v>1</v>
      </c>
      <c r="F85" s="6">
        <v>42.172199999999997</v>
      </c>
      <c r="G85" s="7">
        <v>8.3020200000000002E-5</v>
      </c>
      <c r="H85" s="5">
        <v>42.171999999999997</v>
      </c>
      <c r="I85" s="5"/>
      <c r="J85" s="5">
        <v>1</v>
      </c>
      <c r="K85" s="5" t="s">
        <v>2</v>
      </c>
      <c r="L85" s="5" t="s">
        <v>760</v>
      </c>
      <c r="M85" s="5" t="s">
        <v>761</v>
      </c>
      <c r="N85" s="5" t="s">
        <v>762</v>
      </c>
      <c r="O85" s="5">
        <v>5</v>
      </c>
      <c r="P85" s="6">
        <v>2385200</v>
      </c>
      <c r="Q85" s="5">
        <v>872670</v>
      </c>
      <c r="R85" s="5">
        <v>1512500</v>
      </c>
      <c r="S85" s="5">
        <v>1.2642</v>
      </c>
      <c r="T85" s="5">
        <f>LOG(Table2[[#This Row],[ratio heavy to light normalized]],2)</f>
        <v>0.33822471998901293</v>
      </c>
      <c r="U85" s="5">
        <v>0.116220538928074</v>
      </c>
    </row>
    <row r="86" spans="1:21" ht="13.5" customHeight="1" x14ac:dyDescent="0.3">
      <c r="A86" s="5" t="s">
        <v>137</v>
      </c>
      <c r="B86" s="5" t="s">
        <v>138</v>
      </c>
      <c r="C86" s="5">
        <v>163</v>
      </c>
      <c r="D86" s="5">
        <v>163</v>
      </c>
      <c r="E86" s="5">
        <v>1</v>
      </c>
      <c r="F86" s="6">
        <v>52.522500000000001</v>
      </c>
      <c r="G86" s="7">
        <v>6.2831600000000001E-13</v>
      </c>
      <c r="H86" s="5">
        <v>64.953999999999994</v>
      </c>
      <c r="I86" s="5"/>
      <c r="J86" s="5">
        <v>1</v>
      </c>
      <c r="K86" s="5" t="s">
        <v>2</v>
      </c>
      <c r="L86" s="5" t="s">
        <v>486</v>
      </c>
      <c r="M86" s="5" t="s">
        <v>487</v>
      </c>
      <c r="N86" s="5" t="s">
        <v>488</v>
      </c>
      <c r="O86" s="5">
        <v>10</v>
      </c>
      <c r="P86" s="6">
        <v>20261000</v>
      </c>
      <c r="Q86" s="5">
        <v>9841400</v>
      </c>
      <c r="R86" s="5">
        <v>10420000</v>
      </c>
      <c r="S86" s="5">
        <v>1.2581</v>
      </c>
      <c r="T86" s="5">
        <f>LOG(Table2[[#This Row],[ratio heavy to light normalized]],2)</f>
        <v>0.33124659930012001</v>
      </c>
      <c r="U86" s="5">
        <v>5.5947740965194198E-2</v>
      </c>
    </row>
    <row r="87" spans="1:21" ht="13.5" customHeight="1" x14ac:dyDescent="0.3">
      <c r="A87" s="5" t="s">
        <v>784</v>
      </c>
      <c r="B87" s="5" t="s">
        <v>785</v>
      </c>
      <c r="C87" s="5">
        <v>205</v>
      </c>
      <c r="D87" s="5">
        <v>205</v>
      </c>
      <c r="E87" s="5">
        <v>1</v>
      </c>
      <c r="F87" s="6">
        <v>124.447</v>
      </c>
      <c r="G87" s="7">
        <v>3.61878E-40</v>
      </c>
      <c r="H87" s="5">
        <v>124.45</v>
      </c>
      <c r="I87" s="5" t="s">
        <v>11</v>
      </c>
      <c r="J87" s="5">
        <v>1</v>
      </c>
      <c r="K87" s="5" t="s">
        <v>2</v>
      </c>
      <c r="L87" s="5" t="s">
        <v>786</v>
      </c>
      <c r="M87" s="5" t="s">
        <v>787</v>
      </c>
      <c r="N87" s="5" t="s">
        <v>788</v>
      </c>
      <c r="O87" s="5">
        <v>7</v>
      </c>
      <c r="P87" s="6">
        <v>1520100</v>
      </c>
      <c r="Q87" s="5">
        <v>559010</v>
      </c>
      <c r="R87" s="5">
        <v>961060</v>
      </c>
      <c r="S87" s="5">
        <v>1.2524</v>
      </c>
      <c r="T87" s="5">
        <f>LOG(Table2[[#This Row],[ratio heavy to light normalized]],2)</f>
        <v>0.32469541358922055</v>
      </c>
      <c r="U87" s="5">
        <v>0.12742846473061101</v>
      </c>
    </row>
    <row r="88" spans="1:21" ht="13.5" customHeight="1" x14ac:dyDescent="0.3">
      <c r="A88" s="5" t="s">
        <v>794</v>
      </c>
      <c r="B88" s="5" t="s">
        <v>795</v>
      </c>
      <c r="C88" s="5">
        <v>23</v>
      </c>
      <c r="D88" s="5">
        <v>23</v>
      </c>
      <c r="E88" s="5">
        <v>1</v>
      </c>
      <c r="F88" s="6">
        <v>82.361800000000002</v>
      </c>
      <c r="G88" s="7">
        <v>5.6087499999999997E-9</v>
      </c>
      <c r="H88" s="5">
        <v>82.361999999999995</v>
      </c>
      <c r="I88" s="5" t="s">
        <v>11</v>
      </c>
      <c r="J88" s="5">
        <v>1</v>
      </c>
      <c r="K88" s="5" t="s">
        <v>2</v>
      </c>
      <c r="L88" s="5" t="s">
        <v>796</v>
      </c>
      <c r="M88" s="5" t="s">
        <v>797</v>
      </c>
      <c r="N88" s="5" t="s">
        <v>798</v>
      </c>
      <c r="O88" s="5">
        <v>10</v>
      </c>
      <c r="P88" s="6">
        <v>2112000</v>
      </c>
      <c r="Q88" s="5">
        <v>1029800</v>
      </c>
      <c r="R88" s="5">
        <v>1082100</v>
      </c>
      <c r="S88" s="5">
        <v>1.2475000000000001</v>
      </c>
      <c r="T88" s="5">
        <f>LOG(Table2[[#This Row],[ratio heavy to light normalized]],2)</f>
        <v>0.31903981556253591</v>
      </c>
      <c r="U88" s="5">
        <v>0.13235580354825299</v>
      </c>
    </row>
    <row r="89" spans="1:21" ht="13.5" customHeight="1" x14ac:dyDescent="0.3">
      <c r="A89" s="5" t="s">
        <v>288</v>
      </c>
      <c r="B89" s="5" t="s">
        <v>289</v>
      </c>
      <c r="C89" s="5">
        <v>183</v>
      </c>
      <c r="D89" s="5">
        <v>183</v>
      </c>
      <c r="E89" s="5">
        <v>1</v>
      </c>
      <c r="F89" s="6">
        <v>80.763300000000001</v>
      </c>
      <c r="G89" s="7">
        <v>1.09586E-7</v>
      </c>
      <c r="H89" s="5">
        <v>80.763000000000005</v>
      </c>
      <c r="I89" s="5"/>
      <c r="J89" s="5">
        <v>1</v>
      </c>
      <c r="K89" s="5" t="s">
        <v>2</v>
      </c>
      <c r="L89" s="5" t="s">
        <v>1275</v>
      </c>
      <c r="M89" s="5" t="s">
        <v>1276</v>
      </c>
      <c r="N89" s="5" t="s">
        <v>1277</v>
      </c>
      <c r="O89" s="5">
        <v>4</v>
      </c>
      <c r="P89" s="6">
        <v>670510</v>
      </c>
      <c r="Q89" s="5">
        <v>340970</v>
      </c>
      <c r="R89" s="5">
        <v>329540</v>
      </c>
      <c r="S89" s="5">
        <v>1.2472000000000001</v>
      </c>
      <c r="T89" s="5">
        <f>LOG(Table2[[#This Row],[ratio heavy to light normalized]],2)</f>
        <v>0.31869283314833541</v>
      </c>
      <c r="U89" s="5">
        <v>0.24321089453047501</v>
      </c>
    </row>
    <row r="90" spans="1:21" ht="13.5" customHeight="1" x14ac:dyDescent="0.3">
      <c r="A90" s="5" t="s">
        <v>1082</v>
      </c>
      <c r="B90" s="5" t="s">
        <v>1083</v>
      </c>
      <c r="C90" s="5">
        <v>56</v>
      </c>
      <c r="D90" s="5">
        <v>56</v>
      </c>
      <c r="E90" s="5">
        <v>1</v>
      </c>
      <c r="F90" s="6">
        <v>78.3416</v>
      </c>
      <c r="G90" s="7">
        <v>1.2228499999999999E-8</v>
      </c>
      <c r="H90" s="5">
        <v>78.341999999999999</v>
      </c>
      <c r="I90" s="5" t="s">
        <v>11</v>
      </c>
      <c r="J90" s="5">
        <v>1</v>
      </c>
      <c r="K90" s="5" t="s">
        <v>2</v>
      </c>
      <c r="L90" s="5" t="s">
        <v>1288</v>
      </c>
      <c r="M90" s="5" t="s">
        <v>1289</v>
      </c>
      <c r="N90" s="5" t="s">
        <v>1290</v>
      </c>
      <c r="O90" s="5">
        <v>10</v>
      </c>
      <c r="P90" s="6">
        <v>369550</v>
      </c>
      <c r="Q90" s="5">
        <v>183290</v>
      </c>
      <c r="R90" s="5">
        <v>186260</v>
      </c>
      <c r="S90" s="5">
        <v>1.2458</v>
      </c>
      <c r="T90" s="5">
        <f>LOG(Table2[[#This Row],[ratio heavy to light normalized]],2)</f>
        <v>0.3170724775369711</v>
      </c>
      <c r="U90" s="5">
        <v>0.24468335408455399</v>
      </c>
    </row>
    <row r="91" spans="1:21" ht="13.5" customHeight="1" x14ac:dyDescent="0.3">
      <c r="A91" s="5" t="s">
        <v>20</v>
      </c>
      <c r="B91" s="5" t="s">
        <v>21</v>
      </c>
      <c r="C91" s="5">
        <v>267</v>
      </c>
      <c r="D91" s="5">
        <v>267</v>
      </c>
      <c r="E91" s="5">
        <v>1</v>
      </c>
      <c r="F91" s="6">
        <v>63.726900000000001</v>
      </c>
      <c r="G91" s="7">
        <v>1.8233999999999999E-5</v>
      </c>
      <c r="H91" s="5">
        <v>63.726999999999997</v>
      </c>
      <c r="I91" s="5" t="s">
        <v>11</v>
      </c>
      <c r="J91" s="5">
        <v>1</v>
      </c>
      <c r="K91" s="5" t="s">
        <v>2</v>
      </c>
      <c r="L91" s="5" t="s">
        <v>1291</v>
      </c>
      <c r="M91" s="5" t="s">
        <v>1292</v>
      </c>
      <c r="N91" s="5" t="s">
        <v>1293</v>
      </c>
      <c r="O91" s="5">
        <v>9</v>
      </c>
      <c r="P91" s="6">
        <v>535510</v>
      </c>
      <c r="Q91" s="5">
        <v>188600</v>
      </c>
      <c r="R91" s="5">
        <v>346910</v>
      </c>
      <c r="S91" s="5">
        <v>1.2457</v>
      </c>
      <c r="T91" s="5">
        <f>LOG(Table2[[#This Row],[ratio heavy to light normalized]],2)</f>
        <v>0.31695666818183055</v>
      </c>
      <c r="U91" s="5">
        <v>0.244788832145934</v>
      </c>
    </row>
    <row r="92" spans="1:21" ht="13.5" customHeight="1" x14ac:dyDescent="0.3">
      <c r="A92" s="5" t="s">
        <v>702</v>
      </c>
      <c r="B92" s="5" t="s">
        <v>703</v>
      </c>
      <c r="C92" s="5">
        <v>359</v>
      </c>
      <c r="D92" s="5">
        <v>359</v>
      </c>
      <c r="E92" s="5">
        <v>1</v>
      </c>
      <c r="F92" s="6">
        <v>51.146799999999999</v>
      </c>
      <c r="G92" s="7">
        <v>3.6091899999999999E-5</v>
      </c>
      <c r="H92" s="5">
        <v>51.146999999999998</v>
      </c>
      <c r="I92" s="5" t="s">
        <v>11</v>
      </c>
      <c r="J92" s="5">
        <v>1</v>
      </c>
      <c r="K92" s="5" t="s">
        <v>2</v>
      </c>
      <c r="L92" s="5" t="s">
        <v>802</v>
      </c>
      <c r="M92" s="5" t="s">
        <v>803</v>
      </c>
      <c r="N92" s="5" t="s">
        <v>804</v>
      </c>
      <c r="O92" s="5">
        <v>14</v>
      </c>
      <c r="P92" s="6">
        <v>1371800</v>
      </c>
      <c r="Q92" s="5">
        <v>701090</v>
      </c>
      <c r="R92" s="5">
        <v>670670</v>
      </c>
      <c r="S92" s="5">
        <v>1.2441</v>
      </c>
      <c r="T92" s="5">
        <f>LOG(Table2[[#This Row],[ratio heavy to light normalized]],2)</f>
        <v>0.31510245307766832</v>
      </c>
      <c r="U92" s="5">
        <v>0.135872403439112</v>
      </c>
    </row>
    <row r="93" spans="1:21" ht="13.5" customHeight="1" x14ac:dyDescent="0.3">
      <c r="A93" s="5" t="s">
        <v>833</v>
      </c>
      <c r="B93" s="5" t="s">
        <v>834</v>
      </c>
      <c r="C93" s="5">
        <v>267</v>
      </c>
      <c r="D93" s="5">
        <v>267</v>
      </c>
      <c r="E93" s="5">
        <v>1</v>
      </c>
      <c r="F93" s="6">
        <v>31.389399999999998</v>
      </c>
      <c r="G93" s="7">
        <v>2.8891299999999999E-13</v>
      </c>
      <c r="H93" s="5">
        <v>86.290999999999997</v>
      </c>
      <c r="I93" s="5" t="s">
        <v>11</v>
      </c>
      <c r="J93" s="5">
        <v>1</v>
      </c>
      <c r="K93" s="5" t="s">
        <v>2</v>
      </c>
      <c r="L93" s="5" t="s">
        <v>835</v>
      </c>
      <c r="M93" s="5" t="s">
        <v>836</v>
      </c>
      <c r="N93" s="5" t="s">
        <v>837</v>
      </c>
      <c r="O93" s="5">
        <v>14</v>
      </c>
      <c r="P93" s="6">
        <v>2125400</v>
      </c>
      <c r="Q93" s="5">
        <v>1010500</v>
      </c>
      <c r="R93" s="5">
        <v>1114900</v>
      </c>
      <c r="S93" s="5">
        <v>1.2407999999999999</v>
      </c>
      <c r="T93" s="5">
        <f>LOG(Table2[[#This Row],[ratio heavy to light normalized]],2)</f>
        <v>0.31127059148664132</v>
      </c>
      <c r="U93" s="5">
        <v>0.139363628609245</v>
      </c>
    </row>
    <row r="94" spans="1:21" ht="13.5" customHeight="1" x14ac:dyDescent="0.3">
      <c r="A94" s="5" t="s">
        <v>867</v>
      </c>
      <c r="B94" s="5" t="s">
        <v>868</v>
      </c>
      <c r="C94" s="5">
        <v>163</v>
      </c>
      <c r="D94" s="5">
        <v>163</v>
      </c>
      <c r="E94" s="5">
        <v>1</v>
      </c>
      <c r="F94" s="6">
        <v>69.815200000000004</v>
      </c>
      <c r="G94" s="7">
        <v>5.3304099999999997E-6</v>
      </c>
      <c r="H94" s="5">
        <v>69.814999999999998</v>
      </c>
      <c r="I94" s="5"/>
      <c r="J94" s="5">
        <v>1</v>
      </c>
      <c r="K94" s="5" t="s">
        <v>2</v>
      </c>
      <c r="L94" s="5" t="s">
        <v>869</v>
      </c>
      <c r="M94" s="5" t="s">
        <v>870</v>
      </c>
      <c r="N94" s="5" t="s">
        <v>871</v>
      </c>
      <c r="O94" s="5">
        <v>5</v>
      </c>
      <c r="P94" s="6">
        <v>2022500</v>
      </c>
      <c r="Q94" s="5">
        <v>913530</v>
      </c>
      <c r="R94" s="5">
        <v>1109000</v>
      </c>
      <c r="S94" s="5">
        <v>1.2352000000000001</v>
      </c>
      <c r="T94" s="5">
        <f>LOG(Table2[[#This Row],[ratio heavy to light normalized]],2)</f>
        <v>0.30474465771863113</v>
      </c>
      <c r="U94" s="5">
        <v>0.14546784710771099</v>
      </c>
    </row>
    <row r="95" spans="1:21" ht="13.5" customHeight="1" x14ac:dyDescent="0.3">
      <c r="A95" s="5" t="s">
        <v>697</v>
      </c>
      <c r="B95" s="5" t="s">
        <v>698</v>
      </c>
      <c r="C95" s="5">
        <v>121</v>
      </c>
      <c r="D95" s="5">
        <v>121</v>
      </c>
      <c r="E95" s="5">
        <v>1</v>
      </c>
      <c r="F95" s="6">
        <v>62.377299999999998</v>
      </c>
      <c r="G95" s="7">
        <v>1.1222E-7</v>
      </c>
      <c r="H95" s="5">
        <v>62.377000000000002</v>
      </c>
      <c r="I95" s="5" t="s">
        <v>11</v>
      </c>
      <c r="J95" s="5">
        <v>1</v>
      </c>
      <c r="K95" s="5" t="s">
        <v>2</v>
      </c>
      <c r="L95" s="5" t="s">
        <v>1346</v>
      </c>
      <c r="M95" s="5" t="s">
        <v>1347</v>
      </c>
      <c r="N95" s="5" t="s">
        <v>1348</v>
      </c>
      <c r="O95" s="5">
        <v>14</v>
      </c>
      <c r="P95" s="6">
        <v>749230</v>
      </c>
      <c r="Q95" s="5">
        <v>326990</v>
      </c>
      <c r="R95" s="5">
        <v>422240</v>
      </c>
      <c r="S95" s="5">
        <v>1.2351000000000001</v>
      </c>
      <c r="T95" s="5">
        <f>LOG(Table2[[#This Row],[ratio heavy to light normalized]],2)</f>
        <v>0.30462785449297619</v>
      </c>
      <c r="U95" s="5">
        <v>0.256200790884415</v>
      </c>
    </row>
    <row r="96" spans="1:21" ht="13.5" customHeight="1" x14ac:dyDescent="0.3">
      <c r="A96" s="5" t="s">
        <v>877</v>
      </c>
      <c r="B96" s="5" t="s">
        <v>878</v>
      </c>
      <c r="C96" s="5">
        <v>306</v>
      </c>
      <c r="D96" s="5">
        <v>306</v>
      </c>
      <c r="E96" s="5">
        <v>1</v>
      </c>
      <c r="F96" s="6">
        <v>112.723</v>
      </c>
      <c r="G96" s="7">
        <v>7.3280100000000007E-30</v>
      </c>
      <c r="H96" s="5">
        <v>112.72</v>
      </c>
      <c r="I96" s="5" t="s">
        <v>11</v>
      </c>
      <c r="J96" s="5">
        <v>1</v>
      </c>
      <c r="K96" s="5" t="s">
        <v>2</v>
      </c>
      <c r="L96" s="5" t="s">
        <v>879</v>
      </c>
      <c r="M96" s="5" t="s">
        <v>880</v>
      </c>
      <c r="N96" s="5" t="s">
        <v>881</v>
      </c>
      <c r="O96" s="5">
        <v>9</v>
      </c>
      <c r="P96" s="6">
        <v>1835300</v>
      </c>
      <c r="Q96" s="5">
        <v>867850</v>
      </c>
      <c r="R96" s="5">
        <v>967480</v>
      </c>
      <c r="S96" s="5">
        <v>1.2346999999999999</v>
      </c>
      <c r="T96" s="5">
        <f>LOG(Table2[[#This Row],[ratio heavy to light normalized]],2)</f>
        <v>0.30416054700135631</v>
      </c>
      <c r="U96" s="5">
        <v>0.14602404151480999</v>
      </c>
    </row>
    <row r="97" spans="1:21" ht="13.5" customHeight="1" x14ac:dyDescent="0.3">
      <c r="A97" s="5" t="s">
        <v>513</v>
      </c>
      <c r="B97" s="5" t="s">
        <v>514</v>
      </c>
      <c r="C97" s="5">
        <v>78</v>
      </c>
      <c r="D97" s="5">
        <v>78</v>
      </c>
      <c r="E97" s="5">
        <v>1</v>
      </c>
      <c r="F97" s="6">
        <v>49.444099999999999</v>
      </c>
      <c r="G97" s="5">
        <v>1.2243E-2</v>
      </c>
      <c r="H97" s="5">
        <v>49.444000000000003</v>
      </c>
      <c r="I97" s="5" t="s">
        <v>11</v>
      </c>
      <c r="J97" s="5">
        <v>1</v>
      </c>
      <c r="K97" s="5" t="s">
        <v>2</v>
      </c>
      <c r="L97" s="5" t="s">
        <v>1365</v>
      </c>
      <c r="M97" s="5" t="s">
        <v>1366</v>
      </c>
      <c r="N97" s="5" t="s">
        <v>1367</v>
      </c>
      <c r="O97" s="5">
        <v>2</v>
      </c>
      <c r="P97" s="6">
        <v>615480</v>
      </c>
      <c r="Q97" s="5">
        <v>296380</v>
      </c>
      <c r="R97" s="5">
        <v>319090</v>
      </c>
      <c r="S97" s="5">
        <v>1.2323</v>
      </c>
      <c r="T97" s="5">
        <f>LOG(Table2[[#This Row],[ratio heavy to light normalized]],2)</f>
        <v>0.30135351887776402</v>
      </c>
      <c r="U97" s="5">
        <v>0.259292757459264</v>
      </c>
    </row>
    <row r="98" spans="1:21" ht="13.5" customHeight="1" x14ac:dyDescent="0.3">
      <c r="A98" s="5" t="s">
        <v>1371</v>
      </c>
      <c r="B98" s="5" t="s">
        <v>1372</v>
      </c>
      <c r="C98" s="5">
        <v>232</v>
      </c>
      <c r="D98" s="5">
        <v>232</v>
      </c>
      <c r="E98" s="5">
        <v>1</v>
      </c>
      <c r="F98" s="6">
        <v>49.309600000000003</v>
      </c>
      <c r="G98" s="5">
        <v>9.0957199999999998E-4</v>
      </c>
      <c r="H98" s="5">
        <v>49.31</v>
      </c>
      <c r="I98" s="5" t="s">
        <v>11</v>
      </c>
      <c r="J98" s="5">
        <v>1</v>
      </c>
      <c r="K98" s="5" t="s">
        <v>2</v>
      </c>
      <c r="L98" s="5" t="s">
        <v>1373</v>
      </c>
      <c r="M98" s="5" t="s">
        <v>1374</v>
      </c>
      <c r="N98" s="5" t="s">
        <v>1375</v>
      </c>
      <c r="O98" s="5">
        <v>2</v>
      </c>
      <c r="P98" s="6">
        <v>879200</v>
      </c>
      <c r="Q98" s="5">
        <v>460220</v>
      </c>
      <c r="R98" s="5">
        <v>418980</v>
      </c>
      <c r="S98" s="5">
        <v>1.2302999999999999</v>
      </c>
      <c r="T98" s="5">
        <f>LOG(Table2[[#This Row],[ratio heavy to light normalized]],2)</f>
        <v>0.29901014949892291</v>
      </c>
      <c r="U98" s="5">
        <v>0.26152141617569302</v>
      </c>
    </row>
    <row r="99" spans="1:21" ht="13.5" customHeight="1" x14ac:dyDescent="0.3">
      <c r="A99" s="5" t="s">
        <v>126</v>
      </c>
      <c r="B99" s="5" t="s">
        <v>127</v>
      </c>
      <c r="C99" s="5">
        <v>330</v>
      </c>
      <c r="D99" s="5">
        <v>330</v>
      </c>
      <c r="E99" s="5">
        <v>1</v>
      </c>
      <c r="F99" s="6">
        <v>155.66300000000001</v>
      </c>
      <c r="G99" s="7">
        <v>8.8236000000000004E-60</v>
      </c>
      <c r="H99" s="5">
        <v>155.66</v>
      </c>
      <c r="I99" s="5" t="s">
        <v>11</v>
      </c>
      <c r="J99" s="5">
        <v>1</v>
      </c>
      <c r="K99" s="5" t="s">
        <v>2</v>
      </c>
      <c r="L99" s="5" t="s">
        <v>587</v>
      </c>
      <c r="M99" s="5" t="s">
        <v>588</v>
      </c>
      <c r="N99" s="5" t="s">
        <v>589</v>
      </c>
      <c r="O99" s="5">
        <v>6</v>
      </c>
      <c r="P99" s="6">
        <v>16710000</v>
      </c>
      <c r="Q99" s="5">
        <v>7454800</v>
      </c>
      <c r="R99" s="5">
        <v>9255000</v>
      </c>
      <c r="S99" s="5">
        <v>1.2302</v>
      </c>
      <c r="T99" s="5">
        <f>LOG(Table2[[#This Row],[ratio heavy to light normalized]],2)</f>
        <v>0.29889288105416106</v>
      </c>
      <c r="U99" s="5">
        <v>7.7199774135631796E-2</v>
      </c>
    </row>
    <row r="100" spans="1:21" ht="13.5" customHeight="1" x14ac:dyDescent="0.3">
      <c r="A100" s="5" t="s">
        <v>603</v>
      </c>
      <c r="B100" s="5" t="s">
        <v>604</v>
      </c>
      <c r="C100" s="5">
        <v>389</v>
      </c>
      <c r="D100" s="5">
        <v>389</v>
      </c>
      <c r="E100" s="5">
        <v>1</v>
      </c>
      <c r="F100" s="6">
        <v>66.873800000000003</v>
      </c>
      <c r="G100" s="7">
        <v>1.2345799999999999E-13</v>
      </c>
      <c r="H100" s="5">
        <v>66.873999999999995</v>
      </c>
      <c r="I100" s="5" t="s">
        <v>11</v>
      </c>
      <c r="J100" s="5">
        <v>1</v>
      </c>
      <c r="K100" s="5" t="s">
        <v>2</v>
      </c>
      <c r="L100" s="5" t="s">
        <v>605</v>
      </c>
      <c r="M100" s="5" t="s">
        <v>606</v>
      </c>
      <c r="N100" s="5" t="s">
        <v>607</v>
      </c>
      <c r="O100" s="5">
        <v>7</v>
      </c>
      <c r="P100" s="6">
        <v>2715100</v>
      </c>
      <c r="Q100" s="5">
        <v>1381500</v>
      </c>
      <c r="R100" s="5">
        <v>1333700</v>
      </c>
      <c r="S100" s="5">
        <v>1.2267999999999999</v>
      </c>
      <c r="T100" s="5">
        <f>LOG(Table2[[#This Row],[ratio heavy to light normalized]],2)</f>
        <v>0.29490007171757004</v>
      </c>
      <c r="U100" s="5">
        <v>8.0227931686415899E-2</v>
      </c>
    </row>
    <row r="101" spans="1:21" ht="13.5" customHeight="1" x14ac:dyDescent="0.3">
      <c r="A101" s="5" t="s">
        <v>623</v>
      </c>
      <c r="B101" s="5" t="s">
        <v>624</v>
      </c>
      <c r="C101" s="5">
        <v>41</v>
      </c>
      <c r="D101" s="5">
        <v>41</v>
      </c>
      <c r="E101" s="5">
        <v>1</v>
      </c>
      <c r="F101" s="6">
        <v>44.299399999999999</v>
      </c>
      <c r="G101" s="5">
        <v>2.3365400000000001E-2</v>
      </c>
      <c r="H101" s="5">
        <v>44.298999999999999</v>
      </c>
      <c r="I101" s="5" t="s">
        <v>11</v>
      </c>
      <c r="J101" s="5">
        <v>1</v>
      </c>
      <c r="K101" s="5" t="s">
        <v>2</v>
      </c>
      <c r="L101" s="5" t="s">
        <v>625</v>
      </c>
      <c r="M101" s="5" t="s">
        <v>626</v>
      </c>
      <c r="N101" s="5" t="s">
        <v>627</v>
      </c>
      <c r="O101" s="5">
        <v>4</v>
      </c>
      <c r="P101" s="6">
        <v>2811500</v>
      </c>
      <c r="Q101" s="5">
        <v>1385800</v>
      </c>
      <c r="R101" s="5">
        <v>1425600</v>
      </c>
      <c r="S101" s="5">
        <v>1.2219</v>
      </c>
      <c r="T101" s="5">
        <f>LOG(Table2[[#This Row],[ratio heavy to light normalized]],2)</f>
        <v>0.28912622017512163</v>
      </c>
      <c r="U101" s="5">
        <v>8.4776795172235395E-2</v>
      </c>
    </row>
    <row r="102" spans="1:21" ht="13.5" customHeight="1" x14ac:dyDescent="0.3">
      <c r="A102" s="5" t="s">
        <v>243</v>
      </c>
      <c r="B102" s="5" t="s">
        <v>244</v>
      </c>
      <c r="C102" s="5">
        <v>70</v>
      </c>
      <c r="D102" s="5">
        <v>70</v>
      </c>
      <c r="E102" s="5">
        <v>0.98012699999999997</v>
      </c>
      <c r="F102" s="6">
        <v>16.930299999999999</v>
      </c>
      <c r="G102" s="7">
        <v>1.5409799999999999E-5</v>
      </c>
      <c r="H102" s="5">
        <v>53.923999999999999</v>
      </c>
      <c r="I102" s="5"/>
      <c r="J102" s="5">
        <v>1</v>
      </c>
      <c r="K102" s="5" t="s">
        <v>2</v>
      </c>
      <c r="L102" s="5" t="s">
        <v>957</v>
      </c>
      <c r="M102" s="5" t="s">
        <v>958</v>
      </c>
      <c r="N102" s="5" t="s">
        <v>959</v>
      </c>
      <c r="O102" s="5">
        <v>6</v>
      </c>
      <c r="P102" s="6">
        <v>1291200</v>
      </c>
      <c r="Q102" s="5">
        <v>613410</v>
      </c>
      <c r="R102" s="5">
        <v>677780</v>
      </c>
      <c r="S102" s="5">
        <v>1.2212000000000001</v>
      </c>
      <c r="T102" s="5">
        <f>LOG(Table2[[#This Row],[ratio heavy to light normalized]],2)</f>
        <v>0.28829949465733068</v>
      </c>
      <c r="U102" s="5">
        <v>0.161756843601429</v>
      </c>
    </row>
    <row r="103" spans="1:21" ht="13.5" customHeight="1" x14ac:dyDescent="0.3">
      <c r="A103" s="5" t="s">
        <v>458</v>
      </c>
      <c r="B103" s="5" t="s">
        <v>459</v>
      </c>
      <c r="C103" s="5">
        <v>49</v>
      </c>
      <c r="D103" s="5">
        <v>49</v>
      </c>
      <c r="E103" s="5">
        <v>1</v>
      </c>
      <c r="F103" s="6">
        <v>36.317599999999999</v>
      </c>
      <c r="G103" s="5">
        <v>5.7207300000000003E-2</v>
      </c>
      <c r="H103" s="5">
        <v>36.317999999999998</v>
      </c>
      <c r="I103" s="5"/>
      <c r="J103" s="5">
        <v>1</v>
      </c>
      <c r="K103" s="5" t="s">
        <v>2</v>
      </c>
      <c r="L103" s="5" t="s">
        <v>460</v>
      </c>
      <c r="M103" s="5" t="s">
        <v>461</v>
      </c>
      <c r="N103" s="5" t="s">
        <v>462</v>
      </c>
      <c r="O103" s="5">
        <v>5</v>
      </c>
      <c r="P103" s="6">
        <v>727260</v>
      </c>
      <c r="Q103" s="5">
        <v>322820</v>
      </c>
      <c r="R103" s="5">
        <v>404440</v>
      </c>
      <c r="S103" s="5">
        <v>1.5792999999999999</v>
      </c>
      <c r="T103" s="5">
        <f>LOG(Table2[[#This Row],[ratio heavy to light normalized]],2)</f>
        <v>0.65928524808354283</v>
      </c>
      <c r="U103" s="5">
        <v>5.3386863884949599E-2</v>
      </c>
    </row>
    <row r="104" spans="1:21" ht="13.5" customHeight="1" x14ac:dyDescent="0.3">
      <c r="A104" s="5" t="s">
        <v>633</v>
      </c>
      <c r="B104" s="5" t="s">
        <v>634</v>
      </c>
      <c r="C104" s="5">
        <v>140</v>
      </c>
      <c r="D104" s="5">
        <v>140</v>
      </c>
      <c r="E104" s="5">
        <v>1</v>
      </c>
      <c r="F104" s="6">
        <v>58.486699999999999</v>
      </c>
      <c r="G104" s="7">
        <v>4.3980299999999998E-11</v>
      </c>
      <c r="H104" s="5">
        <v>89.826999999999998</v>
      </c>
      <c r="I104" s="5" t="s">
        <v>11</v>
      </c>
      <c r="J104" s="5">
        <v>1</v>
      </c>
      <c r="K104" s="5" t="s">
        <v>2</v>
      </c>
      <c r="L104" s="5" t="s">
        <v>635</v>
      </c>
      <c r="M104" s="5" t="s">
        <v>636</v>
      </c>
      <c r="N104" s="5" t="s">
        <v>637</v>
      </c>
      <c r="O104" s="5">
        <v>8</v>
      </c>
      <c r="P104" s="6">
        <v>17018000</v>
      </c>
      <c r="Q104" s="5">
        <v>8214600</v>
      </c>
      <c r="R104" s="5">
        <v>8803800</v>
      </c>
      <c r="S104" s="5">
        <v>1.2209000000000001</v>
      </c>
      <c r="T104" s="5">
        <f>LOG(Table2[[#This Row],[ratio heavy to light normalized]],2)</f>
        <v>0.28794503864451892</v>
      </c>
      <c r="U104" s="5">
        <v>8.5732608630399706E-2</v>
      </c>
    </row>
    <row r="105" spans="1:21" ht="13.5" customHeight="1" x14ac:dyDescent="0.3">
      <c r="A105" s="5" t="s">
        <v>965</v>
      </c>
      <c r="B105" s="5" t="s">
        <v>966</v>
      </c>
      <c r="C105" s="5">
        <v>30</v>
      </c>
      <c r="D105" s="5">
        <v>30</v>
      </c>
      <c r="E105" s="5">
        <v>1</v>
      </c>
      <c r="F105" s="6">
        <v>108.71299999999999</v>
      </c>
      <c r="G105" s="7">
        <v>1.1598699999999999E-29</v>
      </c>
      <c r="H105" s="5">
        <v>108.71</v>
      </c>
      <c r="I105" s="5"/>
      <c r="J105" s="5">
        <v>1</v>
      </c>
      <c r="K105" s="5" t="s">
        <v>2</v>
      </c>
      <c r="L105" s="5" t="s">
        <v>967</v>
      </c>
      <c r="M105" s="5" t="s">
        <v>968</v>
      </c>
      <c r="N105" s="5" t="s">
        <v>969</v>
      </c>
      <c r="O105" s="5">
        <v>13</v>
      </c>
      <c r="P105" s="6">
        <v>1086000</v>
      </c>
      <c r="Q105" s="5">
        <v>514980</v>
      </c>
      <c r="R105" s="5">
        <v>571040</v>
      </c>
      <c r="S105" s="5">
        <v>1.2197</v>
      </c>
      <c r="T105" s="5">
        <f>LOG(Table2[[#This Row],[ratio heavy to light normalized]],2)</f>
        <v>0.28652634308721631</v>
      </c>
      <c r="U105" s="5">
        <v>0.16359230455162099</v>
      </c>
    </row>
    <row r="106" spans="1:21" ht="13.5" customHeight="1" x14ac:dyDescent="0.3">
      <c r="A106" s="5" t="s">
        <v>643</v>
      </c>
      <c r="B106" s="5" t="s">
        <v>644</v>
      </c>
      <c r="C106" s="5">
        <v>101</v>
      </c>
      <c r="D106" s="5">
        <v>101</v>
      </c>
      <c r="E106" s="5">
        <v>1</v>
      </c>
      <c r="F106" s="6">
        <v>125.28400000000001</v>
      </c>
      <c r="G106" s="7">
        <v>3.7848999999999997E-33</v>
      </c>
      <c r="H106" s="5">
        <v>125.28</v>
      </c>
      <c r="I106" s="5"/>
      <c r="J106" s="5">
        <v>1</v>
      </c>
      <c r="K106" s="5" t="s">
        <v>2</v>
      </c>
      <c r="L106" s="5" t="s">
        <v>645</v>
      </c>
      <c r="M106" s="5" t="s">
        <v>646</v>
      </c>
      <c r="N106" s="5" t="s">
        <v>647</v>
      </c>
      <c r="O106" s="5">
        <v>9</v>
      </c>
      <c r="P106" s="6">
        <v>3839500</v>
      </c>
      <c r="Q106" s="5">
        <v>1983200</v>
      </c>
      <c r="R106" s="5">
        <v>1856300</v>
      </c>
      <c r="S106" s="5">
        <v>1.2194</v>
      </c>
      <c r="T106" s="5">
        <f>LOG(Table2[[#This Row],[ratio heavy to light normalized]],2)</f>
        <v>0.28617145110701936</v>
      </c>
      <c r="U106" s="5">
        <v>8.7184134786275597E-2</v>
      </c>
    </row>
    <row r="107" spans="1:21" ht="13.5" customHeight="1" x14ac:dyDescent="0.3">
      <c r="A107" s="5" t="s">
        <v>1433</v>
      </c>
      <c r="B107" s="5" t="s">
        <v>1434</v>
      </c>
      <c r="C107" s="5">
        <v>370</v>
      </c>
      <c r="D107" s="5">
        <v>370</v>
      </c>
      <c r="E107" s="5">
        <v>1</v>
      </c>
      <c r="F107" s="6">
        <v>54.408200000000001</v>
      </c>
      <c r="G107" s="7">
        <v>1.61301E-5</v>
      </c>
      <c r="H107" s="5">
        <v>54.408000000000001</v>
      </c>
      <c r="I107" s="5"/>
      <c r="J107" s="5">
        <v>1</v>
      </c>
      <c r="K107" s="5" t="s">
        <v>2</v>
      </c>
      <c r="L107" s="5" t="s">
        <v>1435</v>
      </c>
      <c r="M107" s="5" t="s">
        <v>1436</v>
      </c>
      <c r="N107" s="5" t="s">
        <v>1437</v>
      </c>
      <c r="O107" s="5">
        <v>4</v>
      </c>
      <c r="P107" s="6">
        <v>816820</v>
      </c>
      <c r="Q107" s="5">
        <v>526030</v>
      </c>
      <c r="R107" s="5">
        <v>290790</v>
      </c>
      <c r="S107" s="5">
        <v>1.2179</v>
      </c>
      <c r="T107" s="5">
        <f>LOG(Table2[[#This Row],[ratio heavy to light normalized]],2)</f>
        <v>0.28439568051287711</v>
      </c>
      <c r="U107" s="5">
        <v>0.27571908406874202</v>
      </c>
    </row>
    <row r="108" spans="1:21" ht="13.5" customHeight="1" x14ac:dyDescent="0.3">
      <c r="A108" s="5" t="s">
        <v>481</v>
      </c>
      <c r="B108" s="5" t="s">
        <v>482</v>
      </c>
      <c r="C108" s="5">
        <v>80</v>
      </c>
      <c r="D108" s="5">
        <v>80</v>
      </c>
      <c r="E108" s="5">
        <v>1</v>
      </c>
      <c r="F108" s="6">
        <v>36.846899999999998</v>
      </c>
      <c r="G108" s="5">
        <v>5.4375E-2</v>
      </c>
      <c r="H108" s="5">
        <v>36.847000000000001</v>
      </c>
      <c r="I108" s="5"/>
      <c r="J108" s="5">
        <v>1</v>
      </c>
      <c r="K108" s="5" t="s">
        <v>2</v>
      </c>
      <c r="L108" s="5" t="s">
        <v>483</v>
      </c>
      <c r="M108" s="5" t="s">
        <v>484</v>
      </c>
      <c r="N108" s="5" t="s">
        <v>485</v>
      </c>
      <c r="O108" s="5">
        <v>8</v>
      </c>
      <c r="P108" s="6">
        <v>2201500</v>
      </c>
      <c r="Q108" s="5">
        <v>1335500</v>
      </c>
      <c r="R108" s="5">
        <v>866010</v>
      </c>
      <c r="S108" s="5">
        <v>0.54844999999999999</v>
      </c>
      <c r="T108" s="5">
        <f>LOG(Table2[[#This Row],[ratio heavy to light normalized]],2)</f>
        <v>-0.86656799301926501</v>
      </c>
      <c r="U108" s="5">
        <v>5.5909242211692703E-2</v>
      </c>
    </row>
    <row r="109" spans="1:21" ht="13.5" customHeight="1" x14ac:dyDescent="0.3">
      <c r="A109" s="5" t="s">
        <v>653</v>
      </c>
      <c r="B109" s="5" t="s">
        <v>654</v>
      </c>
      <c r="C109" s="5">
        <v>84</v>
      </c>
      <c r="D109" s="5">
        <v>84</v>
      </c>
      <c r="E109" s="5">
        <v>1</v>
      </c>
      <c r="F109" s="6">
        <v>63.216099999999997</v>
      </c>
      <c r="G109" s="5">
        <v>1.14112E-3</v>
      </c>
      <c r="H109" s="5">
        <v>63.216000000000001</v>
      </c>
      <c r="I109" s="5" t="s">
        <v>11</v>
      </c>
      <c r="J109" s="5">
        <v>1</v>
      </c>
      <c r="K109" s="5" t="s">
        <v>2</v>
      </c>
      <c r="L109" s="5" t="s">
        <v>655</v>
      </c>
      <c r="M109" s="5" t="s">
        <v>656</v>
      </c>
      <c r="N109" s="5" t="s">
        <v>657</v>
      </c>
      <c r="O109" s="5">
        <v>5</v>
      </c>
      <c r="P109" s="6">
        <v>7571700</v>
      </c>
      <c r="Q109" s="5">
        <v>3653100</v>
      </c>
      <c r="R109" s="5">
        <v>3918600</v>
      </c>
      <c r="S109" s="5">
        <v>1.2175</v>
      </c>
      <c r="T109" s="5">
        <f>LOG(Table2[[#This Row],[ratio heavy to light normalized]],2)</f>
        <v>0.2839217723076175</v>
      </c>
      <c r="U109" s="5">
        <v>8.9053763826679302E-2</v>
      </c>
    </row>
    <row r="110" spans="1:21" ht="13.5" customHeight="1" x14ac:dyDescent="0.3">
      <c r="A110" s="5" t="s">
        <v>658</v>
      </c>
      <c r="B110" s="5" t="s">
        <v>659</v>
      </c>
      <c r="C110" s="5">
        <v>114</v>
      </c>
      <c r="D110" s="5">
        <v>114</v>
      </c>
      <c r="E110" s="5">
        <v>1</v>
      </c>
      <c r="F110" s="6">
        <v>143.97399999999999</v>
      </c>
      <c r="G110" s="7">
        <v>1.7398699999999999E-43</v>
      </c>
      <c r="H110" s="5">
        <v>143.97</v>
      </c>
      <c r="I110" s="5" t="s">
        <v>11</v>
      </c>
      <c r="J110" s="5">
        <v>1</v>
      </c>
      <c r="K110" s="5" t="s">
        <v>2</v>
      </c>
      <c r="L110" s="5" t="s">
        <v>660</v>
      </c>
      <c r="M110" s="5" t="s">
        <v>661</v>
      </c>
      <c r="N110" s="5" t="s">
        <v>662</v>
      </c>
      <c r="O110" s="5">
        <v>6</v>
      </c>
      <c r="P110" s="6">
        <v>10277000</v>
      </c>
      <c r="Q110" s="5">
        <v>4242600</v>
      </c>
      <c r="R110" s="5">
        <v>6034000</v>
      </c>
      <c r="S110" s="5">
        <v>1.2163999999999999</v>
      </c>
      <c r="T110" s="5">
        <f>LOG(Table2[[#This Row],[ratio heavy to light normalized]],2)</f>
        <v>0.28261772148134834</v>
      </c>
      <c r="U110" s="5">
        <v>9.01522182610551E-2</v>
      </c>
    </row>
    <row r="111" spans="1:21" ht="13.5" customHeight="1" x14ac:dyDescent="0.3">
      <c r="A111" s="5" t="s">
        <v>663</v>
      </c>
      <c r="B111" s="5" t="s">
        <v>664</v>
      </c>
      <c r="C111" s="5">
        <v>257</v>
      </c>
      <c r="D111" s="5">
        <v>257</v>
      </c>
      <c r="E111" s="5">
        <v>1</v>
      </c>
      <c r="F111" s="6">
        <v>130.708</v>
      </c>
      <c r="G111" s="7">
        <v>1.5618699999999999E-63</v>
      </c>
      <c r="H111" s="5">
        <v>130.71</v>
      </c>
      <c r="I111" s="5" t="s">
        <v>11</v>
      </c>
      <c r="J111" s="5">
        <v>1</v>
      </c>
      <c r="K111" s="5" t="s">
        <v>2</v>
      </c>
      <c r="L111" s="5" t="s">
        <v>665</v>
      </c>
      <c r="M111" s="5" t="s">
        <v>666</v>
      </c>
      <c r="N111" s="5" t="s">
        <v>667</v>
      </c>
      <c r="O111" s="5">
        <v>10</v>
      </c>
      <c r="P111" s="6">
        <v>5296100</v>
      </c>
      <c r="Q111" s="5">
        <v>1805200</v>
      </c>
      <c r="R111" s="5">
        <v>3490900</v>
      </c>
      <c r="S111" s="5">
        <v>1.2159</v>
      </c>
      <c r="T111" s="5">
        <f>LOG(Table2[[#This Row],[ratio heavy to light normalized]],2)</f>
        <v>0.28202458121854751</v>
      </c>
      <c r="U111" s="5">
        <v>9.0655439031887997E-2</v>
      </c>
    </row>
    <row r="112" spans="1:21" ht="13.5" customHeight="1" x14ac:dyDescent="0.3">
      <c r="A112" s="5" t="s">
        <v>981</v>
      </c>
      <c r="B112" s="5" t="s">
        <v>982</v>
      </c>
      <c r="C112" s="5">
        <v>861</v>
      </c>
      <c r="D112" s="5">
        <v>861</v>
      </c>
      <c r="E112" s="5">
        <v>1</v>
      </c>
      <c r="F112" s="6">
        <v>47.197699999999998</v>
      </c>
      <c r="G112" s="5">
        <v>1.5368100000000001E-2</v>
      </c>
      <c r="H112" s="5">
        <v>47.198</v>
      </c>
      <c r="I112" s="5" t="s">
        <v>11</v>
      </c>
      <c r="J112" s="5">
        <v>1</v>
      </c>
      <c r="K112" s="5" t="s">
        <v>2</v>
      </c>
      <c r="L112" s="5" t="s">
        <v>983</v>
      </c>
      <c r="M112" s="5" t="s">
        <v>984</v>
      </c>
      <c r="N112" s="5" t="s">
        <v>985</v>
      </c>
      <c r="O112" s="5">
        <v>7</v>
      </c>
      <c r="P112" s="6">
        <v>1180400</v>
      </c>
      <c r="Q112" s="5">
        <v>578340</v>
      </c>
      <c r="R112" s="5">
        <v>602100</v>
      </c>
      <c r="S112" s="5">
        <v>1.2158</v>
      </c>
      <c r="T112" s="5">
        <f>LOG(Table2[[#This Row],[ratio heavy to light normalized]],2)</f>
        <v>0.28190592389719188</v>
      </c>
      <c r="U112" s="5">
        <v>0.16844879135570501</v>
      </c>
    </row>
    <row r="113" spans="1:21" ht="13.5" customHeight="1" x14ac:dyDescent="0.3">
      <c r="A113" s="5" t="s">
        <v>1454</v>
      </c>
      <c r="B113" s="5" t="s">
        <v>1455</v>
      </c>
      <c r="C113" s="5">
        <v>66</v>
      </c>
      <c r="D113" s="5">
        <v>66</v>
      </c>
      <c r="E113" s="5">
        <v>1</v>
      </c>
      <c r="F113" s="6">
        <v>59.425899999999999</v>
      </c>
      <c r="G113" s="5">
        <v>3.6046699999999999E-3</v>
      </c>
      <c r="H113" s="5">
        <v>59.426000000000002</v>
      </c>
      <c r="I113" s="5"/>
      <c r="J113" s="5">
        <v>1</v>
      </c>
      <c r="K113" s="5" t="s">
        <v>2</v>
      </c>
      <c r="L113" s="5" t="s">
        <v>1456</v>
      </c>
      <c r="M113" s="5" t="s">
        <v>1457</v>
      </c>
      <c r="N113" s="5" t="s">
        <v>1458</v>
      </c>
      <c r="O113" s="5">
        <v>2</v>
      </c>
      <c r="P113" s="6">
        <v>415220</v>
      </c>
      <c r="Q113" s="5">
        <v>194720</v>
      </c>
      <c r="R113" s="5">
        <v>220500</v>
      </c>
      <c r="S113" s="5">
        <v>1.2125999999999999</v>
      </c>
      <c r="T113" s="5">
        <f>LOG(Table2[[#This Row],[ratio heavy to light normalized]],2)</f>
        <v>0.27810372755144197</v>
      </c>
      <c r="U113" s="5">
        <v>0.28199062713450501</v>
      </c>
    </row>
    <row r="114" spans="1:21" ht="13.5" customHeight="1" x14ac:dyDescent="0.3">
      <c r="A114" s="5" t="s">
        <v>513</v>
      </c>
      <c r="B114" s="5" t="s">
        <v>514</v>
      </c>
      <c r="C114" s="5">
        <v>86</v>
      </c>
      <c r="D114" s="5">
        <v>86</v>
      </c>
      <c r="E114" s="5">
        <v>1</v>
      </c>
      <c r="F114" s="6">
        <v>114.783</v>
      </c>
      <c r="G114" s="7">
        <v>1.8254000000000001E-20</v>
      </c>
      <c r="H114" s="5">
        <v>114.78</v>
      </c>
      <c r="I114" s="5" t="s">
        <v>11</v>
      </c>
      <c r="J114" s="5">
        <v>1</v>
      </c>
      <c r="K114" s="5" t="s">
        <v>2</v>
      </c>
      <c r="L114" s="5" t="s">
        <v>694</v>
      </c>
      <c r="M114" s="5" t="s">
        <v>695</v>
      </c>
      <c r="N114" s="5" t="s">
        <v>696</v>
      </c>
      <c r="O114" s="5">
        <v>1</v>
      </c>
      <c r="P114" s="6">
        <v>5159200</v>
      </c>
      <c r="Q114" s="5">
        <v>2263300</v>
      </c>
      <c r="R114" s="5">
        <v>2895900</v>
      </c>
      <c r="S114" s="5">
        <v>1.2087000000000001</v>
      </c>
      <c r="T114" s="5">
        <f>LOG(Table2[[#This Row],[ratio heavy to light normalized]],2)</f>
        <v>0.27345621132030545</v>
      </c>
      <c r="U114" s="5">
        <v>9.8179933640622705E-2</v>
      </c>
    </row>
    <row r="115" spans="1:21" ht="13.5" customHeight="1" x14ac:dyDescent="0.3">
      <c r="A115" s="5" t="s">
        <v>697</v>
      </c>
      <c r="B115" s="5" t="s">
        <v>698</v>
      </c>
      <c r="C115" s="5">
        <v>416</v>
      </c>
      <c r="D115" s="5">
        <v>416</v>
      </c>
      <c r="E115" s="5">
        <v>1</v>
      </c>
      <c r="F115" s="6">
        <v>10.800700000000001</v>
      </c>
      <c r="G115" s="7">
        <v>8.2675099999999998E-12</v>
      </c>
      <c r="H115" s="5">
        <v>62.683</v>
      </c>
      <c r="I115" s="5"/>
      <c r="J115" s="5">
        <v>1</v>
      </c>
      <c r="K115" s="5" t="s">
        <v>2</v>
      </c>
      <c r="L115" s="5" t="s">
        <v>699</v>
      </c>
      <c r="M115" s="5" t="s">
        <v>700</v>
      </c>
      <c r="N115" s="5" t="s">
        <v>701</v>
      </c>
      <c r="O115" s="5">
        <v>22</v>
      </c>
      <c r="P115" s="6">
        <v>6731000</v>
      </c>
      <c r="Q115" s="5">
        <v>3400600</v>
      </c>
      <c r="R115" s="5">
        <v>3330400</v>
      </c>
      <c r="S115" s="5">
        <v>1.2067000000000001</v>
      </c>
      <c r="T115" s="5">
        <f>LOG(Table2[[#This Row],[ratio heavy to light normalized]],2)</f>
        <v>0.27106704949104088</v>
      </c>
      <c r="U115" s="5">
        <v>0.100364677188961</v>
      </c>
    </row>
    <row r="116" spans="1:21" ht="13.5" customHeight="1" x14ac:dyDescent="0.3">
      <c r="A116" s="5" t="s">
        <v>407</v>
      </c>
      <c r="B116" s="5" t="s">
        <v>408</v>
      </c>
      <c r="C116" s="5">
        <v>1144</v>
      </c>
      <c r="D116" s="5">
        <v>1144</v>
      </c>
      <c r="E116" s="5">
        <v>1</v>
      </c>
      <c r="F116" s="6">
        <v>79.712599999999995</v>
      </c>
      <c r="G116" s="7">
        <v>2.1442499999999999E-7</v>
      </c>
      <c r="H116" s="5">
        <v>79.712999999999994</v>
      </c>
      <c r="I116" s="5" t="s">
        <v>11</v>
      </c>
      <c r="J116" s="5">
        <v>1</v>
      </c>
      <c r="K116" s="5" t="s">
        <v>2</v>
      </c>
      <c r="L116" s="5" t="s">
        <v>1483</v>
      </c>
      <c r="M116" s="5" t="s">
        <v>1484</v>
      </c>
      <c r="N116" s="5" t="s">
        <v>1485</v>
      </c>
      <c r="O116" s="5">
        <v>5</v>
      </c>
      <c r="P116" s="6">
        <v>665390</v>
      </c>
      <c r="Q116" s="5">
        <v>324780</v>
      </c>
      <c r="R116" s="5">
        <v>340620</v>
      </c>
      <c r="S116" s="5">
        <v>1.2063999999999999</v>
      </c>
      <c r="T116" s="5">
        <f>LOG(Table2[[#This Row],[ratio heavy to light normalized]],2)</f>
        <v>0.27070833371921482</v>
      </c>
      <c r="U116" s="5">
        <v>0.28948484440899502</v>
      </c>
    </row>
    <row r="117" spans="1:21" ht="13.5" customHeight="1" x14ac:dyDescent="0.3">
      <c r="A117" s="5" t="s">
        <v>1037</v>
      </c>
      <c r="B117" s="5" t="s">
        <v>1038</v>
      </c>
      <c r="C117" s="5">
        <v>393</v>
      </c>
      <c r="D117" s="5">
        <v>393</v>
      </c>
      <c r="E117" s="5">
        <v>1</v>
      </c>
      <c r="F117" s="6">
        <v>63.283200000000001</v>
      </c>
      <c r="G117" s="5">
        <v>1.2396200000000001E-3</v>
      </c>
      <c r="H117" s="5">
        <v>63.283000000000001</v>
      </c>
      <c r="I117" s="5" t="s">
        <v>11</v>
      </c>
      <c r="J117" s="5">
        <v>1</v>
      </c>
      <c r="K117" s="5" t="s">
        <v>2</v>
      </c>
      <c r="L117" s="5" t="s">
        <v>1039</v>
      </c>
      <c r="M117" s="5" t="s">
        <v>1040</v>
      </c>
      <c r="N117" s="5" t="s">
        <v>1041</v>
      </c>
      <c r="O117" s="5">
        <v>5</v>
      </c>
      <c r="P117" s="6">
        <v>1916000</v>
      </c>
      <c r="Q117" s="5">
        <v>962080</v>
      </c>
      <c r="R117" s="5">
        <v>953900</v>
      </c>
      <c r="S117" s="5">
        <v>1.2042999999999999</v>
      </c>
      <c r="T117" s="5">
        <f>LOG(Table2[[#This Row],[ratio heavy to light normalized]],2)</f>
        <v>0.26819482282842538</v>
      </c>
      <c r="U117" s="5">
        <v>0.183496968410854</v>
      </c>
    </row>
    <row r="118" spans="1:21" ht="13.5" customHeight="1" x14ac:dyDescent="0.3">
      <c r="A118" s="5" t="s">
        <v>523</v>
      </c>
      <c r="B118" s="5" t="s">
        <v>524</v>
      </c>
      <c r="C118" s="5">
        <v>221</v>
      </c>
      <c r="D118" s="5">
        <v>221</v>
      </c>
      <c r="E118" s="5">
        <v>1</v>
      </c>
      <c r="F118" s="6">
        <v>35.223999999999997</v>
      </c>
      <c r="G118" s="5">
        <v>0.14693300000000001</v>
      </c>
      <c r="H118" s="5">
        <v>35.223999999999997</v>
      </c>
      <c r="I118" s="5" t="s">
        <v>11</v>
      </c>
      <c r="J118" s="5">
        <v>1</v>
      </c>
      <c r="K118" s="5" t="s">
        <v>2</v>
      </c>
      <c r="L118" s="5" t="s">
        <v>525</v>
      </c>
      <c r="M118" s="5" t="s">
        <v>526</v>
      </c>
      <c r="N118" s="5" t="s">
        <v>527</v>
      </c>
      <c r="O118" s="5">
        <v>9</v>
      </c>
      <c r="P118" s="6">
        <v>1679400</v>
      </c>
      <c r="Q118" s="5">
        <v>734150</v>
      </c>
      <c r="R118" s="5">
        <v>945280</v>
      </c>
      <c r="S118" s="5">
        <v>1.3423</v>
      </c>
      <c r="T118" s="5">
        <f>LOG(Table2[[#This Row],[ratio heavy to light normalized]],2)</f>
        <v>0.42470714556415079</v>
      </c>
      <c r="U118" s="5">
        <v>6.1737661222191799E-2</v>
      </c>
    </row>
    <row r="119" spans="1:21" ht="13.5" customHeight="1" x14ac:dyDescent="0.3">
      <c r="A119" s="5" t="s">
        <v>658</v>
      </c>
      <c r="B119" s="5" t="s">
        <v>659</v>
      </c>
      <c r="C119" s="5">
        <v>124</v>
      </c>
      <c r="D119" s="5">
        <v>124</v>
      </c>
      <c r="E119" s="5">
        <v>1</v>
      </c>
      <c r="F119" s="6">
        <v>148.52000000000001</v>
      </c>
      <c r="G119" s="7">
        <v>4.2130600000000003E-55</v>
      </c>
      <c r="H119" s="5">
        <v>148.52000000000001</v>
      </c>
      <c r="I119" s="5" t="s">
        <v>11</v>
      </c>
      <c r="J119" s="5">
        <v>1</v>
      </c>
      <c r="K119" s="5" t="s">
        <v>2</v>
      </c>
      <c r="L119" s="5" t="s">
        <v>707</v>
      </c>
      <c r="M119" s="5" t="s">
        <v>708</v>
      </c>
      <c r="N119" s="5" t="s">
        <v>709</v>
      </c>
      <c r="O119" s="5">
        <v>5</v>
      </c>
      <c r="P119" s="6">
        <v>3781600</v>
      </c>
      <c r="Q119" s="5">
        <v>1732800</v>
      </c>
      <c r="R119" s="5">
        <v>2048800</v>
      </c>
      <c r="S119" s="5">
        <v>1.2023999999999999</v>
      </c>
      <c r="T119" s="5">
        <f>LOG(Table2[[#This Row],[ratio heavy to light normalized]],2)</f>
        <v>0.26591691436691511</v>
      </c>
      <c r="U119" s="5">
        <v>0.10520593861057299</v>
      </c>
    </row>
    <row r="120" spans="1:21" ht="13.5" customHeight="1" x14ac:dyDescent="0.3">
      <c r="A120" s="5" t="s">
        <v>1050</v>
      </c>
      <c r="B120" s="5" t="s">
        <v>1051</v>
      </c>
      <c r="C120" s="5">
        <v>12</v>
      </c>
      <c r="D120" s="5">
        <v>12</v>
      </c>
      <c r="E120" s="5">
        <v>1</v>
      </c>
      <c r="F120" s="6">
        <v>37.236899999999999</v>
      </c>
      <c r="G120" s="7">
        <v>1.6696399999999999E-12</v>
      </c>
      <c r="H120" s="5">
        <v>66.152000000000001</v>
      </c>
      <c r="I120" s="5"/>
      <c r="J120" s="5">
        <v>1</v>
      </c>
      <c r="K120" s="5" t="s">
        <v>2</v>
      </c>
      <c r="L120" s="5" t="s">
        <v>1052</v>
      </c>
      <c r="M120" s="5" t="s">
        <v>1053</v>
      </c>
      <c r="N120" s="5" t="s">
        <v>1054</v>
      </c>
      <c r="O120" s="5">
        <v>5</v>
      </c>
      <c r="P120" s="6">
        <v>1808100</v>
      </c>
      <c r="Q120" s="5">
        <v>1058000</v>
      </c>
      <c r="R120" s="5">
        <v>750160</v>
      </c>
      <c r="S120" s="5">
        <v>1.2018</v>
      </c>
      <c r="T120" s="5">
        <f>LOG(Table2[[#This Row],[ratio heavy to light normalized]],2)</f>
        <v>0.26519682698441449</v>
      </c>
      <c r="U120" s="5">
        <v>0.18691611410850201</v>
      </c>
    </row>
    <row r="121" spans="1:21" ht="13.5" customHeight="1" x14ac:dyDescent="0.3">
      <c r="A121" s="5" t="s">
        <v>489</v>
      </c>
      <c r="B121" s="5" t="s">
        <v>490</v>
      </c>
      <c r="C121" s="5">
        <v>117</v>
      </c>
      <c r="D121" s="5">
        <v>117</v>
      </c>
      <c r="E121" s="5">
        <v>1</v>
      </c>
      <c r="F121" s="6">
        <v>66.262500000000003</v>
      </c>
      <c r="G121" s="7">
        <v>1.7189100000000001E-5</v>
      </c>
      <c r="H121" s="5">
        <v>66.262</v>
      </c>
      <c r="I121" s="5" t="s">
        <v>11</v>
      </c>
      <c r="J121" s="5">
        <v>1</v>
      </c>
      <c r="K121" s="5" t="s">
        <v>2</v>
      </c>
      <c r="L121" s="5" t="s">
        <v>1518</v>
      </c>
      <c r="M121" s="5" t="s">
        <v>1519</v>
      </c>
      <c r="N121" s="5" t="s">
        <v>1520</v>
      </c>
      <c r="O121" s="5">
        <v>1</v>
      </c>
      <c r="P121" s="6">
        <v>408260</v>
      </c>
      <c r="Q121" s="5">
        <v>238500</v>
      </c>
      <c r="R121" s="5">
        <v>169760</v>
      </c>
      <c r="S121" s="5">
        <v>1.1996</v>
      </c>
      <c r="T121" s="5">
        <f>LOG(Table2[[#This Row],[ratio heavy to light normalized]],2)</f>
        <v>0.26255342731929082</v>
      </c>
      <c r="U121" s="5">
        <v>0.29790290596068603</v>
      </c>
    </row>
    <row r="122" spans="1:21" ht="13.5" customHeight="1" x14ac:dyDescent="0.3">
      <c r="A122" s="5" t="s">
        <v>937</v>
      </c>
      <c r="B122" s="5" t="s">
        <v>938</v>
      </c>
      <c r="C122" s="5">
        <v>47</v>
      </c>
      <c r="D122" s="5">
        <v>47</v>
      </c>
      <c r="E122" s="5">
        <v>1</v>
      </c>
      <c r="F122" s="6">
        <v>91.637</v>
      </c>
      <c r="G122" s="7">
        <v>6.1237800000000004E-25</v>
      </c>
      <c r="H122" s="5">
        <v>91.637</v>
      </c>
      <c r="I122" s="5" t="s">
        <v>11</v>
      </c>
      <c r="J122" s="5">
        <v>1</v>
      </c>
      <c r="K122" s="5" t="s">
        <v>2</v>
      </c>
      <c r="L122" s="5" t="s">
        <v>1087</v>
      </c>
      <c r="M122" s="5" t="s">
        <v>1088</v>
      </c>
      <c r="N122" s="5" t="s">
        <v>1089</v>
      </c>
      <c r="O122" s="5">
        <v>5</v>
      </c>
      <c r="P122" s="6">
        <v>1867800</v>
      </c>
      <c r="Q122" s="5">
        <v>739800</v>
      </c>
      <c r="R122" s="5">
        <v>1128000</v>
      </c>
      <c r="S122" s="5">
        <v>1.1959</v>
      </c>
      <c r="T122" s="5">
        <f>LOG(Table2[[#This Row],[ratio heavy to light normalized]],2)</f>
        <v>0.25809675781715596</v>
      </c>
      <c r="U122" s="5">
        <v>0.19520084614393199</v>
      </c>
    </row>
    <row r="123" spans="1:21" ht="13.5" customHeight="1" x14ac:dyDescent="0.3">
      <c r="A123" s="5" t="s">
        <v>740</v>
      </c>
      <c r="B123" s="5" t="s">
        <v>741</v>
      </c>
      <c r="C123" s="5">
        <v>69</v>
      </c>
      <c r="D123" s="5">
        <v>69</v>
      </c>
      <c r="E123" s="5">
        <v>1</v>
      </c>
      <c r="F123" s="6">
        <v>111.65900000000001</v>
      </c>
      <c r="G123" s="7">
        <v>2.99415E-92</v>
      </c>
      <c r="H123" s="5">
        <v>167.82</v>
      </c>
      <c r="I123" s="5" t="s">
        <v>11</v>
      </c>
      <c r="J123" s="5">
        <v>1</v>
      </c>
      <c r="K123" s="5" t="s">
        <v>2</v>
      </c>
      <c r="L123" s="5" t="s">
        <v>742</v>
      </c>
      <c r="M123" s="5" t="s">
        <v>743</v>
      </c>
      <c r="N123" s="5" t="s">
        <v>744</v>
      </c>
      <c r="O123" s="5">
        <v>11</v>
      </c>
      <c r="P123" s="6">
        <v>8126200</v>
      </c>
      <c r="Q123" s="5">
        <v>3649500</v>
      </c>
      <c r="R123" s="5">
        <v>4476700</v>
      </c>
      <c r="S123" s="5">
        <v>1.1946000000000001</v>
      </c>
      <c r="T123" s="5">
        <f>LOG(Table2[[#This Row],[ratio heavy to light normalized]],2)</f>
        <v>0.25652762689220954</v>
      </c>
      <c r="U123" s="5">
        <v>0.114507346442298</v>
      </c>
    </row>
    <row r="124" spans="1:21" ht="13.5" customHeight="1" x14ac:dyDescent="0.3">
      <c r="A124" s="5" t="s">
        <v>763</v>
      </c>
      <c r="B124" s="5" t="s">
        <v>764</v>
      </c>
      <c r="C124" s="5">
        <v>166</v>
      </c>
      <c r="D124" s="5">
        <v>166</v>
      </c>
      <c r="E124" s="5">
        <v>1</v>
      </c>
      <c r="F124" s="6">
        <v>51.146799999999999</v>
      </c>
      <c r="G124" s="7">
        <v>3.8544499999999997E-5</v>
      </c>
      <c r="H124" s="5">
        <v>52.527000000000001</v>
      </c>
      <c r="I124" s="5"/>
      <c r="J124" s="5">
        <v>1</v>
      </c>
      <c r="K124" s="5" t="s">
        <v>2</v>
      </c>
      <c r="L124" s="5" t="s">
        <v>765</v>
      </c>
      <c r="M124" s="5" t="s">
        <v>766</v>
      </c>
      <c r="N124" s="5" t="s">
        <v>767</v>
      </c>
      <c r="O124" s="5">
        <v>13</v>
      </c>
      <c r="P124" s="6">
        <v>8236500</v>
      </c>
      <c r="Q124" s="5">
        <v>3807300</v>
      </c>
      <c r="R124" s="5">
        <v>4429200</v>
      </c>
      <c r="S124" s="5">
        <v>1.1900999999999999</v>
      </c>
      <c r="T124" s="5">
        <f>LOG(Table2[[#This Row],[ratio heavy to light normalized]],2)</f>
        <v>0.25108280331698735</v>
      </c>
      <c r="U124" s="5">
        <v>0.120190627839867</v>
      </c>
    </row>
    <row r="125" spans="1:21" ht="13.5" customHeight="1" x14ac:dyDescent="0.3">
      <c r="A125" s="5" t="s">
        <v>1569</v>
      </c>
      <c r="B125" s="5" t="s">
        <v>1570</v>
      </c>
      <c r="C125" s="5">
        <v>26</v>
      </c>
      <c r="D125" s="5">
        <v>26</v>
      </c>
      <c r="E125" s="5">
        <v>1</v>
      </c>
      <c r="F125" s="6">
        <v>79.9739</v>
      </c>
      <c r="G125" s="7">
        <v>4.0411300000000001E-7</v>
      </c>
      <c r="H125" s="5">
        <v>79.974000000000004</v>
      </c>
      <c r="I125" s="5" t="s">
        <v>11</v>
      </c>
      <c r="J125" s="5">
        <v>1</v>
      </c>
      <c r="K125" s="5" t="s">
        <v>2</v>
      </c>
      <c r="L125" s="5" t="s">
        <v>1571</v>
      </c>
      <c r="M125" s="5" t="s">
        <v>1572</v>
      </c>
      <c r="N125" s="5" t="s">
        <v>1573</v>
      </c>
      <c r="O125" s="5">
        <v>7</v>
      </c>
      <c r="P125" s="6">
        <v>650500</v>
      </c>
      <c r="Q125" s="5">
        <v>341030</v>
      </c>
      <c r="R125" s="5">
        <v>309480</v>
      </c>
      <c r="S125" s="5">
        <v>1.1894</v>
      </c>
      <c r="T125" s="5">
        <f>LOG(Table2[[#This Row],[ratio heavy to light normalized]],2)</f>
        <v>0.25023398082675447</v>
      </c>
      <c r="U125" s="5">
        <v>0.31092716245332402</v>
      </c>
    </row>
    <row r="126" spans="1:21" ht="13.5" customHeight="1" x14ac:dyDescent="0.3">
      <c r="A126" s="5" t="s">
        <v>1141</v>
      </c>
      <c r="B126" s="5" t="s">
        <v>1142</v>
      </c>
      <c r="C126" s="5">
        <v>34</v>
      </c>
      <c r="D126" s="5">
        <v>34</v>
      </c>
      <c r="E126" s="5">
        <v>1</v>
      </c>
      <c r="F126" s="6">
        <v>38.417299999999997</v>
      </c>
      <c r="G126" s="5">
        <v>1.0022200000000001E-3</v>
      </c>
      <c r="H126" s="5">
        <v>38.417000000000002</v>
      </c>
      <c r="I126" s="5" t="s">
        <v>11</v>
      </c>
      <c r="J126" s="5">
        <v>1</v>
      </c>
      <c r="K126" s="5" t="s">
        <v>2</v>
      </c>
      <c r="L126" s="5" t="s">
        <v>1143</v>
      </c>
      <c r="M126" s="5" t="s">
        <v>1144</v>
      </c>
      <c r="N126" s="5" t="s">
        <v>1145</v>
      </c>
      <c r="O126" s="5">
        <v>9</v>
      </c>
      <c r="P126" s="6">
        <v>1427400</v>
      </c>
      <c r="Q126" s="5">
        <v>501780</v>
      </c>
      <c r="R126" s="5">
        <v>925590</v>
      </c>
      <c r="S126" s="5">
        <v>1.1859999999999999</v>
      </c>
      <c r="T126" s="5">
        <f>LOG(Table2[[#This Row],[ratio heavy to light normalized]],2)</f>
        <v>0.24610400988391656</v>
      </c>
      <c r="U126" s="5">
        <v>0.209800767875684</v>
      </c>
    </row>
    <row r="127" spans="1:21" ht="13.5" customHeight="1" x14ac:dyDescent="0.3">
      <c r="A127" s="5" t="s">
        <v>564</v>
      </c>
      <c r="B127" s="5" t="s">
        <v>565</v>
      </c>
      <c r="C127" s="5">
        <v>387</v>
      </c>
      <c r="D127" s="5">
        <v>387</v>
      </c>
      <c r="E127" s="5">
        <v>1</v>
      </c>
      <c r="F127" s="6">
        <v>23.711200000000002</v>
      </c>
      <c r="G127" s="5">
        <v>0.31713200000000002</v>
      </c>
      <c r="H127" s="5">
        <v>23.710999999999999</v>
      </c>
      <c r="I127" s="5" t="s">
        <v>11</v>
      </c>
      <c r="J127" s="5">
        <v>1</v>
      </c>
      <c r="K127" s="5" t="s">
        <v>2</v>
      </c>
      <c r="L127" s="5" t="s">
        <v>566</v>
      </c>
      <c r="M127" s="5" t="s">
        <v>567</v>
      </c>
      <c r="N127" s="5" t="s">
        <v>568</v>
      </c>
      <c r="O127" s="5">
        <v>3</v>
      </c>
      <c r="P127" s="6">
        <v>314010</v>
      </c>
      <c r="Q127" s="5">
        <v>175690</v>
      </c>
      <c r="R127" s="5">
        <v>138310</v>
      </c>
      <c r="S127" s="5">
        <v>1.5088999999999999</v>
      </c>
      <c r="T127" s="5">
        <f>LOG(Table2[[#This Row],[ratio heavy to light normalized]],2)</f>
        <v>0.59349719666340217</v>
      </c>
      <c r="U127" s="5">
        <v>7.4414679899124495E-2</v>
      </c>
    </row>
    <row r="128" spans="1:21" ht="13.5" customHeight="1" x14ac:dyDescent="0.3">
      <c r="A128" s="5" t="s">
        <v>569</v>
      </c>
      <c r="B128" s="5" t="s">
        <v>570</v>
      </c>
      <c r="C128" s="5">
        <v>26</v>
      </c>
      <c r="D128" s="5">
        <v>26</v>
      </c>
      <c r="E128" s="5">
        <v>1</v>
      </c>
      <c r="F128" s="6">
        <v>13.832000000000001</v>
      </c>
      <c r="G128" s="5">
        <v>1.40483</v>
      </c>
      <c r="H128" s="5">
        <v>13.832000000000001</v>
      </c>
      <c r="I128" s="5" t="s">
        <v>11</v>
      </c>
      <c r="J128" s="5">
        <v>1</v>
      </c>
      <c r="K128" s="5" t="s">
        <v>2</v>
      </c>
      <c r="L128" s="5" t="s">
        <v>571</v>
      </c>
      <c r="M128" s="5" t="s">
        <v>572</v>
      </c>
      <c r="N128" s="5" t="s">
        <v>573</v>
      </c>
      <c r="O128" s="5">
        <v>8</v>
      </c>
      <c r="P128" s="6">
        <v>1030200</v>
      </c>
      <c r="Q128" s="5">
        <v>761130</v>
      </c>
      <c r="R128" s="5">
        <v>269060</v>
      </c>
      <c r="S128" s="5">
        <v>0.53378000000000003</v>
      </c>
      <c r="T128" s="5">
        <f>LOG(Table2[[#This Row],[ratio heavy to light normalized]],2)</f>
        <v>-0.90568284418711764</v>
      </c>
      <c r="U128" s="5">
        <v>7.4868134292106606E-2</v>
      </c>
    </row>
    <row r="129" spans="1:21" ht="13.5" customHeight="1" x14ac:dyDescent="0.3">
      <c r="A129" s="5" t="s">
        <v>574</v>
      </c>
      <c r="B129" s="5" t="s">
        <v>575</v>
      </c>
      <c r="C129" s="5">
        <v>259</v>
      </c>
      <c r="D129" s="5">
        <v>259</v>
      </c>
      <c r="E129" s="5">
        <v>0.937805</v>
      </c>
      <c r="F129" s="6">
        <v>11.7836</v>
      </c>
      <c r="G129" s="5">
        <v>5.0909599999999999E-2</v>
      </c>
      <c r="H129" s="5">
        <v>41.283000000000001</v>
      </c>
      <c r="I129" s="5" t="s">
        <v>11</v>
      </c>
      <c r="J129" s="5">
        <v>1</v>
      </c>
      <c r="K129" s="5" t="s">
        <v>2</v>
      </c>
      <c r="L129" s="5" t="s">
        <v>576</v>
      </c>
      <c r="M129" s="5" t="s">
        <v>577</v>
      </c>
      <c r="N129" s="5" t="s">
        <v>578</v>
      </c>
      <c r="O129" s="5">
        <v>8</v>
      </c>
      <c r="P129" s="6">
        <v>1419100</v>
      </c>
      <c r="Q129" s="5">
        <v>695260</v>
      </c>
      <c r="R129" s="5">
        <v>723840</v>
      </c>
      <c r="S129" s="5">
        <v>0.56889999999999996</v>
      </c>
      <c r="T129" s="5">
        <f>LOG(Table2[[#This Row],[ratio heavy to light normalized]],2)</f>
        <v>-0.81375301385468857</v>
      </c>
      <c r="U129" s="5">
        <v>7.5610912203064207E-2</v>
      </c>
    </row>
    <row r="130" spans="1:21" ht="13.5" customHeight="1" x14ac:dyDescent="0.3">
      <c r="A130" s="5" t="s">
        <v>1594</v>
      </c>
      <c r="B130" s="5" t="s">
        <v>1595</v>
      </c>
      <c r="C130" s="5">
        <v>429</v>
      </c>
      <c r="D130" s="5">
        <v>429</v>
      </c>
      <c r="E130" s="5">
        <v>1</v>
      </c>
      <c r="F130" s="6">
        <v>95.501599999999996</v>
      </c>
      <c r="G130" s="7">
        <v>1.21998E-10</v>
      </c>
      <c r="H130" s="5">
        <v>95.501999999999995</v>
      </c>
      <c r="I130" s="5" t="s">
        <v>11</v>
      </c>
      <c r="J130" s="5">
        <v>1</v>
      </c>
      <c r="K130" s="5" t="s">
        <v>2</v>
      </c>
      <c r="L130" s="5" t="s">
        <v>1596</v>
      </c>
      <c r="M130" s="5" t="s">
        <v>1597</v>
      </c>
      <c r="N130" s="5" t="s">
        <v>1598</v>
      </c>
      <c r="O130" s="5">
        <v>7</v>
      </c>
      <c r="P130" s="6">
        <v>915690</v>
      </c>
      <c r="Q130" s="5">
        <v>427640</v>
      </c>
      <c r="R130" s="5">
        <v>488060</v>
      </c>
      <c r="S130" s="5">
        <v>1.1848000000000001</v>
      </c>
      <c r="T130" s="5">
        <f>LOG(Table2[[#This Row],[ratio heavy to light normalized]],2)</f>
        <v>0.24464354573939845</v>
      </c>
      <c r="U130" s="5">
        <v>0.316959536661159</v>
      </c>
    </row>
    <row r="131" spans="1:21" ht="13.5" customHeight="1" x14ac:dyDescent="0.3">
      <c r="A131" s="5" t="s">
        <v>1607</v>
      </c>
      <c r="B131" s="5" t="s">
        <v>1608</v>
      </c>
      <c r="C131" s="5">
        <v>13</v>
      </c>
      <c r="D131" s="5">
        <v>13</v>
      </c>
      <c r="E131" s="5">
        <v>1</v>
      </c>
      <c r="F131" s="6">
        <v>30.2105</v>
      </c>
      <c r="G131" s="5">
        <v>1.9903400000000002E-2</v>
      </c>
      <c r="H131" s="5">
        <v>30.21</v>
      </c>
      <c r="I131" s="5" t="s">
        <v>11</v>
      </c>
      <c r="J131" s="5">
        <v>1</v>
      </c>
      <c r="K131" s="5" t="s">
        <v>2</v>
      </c>
      <c r="L131" s="5" t="s">
        <v>1609</v>
      </c>
      <c r="M131" s="5" t="s">
        <v>1610</v>
      </c>
      <c r="N131" s="5" t="s">
        <v>1611</v>
      </c>
      <c r="O131" s="5">
        <v>5</v>
      </c>
      <c r="P131" s="6">
        <v>717660</v>
      </c>
      <c r="Q131" s="5">
        <v>379790</v>
      </c>
      <c r="R131" s="5">
        <v>337860</v>
      </c>
      <c r="S131" s="5">
        <v>1.1830000000000001</v>
      </c>
      <c r="T131" s="5">
        <f>LOG(Table2[[#This Row],[ratio heavy to light normalized]],2)</f>
        <v>0.24245007367770144</v>
      </c>
      <c r="U131" s="5">
        <v>0.31934723845137297</v>
      </c>
    </row>
    <row r="132" spans="1:21" ht="13.5" customHeight="1" x14ac:dyDescent="0.3">
      <c r="A132" s="5" t="s">
        <v>1183</v>
      </c>
      <c r="B132" s="5" t="s">
        <v>1184</v>
      </c>
      <c r="C132" s="5">
        <v>35</v>
      </c>
      <c r="D132" s="5">
        <v>35</v>
      </c>
      <c r="E132" s="5">
        <v>1</v>
      </c>
      <c r="F132" s="6">
        <v>52.861899999999999</v>
      </c>
      <c r="G132" s="7">
        <v>1.5068999999999999E-5</v>
      </c>
      <c r="H132" s="5">
        <v>52.862000000000002</v>
      </c>
      <c r="I132" s="5"/>
      <c r="J132" s="5">
        <v>1</v>
      </c>
      <c r="K132" s="5" t="s">
        <v>2</v>
      </c>
      <c r="L132" s="5" t="s">
        <v>1185</v>
      </c>
      <c r="M132" s="5" t="s">
        <v>1186</v>
      </c>
      <c r="N132" s="5" t="s">
        <v>1187</v>
      </c>
      <c r="O132" s="5">
        <v>4</v>
      </c>
      <c r="P132" s="6">
        <v>1996500</v>
      </c>
      <c r="Q132" s="5">
        <v>966730</v>
      </c>
      <c r="R132" s="5">
        <v>1029800</v>
      </c>
      <c r="S132" s="5">
        <v>1.1800999999999999</v>
      </c>
      <c r="T132" s="5">
        <f>LOG(Table2[[#This Row],[ratio heavy to light normalized]],2)</f>
        <v>0.23890911669840434</v>
      </c>
      <c r="U132" s="5">
        <v>0.21893069634149601</v>
      </c>
    </row>
    <row r="133" spans="1:21" ht="13.5" customHeight="1" x14ac:dyDescent="0.3">
      <c r="A133" s="5" t="s">
        <v>1146</v>
      </c>
      <c r="B133" s="5" t="s">
        <v>1147</v>
      </c>
      <c r="C133" s="5">
        <v>60</v>
      </c>
      <c r="D133" s="5">
        <v>60</v>
      </c>
      <c r="E133" s="5">
        <v>1</v>
      </c>
      <c r="F133" s="6">
        <v>98.996600000000001</v>
      </c>
      <c r="G133" s="7">
        <v>2.2174300000000001E-14</v>
      </c>
      <c r="H133" s="5">
        <v>98.997</v>
      </c>
      <c r="I133" s="5"/>
      <c r="J133" s="5">
        <v>1</v>
      </c>
      <c r="K133" s="5" t="s">
        <v>2</v>
      </c>
      <c r="L133" s="5" t="s">
        <v>1654</v>
      </c>
      <c r="M133" s="5" t="s">
        <v>1655</v>
      </c>
      <c r="N133" s="5" t="s">
        <v>1656</v>
      </c>
      <c r="O133" s="5">
        <v>5</v>
      </c>
      <c r="P133" s="6">
        <v>884210</v>
      </c>
      <c r="Q133" s="5">
        <v>439330</v>
      </c>
      <c r="R133" s="5">
        <v>444870</v>
      </c>
      <c r="S133" s="5">
        <v>1.1798</v>
      </c>
      <c r="T133" s="5">
        <f>LOG(Table2[[#This Row],[ratio heavy to light normalized]],2)</f>
        <v>0.23854231427915087</v>
      </c>
      <c r="U133" s="5">
        <v>0.32363011267562303</v>
      </c>
    </row>
    <row r="134" spans="1:21" ht="13.5" customHeight="1" x14ac:dyDescent="0.3">
      <c r="A134" s="5" t="s">
        <v>215</v>
      </c>
      <c r="B134" s="5" t="s">
        <v>216</v>
      </c>
      <c r="C134" s="5">
        <v>580</v>
      </c>
      <c r="D134" s="5">
        <v>580</v>
      </c>
      <c r="E134" s="5">
        <v>1</v>
      </c>
      <c r="F134" s="6">
        <v>55.8855</v>
      </c>
      <c r="G134" s="7">
        <v>1.22498E-6</v>
      </c>
      <c r="H134" s="5">
        <v>55.884999999999998</v>
      </c>
      <c r="I134" s="5"/>
      <c r="J134" s="5">
        <v>1</v>
      </c>
      <c r="K134" s="5" t="s">
        <v>2</v>
      </c>
      <c r="L134" s="5" t="s">
        <v>1663</v>
      </c>
      <c r="M134" s="5" t="s">
        <v>1664</v>
      </c>
      <c r="N134" s="5" t="s">
        <v>1665</v>
      </c>
      <c r="O134" s="5">
        <v>5</v>
      </c>
      <c r="P134" s="6">
        <v>844670</v>
      </c>
      <c r="Q134" s="5">
        <v>420770</v>
      </c>
      <c r="R134" s="5">
        <v>423890</v>
      </c>
      <c r="S134" s="5">
        <v>1.1782999999999999</v>
      </c>
      <c r="T134" s="5">
        <f>LOG(Table2[[#This Row],[ratio heavy to light normalized]],2)</f>
        <v>0.23670690199535252</v>
      </c>
      <c r="U134" s="5">
        <v>0.32565456893105299</v>
      </c>
    </row>
    <row r="135" spans="1:21" ht="13.5" customHeight="1" x14ac:dyDescent="0.3">
      <c r="A135" s="5" t="s">
        <v>1196</v>
      </c>
      <c r="B135" s="5" t="s">
        <v>1197</v>
      </c>
      <c r="C135" s="5">
        <v>124</v>
      </c>
      <c r="D135" s="5">
        <v>124</v>
      </c>
      <c r="E135" s="5">
        <v>1</v>
      </c>
      <c r="F135" s="6">
        <v>64.121200000000002</v>
      </c>
      <c r="G135" s="7">
        <v>1.26883E-5</v>
      </c>
      <c r="H135" s="5">
        <v>64.120999999999995</v>
      </c>
      <c r="I135" s="5" t="s">
        <v>11</v>
      </c>
      <c r="J135" s="5">
        <v>1</v>
      </c>
      <c r="K135" s="5" t="s">
        <v>2</v>
      </c>
      <c r="L135" s="5" t="s">
        <v>1198</v>
      </c>
      <c r="M135" s="5" t="s">
        <v>1199</v>
      </c>
      <c r="N135" s="5" t="s">
        <v>1200</v>
      </c>
      <c r="O135" s="5">
        <v>2</v>
      </c>
      <c r="P135" s="6">
        <v>1302000</v>
      </c>
      <c r="Q135" s="5">
        <v>702180</v>
      </c>
      <c r="R135" s="5">
        <v>599870</v>
      </c>
      <c r="S135" s="5">
        <v>1.1767000000000001</v>
      </c>
      <c r="T135" s="5">
        <f>LOG(Table2[[#This Row],[ratio heavy to light normalized]],2)</f>
        <v>0.23474655174432221</v>
      </c>
      <c r="U135" s="5">
        <v>0.224341305836565</v>
      </c>
    </row>
    <row r="136" spans="1:21" ht="13.5" customHeight="1" x14ac:dyDescent="0.3">
      <c r="A136" s="5" t="s">
        <v>137</v>
      </c>
      <c r="B136" s="5" t="s">
        <v>138</v>
      </c>
      <c r="C136" s="5">
        <v>143</v>
      </c>
      <c r="D136" s="5">
        <v>143</v>
      </c>
      <c r="E136" s="5">
        <v>1</v>
      </c>
      <c r="F136" s="6">
        <v>77.379000000000005</v>
      </c>
      <c r="G136" s="7">
        <v>3.47939E-7</v>
      </c>
      <c r="H136" s="5">
        <v>77.379000000000005</v>
      </c>
      <c r="I136" s="5"/>
      <c r="J136" s="5">
        <v>1</v>
      </c>
      <c r="K136" s="5" t="s">
        <v>2</v>
      </c>
      <c r="L136" s="5" t="s">
        <v>1669</v>
      </c>
      <c r="M136" s="5" t="s">
        <v>1670</v>
      </c>
      <c r="N136" s="5" t="s">
        <v>1671</v>
      </c>
      <c r="O136" s="5">
        <v>10</v>
      </c>
      <c r="P136" s="6">
        <v>536140</v>
      </c>
      <c r="Q136" s="5">
        <v>297000</v>
      </c>
      <c r="R136" s="5">
        <v>239150</v>
      </c>
      <c r="S136" s="5">
        <v>1.1767000000000001</v>
      </c>
      <c r="T136" s="5">
        <f>LOG(Table2[[#This Row],[ratio heavy to light normalized]],2)</f>
        <v>0.23474655174432221</v>
      </c>
      <c r="U136" s="5">
        <v>0.32782590697054198</v>
      </c>
    </row>
    <row r="137" spans="1:21" ht="13.5" customHeight="1" x14ac:dyDescent="0.3">
      <c r="A137" s="5" t="s">
        <v>1675</v>
      </c>
      <c r="B137" s="5" t="s">
        <v>1676</v>
      </c>
      <c r="C137" s="5">
        <v>224</v>
      </c>
      <c r="D137" s="5">
        <v>224</v>
      </c>
      <c r="E137" s="5">
        <v>1</v>
      </c>
      <c r="F137" s="6">
        <v>73.91</v>
      </c>
      <c r="G137" s="7">
        <v>3.1667899999999998E-10</v>
      </c>
      <c r="H137" s="5">
        <v>73.91</v>
      </c>
      <c r="I137" s="5" t="s">
        <v>11</v>
      </c>
      <c r="J137" s="5">
        <v>1</v>
      </c>
      <c r="K137" s="5" t="s">
        <v>2</v>
      </c>
      <c r="L137" s="5" t="s">
        <v>1677</v>
      </c>
      <c r="M137" s="5" t="s">
        <v>1678</v>
      </c>
      <c r="N137" s="5" t="s">
        <v>1679</v>
      </c>
      <c r="O137" s="5">
        <v>5</v>
      </c>
      <c r="P137" s="6">
        <v>619490</v>
      </c>
      <c r="Q137" s="5">
        <v>330740</v>
      </c>
      <c r="R137" s="5">
        <v>288750</v>
      </c>
      <c r="S137" s="5">
        <v>1.1752</v>
      </c>
      <c r="T137" s="5">
        <f>LOG(Table2[[#This Row],[ratio heavy to light normalized]],2)</f>
        <v>0.23290630100683049</v>
      </c>
      <c r="U137" s="5">
        <v>0.32987274837455699</v>
      </c>
    </row>
    <row r="138" spans="1:21" ht="13.5" customHeight="1" x14ac:dyDescent="0.3">
      <c r="A138" s="5" t="s">
        <v>1221</v>
      </c>
      <c r="B138" s="5" t="s">
        <v>1222</v>
      </c>
      <c r="C138" s="5">
        <v>382</v>
      </c>
      <c r="D138" s="5">
        <v>382</v>
      </c>
      <c r="E138" s="5">
        <v>1</v>
      </c>
      <c r="F138" s="6">
        <v>37.994799999999998</v>
      </c>
      <c r="G138" s="5">
        <v>4.9144800000000002E-2</v>
      </c>
      <c r="H138" s="5">
        <v>37.994999999999997</v>
      </c>
      <c r="I138" s="5"/>
      <c r="J138" s="5">
        <v>1</v>
      </c>
      <c r="K138" s="5" t="s">
        <v>2</v>
      </c>
      <c r="L138" s="5" t="s">
        <v>1223</v>
      </c>
      <c r="M138" s="5" t="s">
        <v>1224</v>
      </c>
      <c r="N138" s="5" t="s">
        <v>1225</v>
      </c>
      <c r="O138" s="5">
        <v>4</v>
      </c>
      <c r="P138" s="6">
        <v>1122900</v>
      </c>
      <c r="Q138" s="5">
        <v>490460</v>
      </c>
      <c r="R138" s="5">
        <v>632410</v>
      </c>
      <c r="S138" s="5">
        <v>1.1731</v>
      </c>
      <c r="T138" s="5">
        <f>LOG(Table2[[#This Row],[ratio heavy to light normalized]],2)</f>
        <v>0.23032600002869186</v>
      </c>
      <c r="U138" s="5">
        <v>0.23019117883589099</v>
      </c>
    </row>
    <row r="139" spans="1:21" ht="13.5" customHeight="1" x14ac:dyDescent="0.3">
      <c r="A139" s="5" t="s">
        <v>618</v>
      </c>
      <c r="B139" s="5" t="s">
        <v>619</v>
      </c>
      <c r="C139" s="5">
        <v>241</v>
      </c>
      <c r="D139" s="5">
        <v>241</v>
      </c>
      <c r="E139" s="5">
        <v>1</v>
      </c>
      <c r="F139" s="6">
        <v>35.511099999999999</v>
      </c>
      <c r="G139" s="5">
        <v>6.1491999999999998E-2</v>
      </c>
      <c r="H139" s="5">
        <v>35.511000000000003</v>
      </c>
      <c r="I139" s="5"/>
      <c r="J139" s="5">
        <v>1</v>
      </c>
      <c r="K139" s="5" t="s">
        <v>2</v>
      </c>
      <c r="L139" s="5" t="s">
        <v>620</v>
      </c>
      <c r="M139" s="5" t="s">
        <v>621</v>
      </c>
      <c r="N139" s="5" t="s">
        <v>622</v>
      </c>
      <c r="O139" s="5">
        <v>5</v>
      </c>
      <c r="P139" s="6">
        <v>440400</v>
      </c>
      <c r="Q139" s="5">
        <v>210480</v>
      </c>
      <c r="R139" s="5">
        <v>229930</v>
      </c>
      <c r="S139" s="5">
        <v>0.54183000000000003</v>
      </c>
      <c r="T139" s="5">
        <f>LOG(Table2[[#This Row],[ratio heavy to light normalized]],2)</f>
        <v>-0.88408782011262643</v>
      </c>
      <c r="U139" s="5">
        <v>8.4224759840557398E-2</v>
      </c>
    </row>
    <row r="140" spans="1:21" ht="13.5" customHeight="1" x14ac:dyDescent="0.3">
      <c r="A140" s="5" t="s">
        <v>121</v>
      </c>
      <c r="B140" s="5" t="s">
        <v>122</v>
      </c>
      <c r="C140" s="5">
        <v>180</v>
      </c>
      <c r="D140" s="5">
        <v>180</v>
      </c>
      <c r="E140" s="5">
        <v>1</v>
      </c>
      <c r="F140" s="6">
        <v>64.121200000000002</v>
      </c>
      <c r="G140" s="7">
        <v>1.26883E-5</v>
      </c>
      <c r="H140" s="5">
        <v>64.120999999999995</v>
      </c>
      <c r="I140" s="5" t="s">
        <v>11</v>
      </c>
      <c r="J140" s="5">
        <v>1</v>
      </c>
      <c r="K140" s="5" t="s">
        <v>2</v>
      </c>
      <c r="L140" s="5" t="s">
        <v>891</v>
      </c>
      <c r="M140" s="5" t="s">
        <v>892</v>
      </c>
      <c r="N140" s="5" t="s">
        <v>893</v>
      </c>
      <c r="O140" s="5">
        <v>10</v>
      </c>
      <c r="P140" s="6">
        <v>2871100</v>
      </c>
      <c r="Q140" s="5">
        <v>1456100</v>
      </c>
      <c r="R140" s="5">
        <v>1415000</v>
      </c>
      <c r="S140" s="5">
        <v>1.1695</v>
      </c>
      <c r="T140" s="5">
        <f>LOG(Table2[[#This Row],[ratio heavy to light normalized]],2)</f>
        <v>0.22589186169034053</v>
      </c>
      <c r="U140" s="5">
        <v>0.149403437083311</v>
      </c>
    </row>
    <row r="141" spans="1:21" ht="13.5" customHeight="1" x14ac:dyDescent="0.3">
      <c r="A141" s="5" t="s">
        <v>432</v>
      </c>
      <c r="B141" s="5" t="s">
        <v>433</v>
      </c>
      <c r="C141" s="5">
        <v>308</v>
      </c>
      <c r="D141" s="5">
        <v>308</v>
      </c>
      <c r="E141" s="5">
        <v>1</v>
      </c>
      <c r="F141" s="6">
        <v>81.355599999999995</v>
      </c>
      <c r="G141" s="7">
        <v>3.1166999999999999E-20</v>
      </c>
      <c r="H141" s="5">
        <v>81.355999999999995</v>
      </c>
      <c r="I141" s="5"/>
      <c r="J141" s="5">
        <v>1</v>
      </c>
      <c r="K141" s="5" t="s">
        <v>2</v>
      </c>
      <c r="L141" s="5" t="s">
        <v>899</v>
      </c>
      <c r="M141" s="5" t="s">
        <v>900</v>
      </c>
      <c r="N141" s="5" t="s">
        <v>901</v>
      </c>
      <c r="O141" s="5">
        <v>10</v>
      </c>
      <c r="P141" s="6">
        <v>21134000</v>
      </c>
      <c r="Q141" s="5">
        <v>8225700</v>
      </c>
      <c r="R141" s="5">
        <v>12908000</v>
      </c>
      <c r="S141" s="5">
        <v>1.1678999999999999</v>
      </c>
      <c r="T141" s="5">
        <f>LOG(Table2[[#This Row],[ratio heavy to light normalized]],2)</f>
        <v>0.22391675051899007</v>
      </c>
      <c r="U141" s="5">
        <v>0.151905174390257</v>
      </c>
    </row>
    <row r="142" spans="1:21" ht="13.5" customHeight="1" x14ac:dyDescent="0.3">
      <c r="A142" s="5" t="s">
        <v>877</v>
      </c>
      <c r="B142" s="5" t="s">
        <v>878</v>
      </c>
      <c r="C142" s="5">
        <v>227</v>
      </c>
      <c r="D142" s="5">
        <v>227</v>
      </c>
      <c r="E142" s="5">
        <v>1</v>
      </c>
      <c r="F142" s="6">
        <v>25.915600000000001</v>
      </c>
      <c r="G142" s="5">
        <v>6.4494799999999996E-3</v>
      </c>
      <c r="H142" s="5">
        <v>31.635000000000002</v>
      </c>
      <c r="I142" s="5"/>
      <c r="J142" s="5">
        <v>1</v>
      </c>
      <c r="K142" s="5" t="s">
        <v>2</v>
      </c>
      <c r="L142" s="5" t="s">
        <v>1259</v>
      </c>
      <c r="M142" s="5" t="s">
        <v>1260</v>
      </c>
      <c r="N142" s="5" t="s">
        <v>1261</v>
      </c>
      <c r="O142" s="5">
        <v>14</v>
      </c>
      <c r="P142" s="6">
        <v>1943000</v>
      </c>
      <c r="Q142" s="5">
        <v>1028500</v>
      </c>
      <c r="R142" s="5">
        <v>914500</v>
      </c>
      <c r="S142" s="5">
        <v>1.1675</v>
      </c>
      <c r="T142" s="5">
        <f>LOG(Table2[[#This Row],[ratio heavy to light normalized]],2)</f>
        <v>0.22342254993493718</v>
      </c>
      <c r="U142" s="5">
        <v>0.23954231558351599</v>
      </c>
    </row>
    <row r="143" spans="1:21" ht="13.5" customHeight="1" x14ac:dyDescent="0.3">
      <c r="A143" s="5" t="s">
        <v>638</v>
      </c>
      <c r="B143" s="5" t="s">
        <v>639</v>
      </c>
      <c r="C143" s="5">
        <v>495</v>
      </c>
      <c r="D143" s="5">
        <v>495</v>
      </c>
      <c r="E143" s="5">
        <v>1</v>
      </c>
      <c r="F143" s="6">
        <v>20.466699999999999</v>
      </c>
      <c r="G143" s="5">
        <v>0.19583900000000001</v>
      </c>
      <c r="H143" s="5">
        <v>20.466999999999999</v>
      </c>
      <c r="I143" s="5"/>
      <c r="J143" s="5">
        <v>1</v>
      </c>
      <c r="K143" s="5" t="s">
        <v>2</v>
      </c>
      <c r="L143" s="5" t="s">
        <v>640</v>
      </c>
      <c r="M143" s="5" t="s">
        <v>641</v>
      </c>
      <c r="N143" s="5" t="s">
        <v>642</v>
      </c>
      <c r="O143" s="5">
        <v>7</v>
      </c>
      <c r="P143" s="6">
        <v>1417800</v>
      </c>
      <c r="Q143" s="5">
        <v>715170</v>
      </c>
      <c r="R143" s="5">
        <v>702670</v>
      </c>
      <c r="S143" s="5">
        <v>1.3003</v>
      </c>
      <c r="T143" s="5">
        <f>LOG(Table2[[#This Row],[ratio heavy to light normalized]],2)</f>
        <v>0.37884451446950268</v>
      </c>
      <c r="U143" s="5">
        <v>8.7174703425644207E-2</v>
      </c>
    </row>
    <row r="144" spans="1:21" ht="13.5" customHeight="1" x14ac:dyDescent="0.3">
      <c r="A144" s="5" t="s">
        <v>476</v>
      </c>
      <c r="B144" s="5" t="s">
        <v>477</v>
      </c>
      <c r="C144" s="5">
        <v>453</v>
      </c>
      <c r="D144" s="5">
        <v>453</v>
      </c>
      <c r="E144" s="5">
        <v>1</v>
      </c>
      <c r="F144" s="6">
        <v>34.909399999999998</v>
      </c>
      <c r="G144" s="5">
        <v>4.3723E-3</v>
      </c>
      <c r="H144" s="5">
        <v>34.908999999999999</v>
      </c>
      <c r="I144" s="5" t="s">
        <v>11</v>
      </c>
      <c r="J144" s="5">
        <v>1</v>
      </c>
      <c r="K144" s="5" t="s">
        <v>2</v>
      </c>
      <c r="L144" s="5" t="s">
        <v>1272</v>
      </c>
      <c r="M144" s="5" t="s">
        <v>1273</v>
      </c>
      <c r="N144" s="5" t="s">
        <v>1274</v>
      </c>
      <c r="O144" s="5">
        <v>6</v>
      </c>
      <c r="P144" s="6">
        <v>1982800</v>
      </c>
      <c r="Q144" s="5">
        <v>1042300</v>
      </c>
      <c r="R144" s="5">
        <v>940510</v>
      </c>
      <c r="S144" s="5">
        <v>1.1667000000000001</v>
      </c>
      <c r="T144" s="5">
        <f>LOG(Table2[[#This Row],[ratio heavy to light normalized]],2)</f>
        <v>0.22243364060591525</v>
      </c>
      <c r="U144" s="5">
        <v>0.24090348016950999</v>
      </c>
    </row>
    <row r="145" spans="1:21" ht="13.5" customHeight="1" x14ac:dyDescent="0.3">
      <c r="A145" s="5" t="s">
        <v>323</v>
      </c>
      <c r="B145" s="5" t="s">
        <v>324</v>
      </c>
      <c r="C145" s="5">
        <v>565</v>
      </c>
      <c r="D145" s="5">
        <v>565</v>
      </c>
      <c r="E145" s="5">
        <v>1</v>
      </c>
      <c r="F145" s="6">
        <v>45.7042</v>
      </c>
      <c r="G145" s="7">
        <v>1.07912E-8</v>
      </c>
      <c r="H145" s="5">
        <v>66.284999999999997</v>
      </c>
      <c r="I145" s="5" t="s">
        <v>11</v>
      </c>
      <c r="J145" s="5">
        <v>1</v>
      </c>
      <c r="K145" s="5" t="s">
        <v>2</v>
      </c>
      <c r="L145" s="5" t="s">
        <v>1294</v>
      </c>
      <c r="M145" s="5" t="s">
        <v>1295</v>
      </c>
      <c r="N145" s="5" t="s">
        <v>1296</v>
      </c>
      <c r="O145" s="5">
        <v>7</v>
      </c>
      <c r="P145" s="6">
        <v>1110800</v>
      </c>
      <c r="Q145" s="5">
        <v>666040</v>
      </c>
      <c r="R145" s="5">
        <v>444790</v>
      </c>
      <c r="S145" s="5">
        <v>1.1642999999999999</v>
      </c>
      <c r="T145" s="5">
        <f>LOG(Table2[[#This Row],[ratio heavy to light normalized]],2)</f>
        <v>0.21946283895715482</v>
      </c>
      <c r="U145" s="5">
        <v>0.24502531209284301</v>
      </c>
    </row>
    <row r="146" spans="1:21" ht="13.5" customHeight="1" x14ac:dyDescent="0.3">
      <c r="A146" s="5" t="s">
        <v>1745</v>
      </c>
      <c r="B146" s="5" t="s">
        <v>1746</v>
      </c>
      <c r="C146" s="5">
        <v>135</v>
      </c>
      <c r="D146" s="5">
        <v>135</v>
      </c>
      <c r="E146" s="5">
        <v>1</v>
      </c>
      <c r="F146" s="6">
        <v>58.673999999999999</v>
      </c>
      <c r="G146" s="7">
        <v>8.9309199999999995E-5</v>
      </c>
      <c r="H146" s="5">
        <v>58.673999999999999</v>
      </c>
      <c r="I146" s="5" t="s">
        <v>11</v>
      </c>
      <c r="J146" s="5">
        <v>1</v>
      </c>
      <c r="K146" s="5" t="s">
        <v>2</v>
      </c>
      <c r="L146" s="5" t="s">
        <v>1747</v>
      </c>
      <c r="M146" s="5" t="s">
        <v>1748</v>
      </c>
      <c r="N146" s="5" t="s">
        <v>1749</v>
      </c>
      <c r="O146" s="5">
        <v>9</v>
      </c>
      <c r="P146" s="6">
        <v>502600</v>
      </c>
      <c r="Q146" s="5">
        <v>228470</v>
      </c>
      <c r="R146" s="5">
        <v>274130</v>
      </c>
      <c r="S146" s="5">
        <v>1.1614</v>
      </c>
      <c r="T146" s="5">
        <f>LOG(Table2[[#This Row],[ratio heavy to light normalized]],2)</f>
        <v>0.21586493915323998</v>
      </c>
      <c r="U146" s="5">
        <v>0.34921919314972499</v>
      </c>
    </row>
    <row r="147" spans="1:21" ht="13.5" customHeight="1" x14ac:dyDescent="0.3">
      <c r="A147" s="5" t="s">
        <v>960</v>
      </c>
      <c r="B147" s="5" t="s">
        <v>961</v>
      </c>
      <c r="C147" s="5">
        <v>209</v>
      </c>
      <c r="D147" s="5">
        <v>209</v>
      </c>
      <c r="E147" s="5">
        <v>1</v>
      </c>
      <c r="F147" s="6">
        <v>40.681699999999999</v>
      </c>
      <c r="G147" s="5">
        <v>1.7567900000000001E-4</v>
      </c>
      <c r="H147" s="5">
        <v>40.682000000000002</v>
      </c>
      <c r="I147" s="5"/>
      <c r="J147" s="5">
        <v>1</v>
      </c>
      <c r="K147" s="5" t="s">
        <v>2</v>
      </c>
      <c r="L147" s="5" t="s">
        <v>962</v>
      </c>
      <c r="M147" s="5" t="s">
        <v>963</v>
      </c>
      <c r="N147" s="5" t="s">
        <v>964</v>
      </c>
      <c r="O147" s="5">
        <v>11</v>
      </c>
      <c r="P147" s="6">
        <v>3120900</v>
      </c>
      <c r="Q147" s="5">
        <v>1695800</v>
      </c>
      <c r="R147" s="5">
        <v>1425100</v>
      </c>
      <c r="S147" s="5">
        <v>1.161</v>
      </c>
      <c r="T147" s="5">
        <f>LOG(Table2[[#This Row],[ratio heavy to light normalized]],2)</f>
        <v>0.21536797220347947</v>
      </c>
      <c r="U147" s="5">
        <v>0.16310227084495199</v>
      </c>
    </row>
    <row r="148" spans="1:21" ht="13.5" customHeight="1" x14ac:dyDescent="0.3">
      <c r="A148" s="5" t="s">
        <v>1321</v>
      </c>
      <c r="B148" s="5" t="s">
        <v>1322</v>
      </c>
      <c r="C148" s="5">
        <v>87</v>
      </c>
      <c r="D148" s="5">
        <v>87</v>
      </c>
      <c r="E148" s="5">
        <v>1</v>
      </c>
      <c r="F148" s="6">
        <v>49.500500000000002</v>
      </c>
      <c r="G148" s="5">
        <v>1.2744E-2</v>
      </c>
      <c r="H148" s="5">
        <v>49.5</v>
      </c>
      <c r="I148" s="5"/>
      <c r="J148" s="5">
        <v>1</v>
      </c>
      <c r="K148" s="5" t="s">
        <v>2</v>
      </c>
      <c r="L148" s="5" t="s">
        <v>1323</v>
      </c>
      <c r="M148" s="5" t="s">
        <v>1324</v>
      </c>
      <c r="N148" s="5" t="s">
        <v>1325</v>
      </c>
      <c r="O148" s="5">
        <v>9</v>
      </c>
      <c r="P148" s="6">
        <v>1218200</v>
      </c>
      <c r="Q148" s="5">
        <v>522740</v>
      </c>
      <c r="R148" s="5">
        <v>695460</v>
      </c>
      <c r="S148" s="5">
        <v>1.1607000000000001</v>
      </c>
      <c r="T148" s="5">
        <f>LOG(Table2[[#This Row],[ratio heavy to light normalized]],2)</f>
        <v>0.21499513461492331</v>
      </c>
      <c r="U148" s="5">
        <v>0.25131676028963901</v>
      </c>
    </row>
    <row r="149" spans="1:21" ht="13.5" customHeight="1" x14ac:dyDescent="0.3">
      <c r="A149" s="5" t="s">
        <v>278</v>
      </c>
      <c r="B149" s="5" t="s">
        <v>279</v>
      </c>
      <c r="C149" s="5">
        <v>535</v>
      </c>
      <c r="D149" s="5">
        <v>535</v>
      </c>
      <c r="E149" s="5">
        <v>1</v>
      </c>
      <c r="F149" s="6">
        <v>77.6404</v>
      </c>
      <c r="G149" s="7">
        <v>1.1534700000000001E-8</v>
      </c>
      <c r="H149" s="5">
        <v>77.64</v>
      </c>
      <c r="I149" s="5" t="s">
        <v>11</v>
      </c>
      <c r="J149" s="5">
        <v>1</v>
      </c>
      <c r="K149" s="5" t="s">
        <v>2</v>
      </c>
      <c r="L149" s="5" t="s">
        <v>1368</v>
      </c>
      <c r="M149" s="5" t="s">
        <v>1369</v>
      </c>
      <c r="N149" s="5" t="s">
        <v>1370</v>
      </c>
      <c r="O149" s="5">
        <v>9</v>
      </c>
      <c r="P149" s="6">
        <v>2066500</v>
      </c>
      <c r="Q149" s="5">
        <v>883700</v>
      </c>
      <c r="R149" s="5">
        <v>1182800</v>
      </c>
      <c r="S149" s="5">
        <v>1.1560999999999999</v>
      </c>
      <c r="T149" s="5">
        <f>LOG(Table2[[#This Row],[ratio heavy to light normalized]],2)</f>
        <v>0.20926619305002614</v>
      </c>
      <c r="U149" s="5">
        <v>0.25954801145463202</v>
      </c>
    </row>
    <row r="150" spans="1:21" ht="13.5" customHeight="1" x14ac:dyDescent="0.3">
      <c r="A150" s="5" t="s">
        <v>818</v>
      </c>
      <c r="B150" s="5" t="s">
        <v>819</v>
      </c>
      <c r="C150" s="5">
        <v>154</v>
      </c>
      <c r="D150" s="5">
        <v>154</v>
      </c>
      <c r="E150" s="5">
        <v>1</v>
      </c>
      <c r="F150" s="6">
        <v>98.248800000000003</v>
      </c>
      <c r="G150" s="7">
        <v>1.27555E-14</v>
      </c>
      <c r="H150" s="5">
        <v>98.248999999999995</v>
      </c>
      <c r="I150" s="5" t="s">
        <v>11</v>
      </c>
      <c r="J150" s="5">
        <v>1</v>
      </c>
      <c r="K150" s="5" t="s">
        <v>2</v>
      </c>
      <c r="L150" s="5" t="s">
        <v>1772</v>
      </c>
      <c r="M150" s="5" t="s">
        <v>1773</v>
      </c>
      <c r="N150" s="5" t="s">
        <v>1774</v>
      </c>
      <c r="O150" s="5">
        <v>9</v>
      </c>
      <c r="P150" s="6">
        <v>729880</v>
      </c>
      <c r="Q150" s="5">
        <v>364150</v>
      </c>
      <c r="R150" s="5">
        <v>365730</v>
      </c>
      <c r="S150" s="5">
        <v>1.1540999999999999</v>
      </c>
      <c r="T150" s="5">
        <f>LOG(Table2[[#This Row],[ratio heavy to light normalized]],2)</f>
        <v>0.20676823546832157</v>
      </c>
      <c r="U150" s="5">
        <v>0.35983539974873502</v>
      </c>
    </row>
    <row r="151" spans="1:21" ht="13.5" customHeight="1" x14ac:dyDescent="0.3">
      <c r="A151" s="5" t="s">
        <v>676</v>
      </c>
      <c r="B151" s="5" t="s">
        <v>677</v>
      </c>
      <c r="C151" s="5">
        <v>143</v>
      </c>
      <c r="D151" s="5">
        <v>143</v>
      </c>
      <c r="E151" s="5">
        <v>1</v>
      </c>
      <c r="F151" s="6">
        <v>19.7334</v>
      </c>
      <c r="G151" s="5">
        <v>0.30982300000000002</v>
      </c>
      <c r="H151" s="5">
        <v>19.733000000000001</v>
      </c>
      <c r="I151" s="5" t="s">
        <v>11</v>
      </c>
      <c r="J151" s="5">
        <v>1</v>
      </c>
      <c r="K151" s="5" t="s">
        <v>2</v>
      </c>
      <c r="L151" s="5" t="s">
        <v>678</v>
      </c>
      <c r="M151" s="5" t="s">
        <v>679</v>
      </c>
      <c r="N151" s="5" t="s">
        <v>680</v>
      </c>
      <c r="O151" s="5">
        <v>19</v>
      </c>
      <c r="P151" s="6">
        <v>2352200</v>
      </c>
      <c r="Q151" s="5">
        <v>1482700</v>
      </c>
      <c r="R151" s="5">
        <v>869530</v>
      </c>
      <c r="S151" s="5">
        <v>0.58477000000000001</v>
      </c>
      <c r="T151" s="5">
        <f>LOG(Table2[[#This Row],[ratio heavy to light normalized]],2)</f>
        <v>-0.77405879515892995</v>
      </c>
      <c r="U151" s="5">
        <v>9.38798359977078E-2</v>
      </c>
    </row>
    <row r="152" spans="1:21" ht="13.5" customHeight="1" x14ac:dyDescent="0.3">
      <c r="A152" s="5" t="s">
        <v>1027</v>
      </c>
      <c r="B152" s="5" t="s">
        <v>1028</v>
      </c>
      <c r="C152" s="5">
        <v>80</v>
      </c>
      <c r="D152" s="5">
        <v>80</v>
      </c>
      <c r="E152" s="5">
        <v>1</v>
      </c>
      <c r="F152" s="6">
        <v>83.417500000000004</v>
      </c>
      <c r="G152" s="7">
        <v>3.5159999999999998E-16</v>
      </c>
      <c r="H152" s="5">
        <v>83.418000000000006</v>
      </c>
      <c r="I152" s="5" t="s">
        <v>11</v>
      </c>
      <c r="J152" s="5">
        <v>1</v>
      </c>
      <c r="K152" s="5" t="s">
        <v>2</v>
      </c>
      <c r="L152" s="5" t="s">
        <v>1029</v>
      </c>
      <c r="M152" s="5" t="s">
        <v>1030</v>
      </c>
      <c r="N152" s="5" t="s">
        <v>1031</v>
      </c>
      <c r="O152" s="5">
        <v>11</v>
      </c>
      <c r="P152" s="6">
        <v>15724000</v>
      </c>
      <c r="Q152" s="5">
        <v>7838600</v>
      </c>
      <c r="R152" s="5">
        <v>7885400</v>
      </c>
      <c r="S152" s="5">
        <v>1.1505000000000001</v>
      </c>
      <c r="T152" s="5">
        <f>LOG(Table2[[#This Row],[ratio heavy to light normalized]],2)</f>
        <v>0.20226098356200267</v>
      </c>
      <c r="U152" s="5">
        <v>0.181462212499682</v>
      </c>
    </row>
    <row r="153" spans="1:21" ht="13.5" customHeight="1" x14ac:dyDescent="0.3">
      <c r="A153" s="5" t="s">
        <v>1032</v>
      </c>
      <c r="B153" s="5" t="s">
        <v>1033</v>
      </c>
      <c r="C153" s="5">
        <v>301</v>
      </c>
      <c r="D153" s="5">
        <v>301</v>
      </c>
      <c r="E153" s="5">
        <v>1</v>
      </c>
      <c r="F153" s="6">
        <v>86.290899999999993</v>
      </c>
      <c r="G153" s="7">
        <v>1.4174100000000001E-13</v>
      </c>
      <c r="H153" s="5">
        <v>86.290999999999997</v>
      </c>
      <c r="I153" s="5" t="s">
        <v>11</v>
      </c>
      <c r="J153" s="5">
        <v>1</v>
      </c>
      <c r="K153" s="5" t="s">
        <v>2</v>
      </c>
      <c r="L153" s="5" t="s">
        <v>1034</v>
      </c>
      <c r="M153" s="5" t="s">
        <v>1035</v>
      </c>
      <c r="N153" s="5" t="s">
        <v>1036</v>
      </c>
      <c r="O153" s="5">
        <v>12</v>
      </c>
      <c r="P153" s="6">
        <v>3551500</v>
      </c>
      <c r="Q153" s="5">
        <v>1656700</v>
      </c>
      <c r="R153" s="5">
        <v>1894800</v>
      </c>
      <c r="S153" s="5">
        <v>1.1499999999999999</v>
      </c>
      <c r="T153" s="5">
        <f>LOG(Table2[[#This Row],[ratio heavy to light normalized]],2)</f>
        <v>0.20163386116965043</v>
      </c>
      <c r="U153" s="5">
        <v>0.182377638422556</v>
      </c>
    </row>
    <row r="154" spans="1:21" ht="13.5" customHeight="1" x14ac:dyDescent="0.3">
      <c r="A154" s="5" t="s">
        <v>288</v>
      </c>
      <c r="B154" s="5" t="s">
        <v>289</v>
      </c>
      <c r="C154" s="5">
        <v>89</v>
      </c>
      <c r="D154" s="5">
        <v>89</v>
      </c>
      <c r="E154" s="5">
        <v>1</v>
      </c>
      <c r="F154" s="6">
        <v>131.43299999999999</v>
      </c>
      <c r="G154" s="7">
        <v>2.8556500000000001E-40</v>
      </c>
      <c r="H154" s="5">
        <v>131.43</v>
      </c>
      <c r="I154" s="5" t="s">
        <v>11</v>
      </c>
      <c r="J154" s="5">
        <v>1</v>
      </c>
      <c r="K154" s="5" t="s">
        <v>2</v>
      </c>
      <c r="L154" s="5" t="s">
        <v>1425</v>
      </c>
      <c r="M154" s="5" t="s">
        <v>1426</v>
      </c>
      <c r="N154" s="5" t="s">
        <v>1427</v>
      </c>
      <c r="O154" s="5">
        <v>7</v>
      </c>
      <c r="P154" s="6">
        <v>2587100</v>
      </c>
      <c r="Q154" s="5">
        <v>1465700</v>
      </c>
      <c r="R154" s="5">
        <v>1121400</v>
      </c>
      <c r="S154" s="5">
        <v>1.1493</v>
      </c>
      <c r="T154" s="5">
        <f>LOG(Table2[[#This Row],[ratio heavy to light normalized]],2)</f>
        <v>0.20075543159558679</v>
      </c>
      <c r="U154" s="5">
        <v>0.27211763388255</v>
      </c>
    </row>
    <row r="155" spans="1:21" ht="13.5" customHeight="1" x14ac:dyDescent="0.3">
      <c r="A155" s="5" t="s">
        <v>595</v>
      </c>
      <c r="B155" s="5" t="s">
        <v>596</v>
      </c>
      <c r="C155" s="5">
        <v>325</v>
      </c>
      <c r="D155" s="5">
        <v>325</v>
      </c>
      <c r="E155" s="5">
        <v>1</v>
      </c>
      <c r="F155" s="6">
        <v>99.522300000000001</v>
      </c>
      <c r="G155" s="7">
        <v>2.0074699999999999E-15</v>
      </c>
      <c r="H155" s="5">
        <v>99.522000000000006</v>
      </c>
      <c r="I155" s="5" t="s">
        <v>11</v>
      </c>
      <c r="J155" s="5">
        <v>1</v>
      </c>
      <c r="K155" s="5" t="s">
        <v>2</v>
      </c>
      <c r="L155" s="5" t="s">
        <v>1055</v>
      </c>
      <c r="M155" s="5" t="s">
        <v>1056</v>
      </c>
      <c r="N155" s="5" t="s">
        <v>1057</v>
      </c>
      <c r="O155" s="5">
        <v>4</v>
      </c>
      <c r="P155" s="6">
        <v>2840600</v>
      </c>
      <c r="Q155" s="5">
        <v>1515300</v>
      </c>
      <c r="R155" s="5">
        <v>1325300</v>
      </c>
      <c r="S155" s="5">
        <v>1.1468</v>
      </c>
      <c r="T155" s="5">
        <f>LOG(Table2[[#This Row],[ratio heavy to light normalized]],2)</f>
        <v>0.19761380969107431</v>
      </c>
      <c r="U155" s="5">
        <v>0.188327272388773</v>
      </c>
    </row>
    <row r="156" spans="1:21" ht="13.5" customHeight="1" x14ac:dyDescent="0.3">
      <c r="A156" s="5" t="s">
        <v>1063</v>
      </c>
      <c r="B156" s="5" t="s">
        <v>1064</v>
      </c>
      <c r="C156" s="5">
        <v>29</v>
      </c>
      <c r="D156" s="5">
        <v>29</v>
      </c>
      <c r="E156" s="5">
        <v>1</v>
      </c>
      <c r="F156" s="6">
        <v>64.264499999999998</v>
      </c>
      <c r="G156" s="7">
        <v>2.1871900000000001E-6</v>
      </c>
      <c r="H156" s="5">
        <v>64.265000000000001</v>
      </c>
      <c r="I156" s="5"/>
      <c r="J156" s="5">
        <v>1</v>
      </c>
      <c r="K156" s="5" t="s">
        <v>2</v>
      </c>
      <c r="L156" s="5" t="s">
        <v>1065</v>
      </c>
      <c r="M156" s="5" t="s">
        <v>1066</v>
      </c>
      <c r="N156" s="5" t="s">
        <v>1067</v>
      </c>
      <c r="O156" s="5">
        <v>4</v>
      </c>
      <c r="P156" s="6">
        <v>5173500</v>
      </c>
      <c r="Q156" s="5">
        <v>2442300</v>
      </c>
      <c r="R156" s="5">
        <v>2731200</v>
      </c>
      <c r="S156" s="5">
        <v>1.1456</v>
      </c>
      <c r="T156" s="5">
        <f>LOG(Table2[[#This Row],[ratio heavy to light normalized]],2)</f>
        <v>0.19610339771480698</v>
      </c>
      <c r="U156" s="5">
        <v>0.190599282379315</v>
      </c>
    </row>
    <row r="157" spans="1:21" ht="13.5" customHeight="1" x14ac:dyDescent="0.3">
      <c r="A157" s="5" t="s">
        <v>628</v>
      </c>
      <c r="B157" s="5" t="s">
        <v>629</v>
      </c>
      <c r="C157" s="5">
        <v>450</v>
      </c>
      <c r="D157" s="5">
        <v>450</v>
      </c>
      <c r="E157" s="5">
        <v>1</v>
      </c>
      <c r="F157" s="6">
        <v>95.094499999999996</v>
      </c>
      <c r="G157" s="7">
        <v>6.6963600000000004E-25</v>
      </c>
      <c r="H157" s="5">
        <v>95.093999999999994</v>
      </c>
      <c r="I157" s="5"/>
      <c r="J157" s="5">
        <v>1</v>
      </c>
      <c r="K157" s="5" t="s">
        <v>2</v>
      </c>
      <c r="L157" s="5" t="s">
        <v>1068</v>
      </c>
      <c r="M157" s="5" t="s">
        <v>1069</v>
      </c>
      <c r="N157" s="5" t="s">
        <v>1070</v>
      </c>
      <c r="O157" s="5">
        <v>16</v>
      </c>
      <c r="P157" s="6">
        <v>21241000</v>
      </c>
      <c r="Q157" s="5">
        <v>8503900</v>
      </c>
      <c r="R157" s="5">
        <v>12737000</v>
      </c>
      <c r="S157" s="5">
        <v>1.1446000000000001</v>
      </c>
      <c r="T157" s="5">
        <f>LOG(Table2[[#This Row],[ratio heavy to light normalized]],2)</f>
        <v>0.19484351199951963</v>
      </c>
      <c r="U157" s="5">
        <v>0.19250982799247099</v>
      </c>
    </row>
    <row r="158" spans="1:21" ht="13.5" customHeight="1" x14ac:dyDescent="0.3">
      <c r="A158" s="5" t="s">
        <v>937</v>
      </c>
      <c r="B158" s="5" t="s">
        <v>938</v>
      </c>
      <c r="C158" s="5">
        <v>221</v>
      </c>
      <c r="D158" s="5">
        <v>221</v>
      </c>
      <c r="E158" s="5">
        <v>1</v>
      </c>
      <c r="F158" s="6">
        <v>99.530699999999996</v>
      </c>
      <c r="G158" s="7">
        <v>5.0278900000000001E-20</v>
      </c>
      <c r="H158" s="5">
        <v>99.531000000000006</v>
      </c>
      <c r="I158" s="5"/>
      <c r="J158" s="5">
        <v>1</v>
      </c>
      <c r="K158" s="5" t="s">
        <v>2</v>
      </c>
      <c r="L158" s="5" t="s">
        <v>1071</v>
      </c>
      <c r="M158" s="5" t="s">
        <v>1072</v>
      </c>
      <c r="N158" s="5" t="s">
        <v>1073</v>
      </c>
      <c r="O158" s="5">
        <v>9</v>
      </c>
      <c r="P158" s="6">
        <v>5744200</v>
      </c>
      <c r="Q158" s="5">
        <v>2718500</v>
      </c>
      <c r="R158" s="5">
        <v>3025700</v>
      </c>
      <c r="S158" s="5">
        <v>1.1445000000000001</v>
      </c>
      <c r="T158" s="5">
        <f>LOG(Table2[[#This Row],[ratio heavy to light normalized]],2)</f>
        <v>0.1947174628935997</v>
      </c>
      <c r="U158" s="5">
        <v>0.192701746219788</v>
      </c>
    </row>
    <row r="159" spans="1:21" ht="13.5" customHeight="1" x14ac:dyDescent="0.3">
      <c r="A159" s="5" t="s">
        <v>710</v>
      </c>
      <c r="B159" s="5" t="s">
        <v>711</v>
      </c>
      <c r="C159" s="5">
        <v>862</v>
      </c>
      <c r="D159" s="5">
        <v>862</v>
      </c>
      <c r="E159" s="5">
        <v>1</v>
      </c>
      <c r="F159" s="6">
        <v>19.819400000000002</v>
      </c>
      <c r="G159" s="5">
        <v>0.40994799999999998</v>
      </c>
      <c r="H159" s="5">
        <v>19.818999999999999</v>
      </c>
      <c r="I159" s="5" t="s">
        <v>11</v>
      </c>
      <c r="J159" s="5">
        <v>1</v>
      </c>
      <c r="K159" s="5" t="s">
        <v>2</v>
      </c>
      <c r="L159" s="5" t="s">
        <v>712</v>
      </c>
      <c r="M159" s="5" t="s">
        <v>713</v>
      </c>
      <c r="N159" s="5" t="s">
        <v>714</v>
      </c>
      <c r="O159" s="5">
        <v>7</v>
      </c>
      <c r="P159" s="6">
        <v>358580</v>
      </c>
      <c r="Q159" s="5">
        <v>180530</v>
      </c>
      <c r="R159" s="5">
        <v>178050</v>
      </c>
      <c r="S159" s="5">
        <v>1.4336</v>
      </c>
      <c r="T159" s="5">
        <f>LOG(Table2[[#This Row],[ratio heavy to light normalized]],2)</f>
        <v>0.51964254250815467</v>
      </c>
      <c r="U159" s="5">
        <v>0.105615380683134</v>
      </c>
    </row>
    <row r="160" spans="1:21" ht="13.5" customHeight="1" x14ac:dyDescent="0.3">
      <c r="A160" s="5" t="s">
        <v>407</v>
      </c>
      <c r="B160" s="5" t="s">
        <v>408</v>
      </c>
      <c r="C160" s="5">
        <v>988</v>
      </c>
      <c r="D160" s="5">
        <v>988</v>
      </c>
      <c r="E160" s="5">
        <v>1</v>
      </c>
      <c r="F160" s="6">
        <v>48.704000000000001</v>
      </c>
      <c r="G160" s="5">
        <v>2.9351399999999998E-4</v>
      </c>
      <c r="H160" s="5">
        <v>48.704000000000001</v>
      </c>
      <c r="I160" s="5" t="s">
        <v>11</v>
      </c>
      <c r="J160" s="5">
        <v>1</v>
      </c>
      <c r="K160" s="5" t="s">
        <v>2</v>
      </c>
      <c r="L160" s="5" t="s">
        <v>1840</v>
      </c>
      <c r="M160" s="5" t="s">
        <v>1841</v>
      </c>
      <c r="N160" s="5" t="s">
        <v>1842</v>
      </c>
      <c r="O160" s="5">
        <v>7</v>
      </c>
      <c r="P160" s="6">
        <v>377180</v>
      </c>
      <c r="Q160" s="5">
        <v>271920</v>
      </c>
      <c r="R160" s="5">
        <v>105260</v>
      </c>
      <c r="S160" s="5">
        <v>1.1427</v>
      </c>
      <c r="T160" s="5">
        <f>LOG(Table2[[#This Row],[ratio heavy to light normalized]],2)</f>
        <v>0.19244669373504691</v>
      </c>
      <c r="U160" s="5">
        <v>0.37695504675824199</v>
      </c>
    </row>
    <row r="161" spans="1:21" ht="13.5" customHeight="1" x14ac:dyDescent="0.3">
      <c r="A161" s="5" t="s">
        <v>720</v>
      </c>
      <c r="B161" s="5" t="s">
        <v>721</v>
      </c>
      <c r="C161" s="5">
        <v>95</v>
      </c>
      <c r="D161" s="5">
        <v>95</v>
      </c>
      <c r="E161" s="5">
        <v>1</v>
      </c>
      <c r="F161" s="6">
        <v>18.057700000000001</v>
      </c>
      <c r="G161" s="5">
        <v>0.50919400000000004</v>
      </c>
      <c r="H161" s="5">
        <v>18.058</v>
      </c>
      <c r="I161" s="5" t="s">
        <v>11</v>
      </c>
      <c r="J161" s="5">
        <v>1</v>
      </c>
      <c r="K161" s="5" t="s">
        <v>2</v>
      </c>
      <c r="L161" s="5" t="s">
        <v>722</v>
      </c>
      <c r="M161" s="5" t="s">
        <v>723</v>
      </c>
      <c r="N161" s="5" t="s">
        <v>724</v>
      </c>
      <c r="O161" s="5">
        <v>8</v>
      </c>
      <c r="P161" s="6">
        <v>595910</v>
      </c>
      <c r="Q161" s="5">
        <v>263130</v>
      </c>
      <c r="R161" s="5">
        <v>332790</v>
      </c>
      <c r="S161" s="5">
        <v>1.4314</v>
      </c>
      <c r="T161" s="5">
        <f>LOG(Table2[[#This Row],[ratio heavy to light normalized]],2)</f>
        <v>0.51742688476728615</v>
      </c>
      <c r="U161" s="5">
        <v>0.10669150573481299</v>
      </c>
    </row>
    <row r="162" spans="1:21" ht="13.5" customHeight="1" x14ac:dyDescent="0.3">
      <c r="A162" s="5" t="s">
        <v>278</v>
      </c>
      <c r="B162" s="5" t="s">
        <v>279</v>
      </c>
      <c r="C162" s="5">
        <v>324</v>
      </c>
      <c r="D162" s="5">
        <v>324</v>
      </c>
      <c r="E162" s="5">
        <v>1</v>
      </c>
      <c r="F162" s="6">
        <v>43.296799999999998</v>
      </c>
      <c r="G162" s="5">
        <v>2.5412899999999999E-2</v>
      </c>
      <c r="H162" s="5">
        <v>43.296999999999997</v>
      </c>
      <c r="I162" s="5" t="s">
        <v>11</v>
      </c>
      <c r="J162" s="5">
        <v>1</v>
      </c>
      <c r="K162" s="5" t="s">
        <v>2</v>
      </c>
      <c r="L162" s="5" t="s">
        <v>1849</v>
      </c>
      <c r="M162" s="5" t="s">
        <v>1850</v>
      </c>
      <c r="N162" s="5" t="s">
        <v>1851</v>
      </c>
      <c r="O162" s="5">
        <v>5</v>
      </c>
      <c r="P162" s="6">
        <v>447410</v>
      </c>
      <c r="Q162" s="5">
        <v>215610</v>
      </c>
      <c r="R162" s="5">
        <v>231800</v>
      </c>
      <c r="S162" s="5">
        <v>1.1419999999999999</v>
      </c>
      <c r="T162" s="5">
        <f>LOG(Table2[[#This Row],[ratio heavy to light normalized]],2)</f>
        <v>0.19156265070075562</v>
      </c>
      <c r="U162" s="5">
        <v>0.37802801887348397</v>
      </c>
    </row>
    <row r="163" spans="1:21" ht="13.5" customHeight="1" x14ac:dyDescent="0.3">
      <c r="A163" s="5" t="s">
        <v>1857</v>
      </c>
      <c r="B163" s="5" t="s">
        <v>1858</v>
      </c>
      <c r="C163" s="5">
        <v>116</v>
      </c>
      <c r="D163" s="5">
        <v>116</v>
      </c>
      <c r="E163" s="5">
        <v>1</v>
      </c>
      <c r="F163" s="6">
        <v>50.8431</v>
      </c>
      <c r="G163" s="5">
        <v>1.7872999999999999E-4</v>
      </c>
      <c r="H163" s="5">
        <v>50.843000000000004</v>
      </c>
      <c r="I163" s="5" t="s">
        <v>11</v>
      </c>
      <c r="J163" s="5">
        <v>1</v>
      </c>
      <c r="K163" s="5" t="s">
        <v>2</v>
      </c>
      <c r="L163" s="5" t="s">
        <v>1859</v>
      </c>
      <c r="M163" s="5" t="s">
        <v>1860</v>
      </c>
      <c r="N163" s="5" t="s">
        <v>1861</v>
      </c>
      <c r="O163" s="5">
        <v>2</v>
      </c>
      <c r="P163" s="6">
        <v>399990</v>
      </c>
      <c r="Q163" s="5">
        <v>204530</v>
      </c>
      <c r="R163" s="5">
        <v>195460</v>
      </c>
      <c r="S163" s="5">
        <v>1.1405000000000001</v>
      </c>
      <c r="T163" s="5">
        <f>LOG(Table2[[#This Row],[ratio heavy to light normalized]],2)</f>
        <v>0.18966644665005042</v>
      </c>
      <c r="U163" s="5">
        <v>0.38033579831643199</v>
      </c>
    </row>
    <row r="164" spans="1:21" ht="13.5" customHeight="1" x14ac:dyDescent="0.3">
      <c r="A164" s="5" t="s">
        <v>735</v>
      </c>
      <c r="B164" s="5" t="s">
        <v>736</v>
      </c>
      <c r="C164" s="5">
        <v>413</v>
      </c>
      <c r="D164" s="5">
        <v>413</v>
      </c>
      <c r="E164" s="5">
        <v>1</v>
      </c>
      <c r="F164" s="6">
        <v>29.340599999999998</v>
      </c>
      <c r="G164" s="5">
        <v>0.19811500000000001</v>
      </c>
      <c r="H164" s="5">
        <v>29.341000000000001</v>
      </c>
      <c r="I164" s="5"/>
      <c r="J164" s="5">
        <v>1</v>
      </c>
      <c r="K164" s="5" t="s">
        <v>2</v>
      </c>
      <c r="L164" s="5" t="s">
        <v>737</v>
      </c>
      <c r="M164" s="5" t="s">
        <v>738</v>
      </c>
      <c r="N164" s="5" t="s">
        <v>739</v>
      </c>
      <c r="O164" s="5">
        <v>7</v>
      </c>
      <c r="P164" s="6">
        <v>294540</v>
      </c>
      <c r="Q164" s="5">
        <v>162770</v>
      </c>
      <c r="R164" s="5">
        <v>131770</v>
      </c>
      <c r="S164" s="5">
        <v>1.4181999999999999</v>
      </c>
      <c r="T164" s="5">
        <f>LOG(Table2[[#This Row],[ratio heavy to light normalized]],2)</f>
        <v>0.50406100130929277</v>
      </c>
      <c r="U164" s="5">
        <v>0.113368658095648</v>
      </c>
    </row>
    <row r="165" spans="1:21" ht="13.5" customHeight="1" x14ac:dyDescent="0.3">
      <c r="A165" s="5" t="s">
        <v>1491</v>
      </c>
      <c r="B165" s="5" t="s">
        <v>1492</v>
      </c>
      <c r="C165" s="5">
        <v>449</v>
      </c>
      <c r="D165" s="5">
        <v>449</v>
      </c>
      <c r="E165" s="5">
        <v>1</v>
      </c>
      <c r="F165" s="6">
        <v>60.400700000000001</v>
      </c>
      <c r="G165" s="7">
        <v>7.4626699999999995E-5</v>
      </c>
      <c r="H165" s="5">
        <v>60.401000000000003</v>
      </c>
      <c r="I165" s="5"/>
      <c r="J165" s="5">
        <v>1</v>
      </c>
      <c r="K165" s="5" t="s">
        <v>2</v>
      </c>
      <c r="L165" s="5" t="s">
        <v>1493</v>
      </c>
      <c r="M165" s="5" t="s">
        <v>1494</v>
      </c>
      <c r="N165" s="5" t="s">
        <v>1495</v>
      </c>
      <c r="O165" s="5">
        <v>10</v>
      </c>
      <c r="P165" s="6">
        <v>1002400</v>
      </c>
      <c r="Q165" s="5">
        <v>508950</v>
      </c>
      <c r="R165" s="5">
        <v>493470</v>
      </c>
      <c r="S165" s="5">
        <v>1.1395</v>
      </c>
      <c r="T165" s="5">
        <f>LOG(Table2[[#This Row],[ratio heavy to light normalized]],2)</f>
        <v>0.18840092460321003</v>
      </c>
      <c r="U165" s="5">
        <v>0.29109502995646203</v>
      </c>
    </row>
    <row r="166" spans="1:21" ht="13.5" customHeight="1" x14ac:dyDescent="0.3">
      <c r="A166" s="5" t="s">
        <v>1878</v>
      </c>
      <c r="B166" s="5" t="s">
        <v>1879</v>
      </c>
      <c r="C166" s="5">
        <v>17</v>
      </c>
      <c r="D166" s="5">
        <v>17</v>
      </c>
      <c r="E166" s="5">
        <v>1</v>
      </c>
      <c r="F166" s="6">
        <v>40.2776</v>
      </c>
      <c r="G166" s="5">
        <v>7.5529000000000004E-3</v>
      </c>
      <c r="H166" s="5">
        <v>40.277999999999999</v>
      </c>
      <c r="I166" s="5"/>
      <c r="J166" s="5">
        <v>1</v>
      </c>
      <c r="K166" s="5" t="s">
        <v>2</v>
      </c>
      <c r="L166" s="5" t="s">
        <v>1880</v>
      </c>
      <c r="M166" s="5" t="s">
        <v>1881</v>
      </c>
      <c r="N166" s="5" t="s">
        <v>1882</v>
      </c>
      <c r="O166" s="5">
        <v>14</v>
      </c>
      <c r="P166" s="6">
        <v>776580</v>
      </c>
      <c r="Q166" s="5">
        <v>352640</v>
      </c>
      <c r="R166" s="5">
        <v>423940</v>
      </c>
      <c r="S166" s="5">
        <v>1.1384000000000001</v>
      </c>
      <c r="T166" s="5">
        <f>LOG(Table2[[#This Row],[ratio heavy to light normalized]],2)</f>
        <v>0.18700756697703311</v>
      </c>
      <c r="U166" s="5">
        <v>0.38358633697448202</v>
      </c>
    </row>
    <row r="167" spans="1:21" ht="13.5" customHeight="1" x14ac:dyDescent="0.3">
      <c r="A167" s="5" t="s">
        <v>846</v>
      </c>
      <c r="B167" s="5" t="s">
        <v>847</v>
      </c>
      <c r="C167" s="5">
        <v>132</v>
      </c>
      <c r="D167" s="5">
        <v>132</v>
      </c>
      <c r="E167" s="5">
        <v>1</v>
      </c>
      <c r="F167" s="6">
        <v>131.79400000000001</v>
      </c>
      <c r="G167" s="7">
        <v>7.6859099999999999E-41</v>
      </c>
      <c r="H167" s="5">
        <v>131.79</v>
      </c>
      <c r="I167" s="5" t="s">
        <v>11</v>
      </c>
      <c r="J167" s="5">
        <v>1</v>
      </c>
      <c r="K167" s="5" t="s">
        <v>2</v>
      </c>
      <c r="L167" s="5" t="s">
        <v>1110</v>
      </c>
      <c r="M167" s="5" t="s">
        <v>1111</v>
      </c>
      <c r="N167" s="5" t="s">
        <v>1112</v>
      </c>
      <c r="O167" s="5">
        <v>10</v>
      </c>
      <c r="P167" s="6">
        <v>4442100</v>
      </c>
      <c r="Q167" s="5">
        <v>2113500</v>
      </c>
      <c r="R167" s="5">
        <v>2328500</v>
      </c>
      <c r="S167" s="5">
        <v>1.1375999999999999</v>
      </c>
      <c r="T167" s="5">
        <f>LOG(Table2[[#This Row],[ratio heavy to light normalized]],2)</f>
        <v>0.18599337006996583</v>
      </c>
      <c r="U167" s="5">
        <v>0.20632859332380099</v>
      </c>
    </row>
    <row r="168" spans="1:21" ht="13.5" customHeight="1" x14ac:dyDescent="0.3">
      <c r="A168" s="5" t="s">
        <v>1113</v>
      </c>
      <c r="B168" s="5" t="s">
        <v>1114</v>
      </c>
      <c r="C168" s="5">
        <v>73</v>
      </c>
      <c r="D168" s="5">
        <v>73</v>
      </c>
      <c r="E168" s="5">
        <v>1</v>
      </c>
      <c r="F168" s="6">
        <v>72.290499999999994</v>
      </c>
      <c r="G168" s="7">
        <v>5.3502299999999994E-23</v>
      </c>
      <c r="H168" s="5">
        <v>114.71</v>
      </c>
      <c r="I168" s="5" t="s">
        <v>11</v>
      </c>
      <c r="J168" s="5">
        <v>1</v>
      </c>
      <c r="K168" s="5" t="s">
        <v>2</v>
      </c>
      <c r="L168" s="5" t="s">
        <v>1115</v>
      </c>
      <c r="M168" s="5" t="s">
        <v>1116</v>
      </c>
      <c r="N168" s="5" t="s">
        <v>1117</v>
      </c>
      <c r="O168" s="5">
        <v>8</v>
      </c>
      <c r="P168" s="6">
        <v>7995700</v>
      </c>
      <c r="Q168" s="5">
        <v>3720100</v>
      </c>
      <c r="R168" s="5">
        <v>4275600</v>
      </c>
      <c r="S168" s="5">
        <v>1.1365000000000001</v>
      </c>
      <c r="T168" s="5">
        <f>LOG(Table2[[#This Row],[ratio heavy to light normalized]],2)</f>
        <v>0.18459768415576081</v>
      </c>
      <c r="U168" s="5">
        <v>0.20857200460831299</v>
      </c>
    </row>
    <row r="169" spans="1:21" ht="13.5" customHeight="1" x14ac:dyDescent="0.3">
      <c r="A169" s="5" t="s">
        <v>1892</v>
      </c>
      <c r="B169" s="5" t="s">
        <v>1893</v>
      </c>
      <c r="C169" s="5">
        <v>447</v>
      </c>
      <c r="D169" s="5">
        <v>447</v>
      </c>
      <c r="E169" s="5">
        <v>1</v>
      </c>
      <c r="F169" s="6">
        <v>78.148899999999998</v>
      </c>
      <c r="G169" s="7">
        <v>8.6188599999999999E-7</v>
      </c>
      <c r="H169" s="5">
        <v>78.149000000000001</v>
      </c>
      <c r="I169" s="5"/>
      <c r="J169" s="5">
        <v>1</v>
      </c>
      <c r="K169" s="5" t="s">
        <v>2</v>
      </c>
      <c r="L169" s="5" t="s">
        <v>1894</v>
      </c>
      <c r="M169" s="5" t="s">
        <v>1895</v>
      </c>
      <c r="N169" s="5" t="s">
        <v>1896</v>
      </c>
      <c r="O169" s="5">
        <v>6</v>
      </c>
      <c r="P169" s="6">
        <v>801360</v>
      </c>
      <c r="Q169" s="5">
        <v>423630</v>
      </c>
      <c r="R169" s="5">
        <v>377730</v>
      </c>
      <c r="S169" s="5">
        <v>1.1362000000000001</v>
      </c>
      <c r="T169" s="5">
        <f>LOG(Table2[[#This Row],[ratio heavy to light normalized]],2)</f>
        <v>0.18421680809224128</v>
      </c>
      <c r="U169" s="5">
        <v>0.38701633587849998</v>
      </c>
    </row>
    <row r="170" spans="1:21" ht="13.5" customHeight="1" x14ac:dyDescent="0.3">
      <c r="A170" s="5" t="s">
        <v>648</v>
      </c>
      <c r="B170" s="5" t="s">
        <v>649</v>
      </c>
      <c r="C170" s="5">
        <v>17</v>
      </c>
      <c r="D170" s="5">
        <v>17</v>
      </c>
      <c r="E170" s="5">
        <v>1</v>
      </c>
      <c r="F170" s="6">
        <v>30.5749</v>
      </c>
      <c r="G170" s="5">
        <v>1.8311900000000001E-4</v>
      </c>
      <c r="H170" s="5">
        <v>47.548000000000002</v>
      </c>
      <c r="I170" s="5" t="s">
        <v>11</v>
      </c>
      <c r="J170" s="5">
        <v>1</v>
      </c>
      <c r="K170" s="5" t="s">
        <v>2</v>
      </c>
      <c r="L170" s="5" t="s">
        <v>1151</v>
      </c>
      <c r="M170" s="5" t="s">
        <v>1152</v>
      </c>
      <c r="N170" s="5" t="s">
        <v>1153</v>
      </c>
      <c r="O170" s="5">
        <v>8</v>
      </c>
      <c r="P170" s="6">
        <v>7640100</v>
      </c>
      <c r="Q170" s="5">
        <v>3903100</v>
      </c>
      <c r="R170" s="5">
        <v>3737000</v>
      </c>
      <c r="S170" s="5">
        <v>1.1355</v>
      </c>
      <c r="T170" s="5">
        <f>LOG(Table2[[#This Row],[ratio heavy to light normalized]],2)</f>
        <v>0.18332770604480075</v>
      </c>
      <c r="U170" s="5">
        <v>0.21062866965815299</v>
      </c>
    </row>
    <row r="171" spans="1:21" ht="13.5" customHeight="1" x14ac:dyDescent="0.3">
      <c r="A171" s="5" t="s">
        <v>1908</v>
      </c>
      <c r="B171" s="5" t="s">
        <v>1909</v>
      </c>
      <c r="C171" s="5">
        <v>319</v>
      </c>
      <c r="D171" s="5">
        <v>319</v>
      </c>
      <c r="E171" s="5">
        <v>1</v>
      </c>
      <c r="F171" s="6">
        <v>66.9649</v>
      </c>
      <c r="G171" s="7">
        <v>4.69806E-11</v>
      </c>
      <c r="H171" s="5">
        <v>66.965000000000003</v>
      </c>
      <c r="I171" s="5"/>
      <c r="J171" s="5">
        <v>1</v>
      </c>
      <c r="K171" s="5" t="s">
        <v>2</v>
      </c>
      <c r="L171" s="5" t="s">
        <v>1910</v>
      </c>
      <c r="M171" s="5" t="s">
        <v>1911</v>
      </c>
      <c r="N171" s="5" t="s">
        <v>1912</v>
      </c>
      <c r="O171" s="5">
        <v>17</v>
      </c>
      <c r="P171" s="6">
        <v>906230</v>
      </c>
      <c r="Q171" s="5">
        <v>420530</v>
      </c>
      <c r="R171" s="5">
        <v>485710</v>
      </c>
      <c r="S171" s="5">
        <v>1.135</v>
      </c>
      <c r="T171" s="5">
        <f>LOG(Table2[[#This Row],[ratio heavy to light normalized]],2)</f>
        <v>0.18269229751619032</v>
      </c>
      <c r="U171" s="5">
        <v>0.38889792088796599</v>
      </c>
    </row>
    <row r="172" spans="1:21" ht="13.5" customHeight="1" x14ac:dyDescent="0.3">
      <c r="A172" s="5" t="s">
        <v>298</v>
      </c>
      <c r="B172" s="5" t="s">
        <v>299</v>
      </c>
      <c r="C172" s="5">
        <v>127</v>
      </c>
      <c r="D172" s="5">
        <v>127</v>
      </c>
      <c r="E172" s="5">
        <v>1</v>
      </c>
      <c r="F172" s="6">
        <v>21.292999999999999</v>
      </c>
      <c r="G172" s="5">
        <v>9.5659999999999995E-2</v>
      </c>
      <c r="H172" s="5">
        <v>21.292999999999999</v>
      </c>
      <c r="I172" s="5" t="s">
        <v>11</v>
      </c>
      <c r="J172" s="5">
        <v>1</v>
      </c>
      <c r="K172" s="5" t="s">
        <v>2</v>
      </c>
      <c r="L172" s="5" t="s">
        <v>771</v>
      </c>
      <c r="M172" s="5" t="s">
        <v>772</v>
      </c>
      <c r="N172" s="5" t="s">
        <v>773</v>
      </c>
      <c r="O172" s="5">
        <v>4</v>
      </c>
      <c r="P172" s="6">
        <v>1019500</v>
      </c>
      <c r="Q172" s="5">
        <v>464470</v>
      </c>
      <c r="R172" s="5">
        <v>555010</v>
      </c>
      <c r="S172" s="5">
        <v>1.2544</v>
      </c>
      <c r="T172" s="5">
        <f>LOG(Table2[[#This Row],[ratio heavy to light normalized]],2)</f>
        <v>0.32699746456575879</v>
      </c>
      <c r="U172" s="5">
        <v>0.12546418846017801</v>
      </c>
    </row>
    <row r="173" spans="1:21" ht="13.5" customHeight="1" x14ac:dyDescent="0.3">
      <c r="A173" s="5" t="s">
        <v>774</v>
      </c>
      <c r="B173" s="5" t="s">
        <v>775</v>
      </c>
      <c r="C173" s="5">
        <v>180</v>
      </c>
      <c r="D173" s="5">
        <v>180</v>
      </c>
      <c r="E173" s="5">
        <v>1</v>
      </c>
      <c r="F173" s="6">
        <v>36.303400000000003</v>
      </c>
      <c r="G173" s="5">
        <v>6.5250100000000005E-2</v>
      </c>
      <c r="H173" s="5">
        <v>36.302999999999997</v>
      </c>
      <c r="I173" s="5"/>
      <c r="J173" s="5">
        <v>1</v>
      </c>
      <c r="K173" s="5" t="s">
        <v>2</v>
      </c>
      <c r="L173" s="5" t="s">
        <v>776</v>
      </c>
      <c r="M173" s="5" t="s">
        <v>777</v>
      </c>
      <c r="N173" s="5" t="s">
        <v>778</v>
      </c>
      <c r="O173" s="5">
        <v>9</v>
      </c>
      <c r="P173" s="6">
        <v>314560</v>
      </c>
      <c r="Q173" s="5">
        <v>162760</v>
      </c>
      <c r="R173" s="5">
        <v>151800</v>
      </c>
      <c r="S173" s="5">
        <v>1.3953</v>
      </c>
      <c r="T173" s="5">
        <f>LOG(Table2[[#This Row],[ratio heavy to light normalized]],2)</f>
        <v>0.48057534569631816</v>
      </c>
      <c r="U173" s="5">
        <v>0.12589397720349699</v>
      </c>
    </row>
    <row r="174" spans="1:21" ht="13.5" customHeight="1" x14ac:dyDescent="0.3">
      <c r="A174" s="5" t="s">
        <v>779</v>
      </c>
      <c r="B174" s="5" t="s">
        <v>780</v>
      </c>
      <c r="C174" s="5">
        <v>999</v>
      </c>
      <c r="D174" s="5">
        <v>999</v>
      </c>
      <c r="E174" s="5">
        <v>1</v>
      </c>
      <c r="F174" s="6">
        <v>19.094200000000001</v>
      </c>
      <c r="G174" s="5">
        <v>1.2639</v>
      </c>
      <c r="H174" s="5">
        <v>19.094000000000001</v>
      </c>
      <c r="I174" s="5"/>
      <c r="J174" s="5">
        <v>1</v>
      </c>
      <c r="K174" s="5" t="s">
        <v>2</v>
      </c>
      <c r="L174" s="5" t="s">
        <v>781</v>
      </c>
      <c r="M174" s="5" t="s">
        <v>782</v>
      </c>
      <c r="N174" s="5" t="s">
        <v>783</v>
      </c>
      <c r="O174" s="5">
        <v>5</v>
      </c>
      <c r="P174" s="6">
        <v>267230</v>
      </c>
      <c r="Q174" s="5">
        <v>128020</v>
      </c>
      <c r="R174" s="5">
        <v>139220</v>
      </c>
      <c r="S174" s="5">
        <v>1.3943000000000001</v>
      </c>
      <c r="T174" s="5">
        <f>LOG(Table2[[#This Row],[ratio heavy to light normalized]],2)</f>
        <v>0.47954100736631666</v>
      </c>
      <c r="U174" s="5">
        <v>0.126469451724638</v>
      </c>
    </row>
    <row r="175" spans="1:21" ht="13.5" customHeight="1" x14ac:dyDescent="0.3">
      <c r="A175" s="5" t="s">
        <v>1524</v>
      </c>
      <c r="B175" s="5" t="s">
        <v>1525</v>
      </c>
      <c r="C175" s="5">
        <v>617</v>
      </c>
      <c r="D175" s="5">
        <v>617</v>
      </c>
      <c r="E175" s="5">
        <v>1</v>
      </c>
      <c r="F175" s="6">
        <v>64.830100000000002</v>
      </c>
      <c r="G175" s="7">
        <v>1.35781E-10</v>
      </c>
      <c r="H175" s="5">
        <v>64.83</v>
      </c>
      <c r="I175" s="5" t="s">
        <v>11</v>
      </c>
      <c r="J175" s="5">
        <v>1</v>
      </c>
      <c r="K175" s="5" t="s">
        <v>2</v>
      </c>
      <c r="L175" s="5" t="s">
        <v>1526</v>
      </c>
      <c r="M175" s="5" t="s">
        <v>1527</v>
      </c>
      <c r="N175" s="5" t="s">
        <v>1528</v>
      </c>
      <c r="O175" s="5">
        <v>8</v>
      </c>
      <c r="P175" s="6">
        <v>1010900</v>
      </c>
      <c r="Q175" s="5">
        <v>377580</v>
      </c>
      <c r="R175" s="5">
        <v>633280</v>
      </c>
      <c r="S175" s="5">
        <v>1.1349</v>
      </c>
      <c r="T175" s="5">
        <f>LOG(Table2[[#This Row],[ratio heavy to light normalized]],2)</f>
        <v>0.18256518222108284</v>
      </c>
      <c r="U175" s="5">
        <v>0.30036153815330102</v>
      </c>
    </row>
    <row r="176" spans="1:21" ht="13.5" customHeight="1" x14ac:dyDescent="0.3">
      <c r="A176" s="5" t="s">
        <v>1162</v>
      </c>
      <c r="B176" s="5" t="s">
        <v>1163</v>
      </c>
      <c r="C176" s="5">
        <v>119</v>
      </c>
      <c r="D176" s="5">
        <v>119</v>
      </c>
      <c r="E176" s="5">
        <v>1</v>
      </c>
      <c r="F176" s="6">
        <v>155.28100000000001</v>
      </c>
      <c r="G176" s="7">
        <v>3.9048300000000003E-80</v>
      </c>
      <c r="H176" s="5">
        <v>155.28</v>
      </c>
      <c r="I176" s="5" t="s">
        <v>11</v>
      </c>
      <c r="J176" s="5">
        <v>1</v>
      </c>
      <c r="K176" s="5" t="s">
        <v>2</v>
      </c>
      <c r="L176" s="5" t="s">
        <v>1164</v>
      </c>
      <c r="M176" s="5" t="s">
        <v>1165</v>
      </c>
      <c r="N176" s="5" t="s">
        <v>1166</v>
      </c>
      <c r="O176" s="5">
        <v>5</v>
      </c>
      <c r="P176" s="6">
        <v>3403100</v>
      </c>
      <c r="Q176" s="5">
        <v>1671600</v>
      </c>
      <c r="R176" s="5">
        <v>1731400</v>
      </c>
      <c r="S176" s="5">
        <v>1.1343000000000001</v>
      </c>
      <c r="T176" s="5">
        <f>LOG(Table2[[#This Row],[ratio heavy to light normalized]],2)</f>
        <v>0.18180225515894124</v>
      </c>
      <c r="U176" s="5">
        <v>0.21311840652450501</v>
      </c>
    </row>
    <row r="177" spans="1:21" ht="13.5" customHeight="1" x14ac:dyDescent="0.3">
      <c r="A177" s="5" t="s">
        <v>1548</v>
      </c>
      <c r="B177" s="5" t="s">
        <v>1549</v>
      </c>
      <c r="C177" s="5">
        <v>11</v>
      </c>
      <c r="D177" s="5">
        <v>11</v>
      </c>
      <c r="E177" s="5">
        <v>1</v>
      </c>
      <c r="F177" s="6">
        <v>58.486699999999999</v>
      </c>
      <c r="G177" s="7">
        <v>2.97927E-5</v>
      </c>
      <c r="H177" s="5">
        <v>58.487000000000002</v>
      </c>
      <c r="I177" s="5" t="s">
        <v>11</v>
      </c>
      <c r="J177" s="5">
        <v>1</v>
      </c>
      <c r="K177" s="5" t="s">
        <v>2</v>
      </c>
      <c r="L177" s="5" t="s">
        <v>1913</v>
      </c>
      <c r="M177" s="5" t="s">
        <v>1914</v>
      </c>
      <c r="N177" s="5" t="s">
        <v>1915</v>
      </c>
      <c r="O177" s="5">
        <v>4</v>
      </c>
      <c r="P177" s="6">
        <v>847830</v>
      </c>
      <c r="Q177" s="5">
        <v>423330</v>
      </c>
      <c r="R177" s="5">
        <v>424500</v>
      </c>
      <c r="S177" s="5">
        <v>1.1335999999999999</v>
      </c>
      <c r="T177" s="5">
        <f>LOG(Table2[[#This Row],[ratio heavy to light normalized]],2)</f>
        <v>0.18091166336856906</v>
      </c>
      <c r="U177" s="5">
        <v>0.39110265587989901</v>
      </c>
    </row>
    <row r="178" spans="1:21" ht="13.5" customHeight="1" x14ac:dyDescent="0.3">
      <c r="A178" s="5" t="s">
        <v>1535</v>
      </c>
      <c r="B178" s="5" t="s">
        <v>1536</v>
      </c>
      <c r="C178" s="5">
        <v>387</v>
      </c>
      <c r="D178" s="5">
        <v>387</v>
      </c>
      <c r="E178" s="5">
        <v>1</v>
      </c>
      <c r="F178" s="6">
        <v>137.15799999999999</v>
      </c>
      <c r="G178" s="7">
        <v>1.22423E-40</v>
      </c>
      <c r="H178" s="5">
        <v>137.16</v>
      </c>
      <c r="I178" s="5" t="s">
        <v>11</v>
      </c>
      <c r="J178" s="5">
        <v>1</v>
      </c>
      <c r="K178" s="5" t="s">
        <v>2</v>
      </c>
      <c r="L178" s="5" t="s">
        <v>1537</v>
      </c>
      <c r="M178" s="5" t="s">
        <v>1538</v>
      </c>
      <c r="N178" s="5" t="s">
        <v>1539</v>
      </c>
      <c r="O178" s="5">
        <v>7</v>
      </c>
      <c r="P178" s="6">
        <v>2211300</v>
      </c>
      <c r="Q178" s="5">
        <v>1051600</v>
      </c>
      <c r="R178" s="5">
        <v>1159700</v>
      </c>
      <c r="S178" s="5">
        <v>1.1327</v>
      </c>
      <c r="T178" s="5">
        <f>LOG(Table2[[#This Row],[ratio heavy to light normalized]],2)</f>
        <v>0.17976580835814965</v>
      </c>
      <c r="U178" s="5">
        <v>0.30487566602103799</v>
      </c>
    </row>
    <row r="179" spans="1:21" ht="13.5" customHeight="1" x14ac:dyDescent="0.3">
      <c r="A179" s="5" t="s">
        <v>1924</v>
      </c>
      <c r="B179" s="5" t="s">
        <v>1925</v>
      </c>
      <c r="C179" s="5">
        <v>135</v>
      </c>
      <c r="D179" s="5">
        <v>135</v>
      </c>
      <c r="E179" s="5">
        <v>1</v>
      </c>
      <c r="F179" s="6">
        <v>45.7042</v>
      </c>
      <c r="G179" s="7">
        <v>2.79267E-6</v>
      </c>
      <c r="H179" s="5">
        <v>45.704000000000001</v>
      </c>
      <c r="I179" s="5"/>
      <c r="J179" s="5">
        <v>1</v>
      </c>
      <c r="K179" s="5" t="s">
        <v>2</v>
      </c>
      <c r="L179" s="5" t="s">
        <v>1926</v>
      </c>
      <c r="M179" s="5" t="s">
        <v>1927</v>
      </c>
      <c r="N179" s="5" t="s">
        <v>1928</v>
      </c>
      <c r="O179" s="5">
        <v>12</v>
      </c>
      <c r="P179" s="6">
        <v>711810</v>
      </c>
      <c r="Q179" s="5">
        <v>474470</v>
      </c>
      <c r="R179" s="5">
        <v>237340</v>
      </c>
      <c r="S179" s="5">
        <v>1.1321000000000001</v>
      </c>
      <c r="T179" s="5">
        <f>LOG(Table2[[#This Row],[ratio heavy to light normalized]],2)</f>
        <v>0.1790013990992444</v>
      </c>
      <c r="U179" s="5">
        <v>0.39347631537459699</v>
      </c>
    </row>
    <row r="180" spans="1:21" ht="13.5" customHeight="1" x14ac:dyDescent="0.3">
      <c r="A180" s="5" t="s">
        <v>1929</v>
      </c>
      <c r="B180" s="5" t="s">
        <v>1930</v>
      </c>
      <c r="C180" s="5">
        <v>49</v>
      </c>
      <c r="D180" s="5">
        <v>49</v>
      </c>
      <c r="E180" s="5">
        <v>1</v>
      </c>
      <c r="F180" s="6">
        <v>63.726900000000001</v>
      </c>
      <c r="G180" s="7">
        <v>1.8233999999999999E-5</v>
      </c>
      <c r="H180" s="5">
        <v>63.726999999999997</v>
      </c>
      <c r="I180" s="5" t="s">
        <v>11</v>
      </c>
      <c r="J180" s="5">
        <v>1</v>
      </c>
      <c r="K180" s="5" t="s">
        <v>2</v>
      </c>
      <c r="L180" s="5" t="s">
        <v>1931</v>
      </c>
      <c r="M180" s="5" t="s">
        <v>1932</v>
      </c>
      <c r="N180" s="5" t="s">
        <v>1933</v>
      </c>
      <c r="O180" s="5">
        <v>7</v>
      </c>
      <c r="P180" s="6">
        <v>439980</v>
      </c>
      <c r="Q180" s="5">
        <v>229420</v>
      </c>
      <c r="R180" s="5">
        <v>210560</v>
      </c>
      <c r="S180" s="5">
        <v>1.131</v>
      </c>
      <c r="T180" s="5">
        <f>LOG(Table2[[#This Row],[ratio heavy to light normalized]],2)</f>
        <v>0.17759892932773344</v>
      </c>
      <c r="U180" s="5">
        <v>0.39522454037067201</v>
      </c>
    </row>
    <row r="181" spans="1:21" ht="13.5" customHeight="1" x14ac:dyDescent="0.3">
      <c r="A181" s="5" t="s">
        <v>846</v>
      </c>
      <c r="B181" s="5" t="s">
        <v>847</v>
      </c>
      <c r="C181" s="5">
        <v>468</v>
      </c>
      <c r="D181" s="5">
        <v>468</v>
      </c>
      <c r="E181" s="5">
        <v>1</v>
      </c>
      <c r="F181" s="6">
        <v>68.256699999999995</v>
      </c>
      <c r="G181" s="7">
        <v>1.9718E-11</v>
      </c>
      <c r="H181" s="5">
        <v>68.257000000000005</v>
      </c>
      <c r="I181" s="5" t="s">
        <v>11</v>
      </c>
      <c r="J181" s="5">
        <v>1</v>
      </c>
      <c r="K181" s="5" t="s">
        <v>2</v>
      </c>
      <c r="L181" s="5" t="s">
        <v>1556</v>
      </c>
      <c r="M181" s="5" t="s">
        <v>1557</v>
      </c>
      <c r="N181" s="5" t="s">
        <v>1558</v>
      </c>
      <c r="O181" s="5">
        <v>16</v>
      </c>
      <c r="P181" s="6">
        <v>2387500</v>
      </c>
      <c r="Q181" s="5">
        <v>1265500</v>
      </c>
      <c r="R181" s="5">
        <v>1122000</v>
      </c>
      <c r="S181" s="5">
        <v>1.1304000000000001</v>
      </c>
      <c r="T181" s="5">
        <f>LOG(Table2[[#This Row],[ratio heavy to light normalized]],2)</f>
        <v>0.17683337078449007</v>
      </c>
      <c r="U181" s="5">
        <v>0.309652409093787</v>
      </c>
    </row>
    <row r="182" spans="1:21" ht="13.5" customHeight="1" x14ac:dyDescent="0.3">
      <c r="A182" s="5" t="s">
        <v>1675</v>
      </c>
      <c r="B182" s="5" t="s">
        <v>1676</v>
      </c>
      <c r="C182" s="5">
        <v>42</v>
      </c>
      <c r="D182" s="5">
        <v>42</v>
      </c>
      <c r="E182" s="5">
        <v>1</v>
      </c>
      <c r="F182" s="6">
        <v>92.062899999999999</v>
      </c>
      <c r="G182" s="7">
        <v>5.1153E-18</v>
      </c>
      <c r="H182" s="5">
        <v>92.063000000000002</v>
      </c>
      <c r="I182" s="5" t="s">
        <v>11</v>
      </c>
      <c r="J182" s="5">
        <v>1</v>
      </c>
      <c r="K182" s="5" t="s">
        <v>2</v>
      </c>
      <c r="L182" s="5" t="s">
        <v>1952</v>
      </c>
      <c r="M182" s="5" t="s">
        <v>1953</v>
      </c>
      <c r="N182" s="5" t="s">
        <v>1954</v>
      </c>
      <c r="O182" s="5">
        <v>5</v>
      </c>
      <c r="P182" s="6">
        <v>323110</v>
      </c>
      <c r="Q182" s="5">
        <v>149390</v>
      </c>
      <c r="R182" s="5">
        <v>173720</v>
      </c>
      <c r="S182" s="5">
        <v>1.1269</v>
      </c>
      <c r="T182" s="5">
        <f>LOG(Table2[[#This Row],[ratio heavy to light normalized]],2)</f>
        <v>0.17235949784814059</v>
      </c>
      <c r="U182" s="5">
        <v>0.40179708695746702</v>
      </c>
    </row>
    <row r="183" spans="1:21" ht="13.5" customHeight="1" x14ac:dyDescent="0.3">
      <c r="A183" s="5" t="s">
        <v>1216</v>
      </c>
      <c r="B183" s="5" t="s">
        <v>1217</v>
      </c>
      <c r="C183" s="5">
        <v>111</v>
      </c>
      <c r="D183" s="5">
        <v>111</v>
      </c>
      <c r="E183" s="5">
        <v>1</v>
      </c>
      <c r="F183" s="6">
        <v>18.784500000000001</v>
      </c>
      <c r="G183" s="7">
        <v>1.39864E-28</v>
      </c>
      <c r="H183" s="5">
        <v>102.08</v>
      </c>
      <c r="I183" s="5"/>
      <c r="J183" s="5">
        <v>1</v>
      </c>
      <c r="K183" s="5" t="s">
        <v>2</v>
      </c>
      <c r="L183" s="5" t="s">
        <v>1218</v>
      </c>
      <c r="M183" s="5" t="s">
        <v>1219</v>
      </c>
      <c r="N183" s="5" t="s">
        <v>1220</v>
      </c>
      <c r="O183" s="5">
        <v>15</v>
      </c>
      <c r="P183" s="6">
        <v>2850100</v>
      </c>
      <c r="Q183" s="5">
        <v>1229800</v>
      </c>
      <c r="R183" s="5">
        <v>1620200</v>
      </c>
      <c r="S183" s="5">
        <v>1.1268</v>
      </c>
      <c r="T183" s="5">
        <f>LOG(Table2[[#This Row],[ratio heavy to light normalized]],2)</f>
        <v>0.17223146882548132</v>
      </c>
      <c r="U183" s="5">
        <v>0.22922485525237901</v>
      </c>
    </row>
    <row r="184" spans="1:21" ht="13.5" customHeight="1" x14ac:dyDescent="0.3">
      <c r="A184" s="5" t="s">
        <v>952</v>
      </c>
      <c r="B184" s="5" t="s">
        <v>953</v>
      </c>
      <c r="C184" s="5">
        <v>225</v>
      </c>
      <c r="D184" s="5">
        <v>225</v>
      </c>
      <c r="E184" s="5">
        <v>1</v>
      </c>
      <c r="F184" s="6">
        <v>97.733800000000002</v>
      </c>
      <c r="G184" s="7">
        <v>4.8754000000000003E-15</v>
      </c>
      <c r="H184" s="5">
        <v>97.733999999999995</v>
      </c>
      <c r="I184" s="5" t="s">
        <v>11</v>
      </c>
      <c r="J184" s="5">
        <v>1</v>
      </c>
      <c r="K184" s="5" t="s">
        <v>2</v>
      </c>
      <c r="L184" s="5" t="s">
        <v>1599</v>
      </c>
      <c r="M184" s="5" t="s">
        <v>1600</v>
      </c>
      <c r="N184" s="5" t="s">
        <v>1601</v>
      </c>
      <c r="O184" s="5">
        <v>4</v>
      </c>
      <c r="P184" s="6">
        <v>2310400</v>
      </c>
      <c r="Q184" s="5">
        <v>1198700</v>
      </c>
      <c r="R184" s="5">
        <v>1111700</v>
      </c>
      <c r="S184" s="5">
        <v>1.1268</v>
      </c>
      <c r="T184" s="5">
        <f>LOG(Table2[[#This Row],[ratio heavy to light normalized]],2)</f>
        <v>0.17223146882548132</v>
      </c>
      <c r="U184" s="5">
        <v>0.31724774733785599</v>
      </c>
    </row>
    <row r="185" spans="1:21" ht="13.5" customHeight="1" x14ac:dyDescent="0.3">
      <c r="A185" s="5" t="s">
        <v>1602</v>
      </c>
      <c r="B185" s="5" t="s">
        <v>1603</v>
      </c>
      <c r="C185" s="5">
        <v>30</v>
      </c>
      <c r="D185" s="5">
        <v>30</v>
      </c>
      <c r="E185" s="5">
        <v>1</v>
      </c>
      <c r="F185" s="6">
        <v>46.317700000000002</v>
      </c>
      <c r="G185" s="7">
        <v>5.5559499999999997E-6</v>
      </c>
      <c r="H185" s="5">
        <v>60.401000000000003</v>
      </c>
      <c r="I185" s="5" t="s">
        <v>11</v>
      </c>
      <c r="J185" s="5">
        <v>1</v>
      </c>
      <c r="K185" s="5" t="s">
        <v>2</v>
      </c>
      <c r="L185" s="5" t="s">
        <v>1604</v>
      </c>
      <c r="M185" s="5" t="s">
        <v>1605</v>
      </c>
      <c r="N185" s="5" t="s">
        <v>1606</v>
      </c>
      <c r="O185" s="5">
        <v>14</v>
      </c>
      <c r="P185" s="6">
        <v>1014300</v>
      </c>
      <c r="Q185" s="5">
        <v>487560</v>
      </c>
      <c r="R185" s="5">
        <v>526720</v>
      </c>
      <c r="S185" s="5">
        <v>1.1266</v>
      </c>
      <c r="T185" s="5">
        <f>LOG(Table2[[#This Row],[ratio heavy to light normalized]],2)</f>
        <v>0.17197537669009888</v>
      </c>
      <c r="U185" s="5">
        <v>0.31767398010367798</v>
      </c>
    </row>
    <row r="186" spans="1:21" ht="13.5" customHeight="1" x14ac:dyDescent="0.3">
      <c r="A186" s="5" t="s">
        <v>1226</v>
      </c>
      <c r="B186" s="5" t="s">
        <v>1227</v>
      </c>
      <c r="C186" s="5">
        <v>91</v>
      </c>
      <c r="D186" s="5">
        <v>91</v>
      </c>
      <c r="E186" s="5">
        <v>1</v>
      </c>
      <c r="F186" s="6">
        <v>119.446</v>
      </c>
      <c r="G186" s="7">
        <v>2.88192E-35</v>
      </c>
      <c r="H186" s="5">
        <v>119.45</v>
      </c>
      <c r="I186" s="5" t="s">
        <v>11</v>
      </c>
      <c r="J186" s="5">
        <v>1</v>
      </c>
      <c r="K186" s="5" t="s">
        <v>2</v>
      </c>
      <c r="L186" s="5" t="s">
        <v>1228</v>
      </c>
      <c r="M186" s="5" t="s">
        <v>1229</v>
      </c>
      <c r="N186" s="5" t="s">
        <v>1230</v>
      </c>
      <c r="O186" s="5">
        <v>5</v>
      </c>
      <c r="P186" s="6">
        <v>2833700</v>
      </c>
      <c r="Q186" s="5">
        <v>1401600</v>
      </c>
      <c r="R186" s="5">
        <v>1432100</v>
      </c>
      <c r="S186" s="5">
        <v>1.1261000000000001</v>
      </c>
      <c r="T186" s="5">
        <f>LOG(Table2[[#This Row],[ratio heavy to light normalized]],2)</f>
        <v>0.17133494739876851</v>
      </c>
      <c r="U186" s="5">
        <v>0.230776817659507</v>
      </c>
    </row>
    <row r="187" spans="1:21" ht="13.5" customHeight="1" x14ac:dyDescent="0.3">
      <c r="A187" s="5" t="s">
        <v>1267</v>
      </c>
      <c r="B187" s="5" t="s">
        <v>1268</v>
      </c>
      <c r="C187" s="5">
        <v>235</v>
      </c>
      <c r="D187" s="5">
        <v>235</v>
      </c>
      <c r="E187" s="5">
        <v>1</v>
      </c>
      <c r="F187" s="6">
        <v>58.913899999999998</v>
      </c>
      <c r="G187" s="7">
        <v>3.91844E-10</v>
      </c>
      <c r="H187" s="5">
        <v>58.914000000000001</v>
      </c>
      <c r="I187" s="5" t="s">
        <v>11</v>
      </c>
      <c r="J187" s="5">
        <v>1</v>
      </c>
      <c r="K187" s="5" t="s">
        <v>2</v>
      </c>
      <c r="L187" s="5" t="s">
        <v>1612</v>
      </c>
      <c r="M187" s="5" t="s">
        <v>1613</v>
      </c>
      <c r="N187" s="5" t="s">
        <v>1614</v>
      </c>
      <c r="O187" s="5">
        <v>14</v>
      </c>
      <c r="P187" s="6">
        <v>1769700</v>
      </c>
      <c r="Q187" s="5">
        <v>894340</v>
      </c>
      <c r="R187" s="5">
        <v>875340</v>
      </c>
      <c r="S187" s="5">
        <v>1.1257999999999999</v>
      </c>
      <c r="T187" s="5">
        <f>LOG(Table2[[#This Row],[ratio heavy to light normalized]],2)</f>
        <v>0.17095055331836756</v>
      </c>
      <c r="U187" s="5">
        <v>0.31938342288589899</v>
      </c>
    </row>
    <row r="188" spans="1:21" ht="13.5" customHeight="1" x14ac:dyDescent="0.3">
      <c r="A188" s="5" t="s">
        <v>841</v>
      </c>
      <c r="B188" s="5" t="s">
        <v>842</v>
      </c>
      <c r="C188" s="5">
        <v>156</v>
      </c>
      <c r="D188" s="5">
        <v>156</v>
      </c>
      <c r="E188" s="5">
        <v>1</v>
      </c>
      <c r="F188" s="6">
        <v>28.012899999999998</v>
      </c>
      <c r="G188" s="5">
        <v>0.71889999999999998</v>
      </c>
      <c r="H188" s="5">
        <v>28.013000000000002</v>
      </c>
      <c r="I188" s="5"/>
      <c r="J188" s="5">
        <v>1</v>
      </c>
      <c r="K188" s="5" t="s">
        <v>2</v>
      </c>
      <c r="L188" s="5" t="s">
        <v>843</v>
      </c>
      <c r="M188" s="5" t="s">
        <v>844</v>
      </c>
      <c r="N188" s="5" t="s">
        <v>845</v>
      </c>
      <c r="O188" s="5">
        <v>8</v>
      </c>
      <c r="P188" s="6">
        <v>2665200</v>
      </c>
      <c r="Q188" s="5">
        <v>1612300</v>
      </c>
      <c r="R188" s="5">
        <v>1052800</v>
      </c>
      <c r="S188" s="5">
        <v>0.61802000000000001</v>
      </c>
      <c r="T188" s="5">
        <f>LOG(Table2[[#This Row],[ratio heavy to light normalized]],2)</f>
        <v>-0.69427456835328494</v>
      </c>
      <c r="U188" s="5">
        <v>0.14119950839966799</v>
      </c>
    </row>
    <row r="189" spans="1:21" ht="13.5" customHeight="1" x14ac:dyDescent="0.3">
      <c r="A189" s="5" t="s">
        <v>846</v>
      </c>
      <c r="B189" s="5" t="s">
        <v>847</v>
      </c>
      <c r="C189" s="5">
        <v>34</v>
      </c>
      <c r="D189" s="5">
        <v>34</v>
      </c>
      <c r="E189" s="5">
        <v>1</v>
      </c>
      <c r="F189" s="6">
        <v>18.4572</v>
      </c>
      <c r="G189" s="5">
        <v>1.03677</v>
      </c>
      <c r="H189" s="5">
        <v>18.457000000000001</v>
      </c>
      <c r="I189" s="5" t="s">
        <v>11</v>
      </c>
      <c r="J189" s="5">
        <v>1</v>
      </c>
      <c r="K189" s="5" t="s">
        <v>2</v>
      </c>
      <c r="L189" s="5" t="s">
        <v>848</v>
      </c>
      <c r="M189" s="5" t="s">
        <v>849</v>
      </c>
      <c r="N189" s="5" t="s">
        <v>850</v>
      </c>
      <c r="O189" s="5">
        <v>6</v>
      </c>
      <c r="P189" s="6">
        <v>3363600</v>
      </c>
      <c r="Q189" s="5">
        <v>1722200</v>
      </c>
      <c r="R189" s="5">
        <v>1641500</v>
      </c>
      <c r="S189" s="5">
        <v>1.1747000000000001</v>
      </c>
      <c r="T189" s="5">
        <f>LOG(Table2[[#This Row],[ratio heavy to light normalized]],2)</f>
        <v>0.23229236208914866</v>
      </c>
      <c r="U189" s="5">
        <v>0.14151216325808</v>
      </c>
    </row>
    <row r="190" spans="1:21" ht="13.5" customHeight="1" x14ac:dyDescent="0.3">
      <c r="A190" s="5" t="s">
        <v>1620</v>
      </c>
      <c r="B190" s="5" t="s">
        <v>1621</v>
      </c>
      <c r="C190" s="5">
        <v>193</v>
      </c>
      <c r="D190" s="5">
        <v>193</v>
      </c>
      <c r="E190" s="5">
        <v>1</v>
      </c>
      <c r="F190" s="6">
        <v>59.799700000000001</v>
      </c>
      <c r="G190" s="5">
        <v>3.4093600000000002E-4</v>
      </c>
      <c r="H190" s="5">
        <v>59.8</v>
      </c>
      <c r="I190" s="5" t="s">
        <v>11</v>
      </c>
      <c r="J190" s="5">
        <v>1</v>
      </c>
      <c r="K190" s="5" t="s">
        <v>2</v>
      </c>
      <c r="L190" s="5" t="s">
        <v>1622</v>
      </c>
      <c r="M190" s="5" t="s">
        <v>1623</v>
      </c>
      <c r="N190" s="5" t="s">
        <v>1624</v>
      </c>
      <c r="O190" s="5">
        <v>3</v>
      </c>
      <c r="P190" s="6">
        <v>1027100</v>
      </c>
      <c r="Q190" s="5">
        <v>494800</v>
      </c>
      <c r="R190" s="5">
        <v>532250</v>
      </c>
      <c r="S190" s="5">
        <v>1.1254999999999999</v>
      </c>
      <c r="T190" s="5">
        <f>LOG(Table2[[#This Row],[ratio heavy to light normalized]],2)</f>
        <v>0.17056605679206857</v>
      </c>
      <c r="U190" s="5">
        <v>0.32002632702682798</v>
      </c>
    </row>
    <row r="191" spans="1:21" ht="13.5" customHeight="1" x14ac:dyDescent="0.3">
      <c r="A191" s="5" t="s">
        <v>854</v>
      </c>
      <c r="B191" s="5" t="s">
        <v>855</v>
      </c>
      <c r="C191" s="5">
        <v>302</v>
      </c>
      <c r="D191" s="5">
        <v>302</v>
      </c>
      <c r="E191" s="5">
        <v>1</v>
      </c>
      <c r="F191" s="6">
        <v>20.303599999999999</v>
      </c>
      <c r="G191" s="5">
        <v>0.99728300000000003</v>
      </c>
      <c r="H191" s="5">
        <v>20.303999999999998</v>
      </c>
      <c r="I191" s="5"/>
      <c r="J191" s="5">
        <v>1</v>
      </c>
      <c r="K191" s="5" t="s">
        <v>2</v>
      </c>
      <c r="L191" s="5" t="s">
        <v>856</v>
      </c>
      <c r="M191" s="5" t="s">
        <v>857</v>
      </c>
      <c r="N191" s="5" t="s">
        <v>858</v>
      </c>
      <c r="O191" s="5">
        <v>4</v>
      </c>
      <c r="P191" s="6">
        <v>937560</v>
      </c>
      <c r="Q191" s="5">
        <v>534100</v>
      </c>
      <c r="R191" s="5">
        <v>403460</v>
      </c>
      <c r="S191" s="5">
        <v>0.58196999999999999</v>
      </c>
      <c r="T191" s="5">
        <f>LOG(Table2[[#This Row],[ratio heavy to light normalized]],2)</f>
        <v>-0.78098330939426863</v>
      </c>
      <c r="U191" s="5">
        <v>0.14263506681399299</v>
      </c>
    </row>
    <row r="192" spans="1:21" ht="13.5" customHeight="1" x14ac:dyDescent="0.3">
      <c r="A192" s="5" t="s">
        <v>1636</v>
      </c>
      <c r="B192" s="5" t="s">
        <v>1637</v>
      </c>
      <c r="C192" s="5">
        <v>21</v>
      </c>
      <c r="D192" s="5">
        <v>21</v>
      </c>
      <c r="E192" s="5">
        <v>1</v>
      </c>
      <c r="F192" s="6">
        <v>49.500500000000002</v>
      </c>
      <c r="G192" s="5">
        <v>1.2744E-2</v>
      </c>
      <c r="H192" s="5">
        <v>49.5</v>
      </c>
      <c r="I192" s="5"/>
      <c r="J192" s="5">
        <v>1</v>
      </c>
      <c r="K192" s="5" t="s">
        <v>2</v>
      </c>
      <c r="L192" s="5" t="s">
        <v>1638</v>
      </c>
      <c r="M192" s="5" t="s">
        <v>1639</v>
      </c>
      <c r="N192" s="5" t="s">
        <v>1640</v>
      </c>
      <c r="O192" s="5">
        <v>8</v>
      </c>
      <c r="P192" s="6">
        <v>2395200</v>
      </c>
      <c r="Q192" s="5">
        <v>1219400</v>
      </c>
      <c r="R192" s="5">
        <v>1175800</v>
      </c>
      <c r="S192" s="5">
        <v>1.1248</v>
      </c>
      <c r="T192" s="5">
        <f>LOG(Table2[[#This Row],[ratio heavy to light normalized]],2)</f>
        <v>0.16966849952308591</v>
      </c>
      <c r="U192" s="5">
        <v>0.32153039459897698</v>
      </c>
    </row>
    <row r="193" spans="1:21" ht="13.5" customHeight="1" x14ac:dyDescent="0.3">
      <c r="A193" s="5" t="s">
        <v>1968</v>
      </c>
      <c r="B193" s="5" t="s">
        <v>1969</v>
      </c>
      <c r="C193" s="5">
        <v>116</v>
      </c>
      <c r="D193" s="5">
        <v>116</v>
      </c>
      <c r="E193" s="5">
        <v>1</v>
      </c>
      <c r="F193" s="6">
        <v>38.775799999999997</v>
      </c>
      <c r="G193" s="5">
        <v>2.7217499999999999E-2</v>
      </c>
      <c r="H193" s="5">
        <v>38.776000000000003</v>
      </c>
      <c r="I193" s="5"/>
      <c r="J193" s="5">
        <v>1</v>
      </c>
      <c r="K193" s="5" t="s">
        <v>2</v>
      </c>
      <c r="L193" s="5" t="s">
        <v>1970</v>
      </c>
      <c r="M193" s="5" t="s">
        <v>1971</v>
      </c>
      <c r="N193" s="5" t="s">
        <v>1972</v>
      </c>
      <c r="O193" s="5">
        <v>3</v>
      </c>
      <c r="P193" s="6">
        <v>502820</v>
      </c>
      <c r="Q193" s="5">
        <v>284130</v>
      </c>
      <c r="R193" s="5">
        <v>218690</v>
      </c>
      <c r="S193" s="5">
        <v>1.1246</v>
      </c>
      <c r="T193" s="5">
        <f>LOG(Table2[[#This Row],[ratio heavy to light normalized]],2)</f>
        <v>0.1694119519913547</v>
      </c>
      <c r="U193" s="5">
        <v>0.405523256089249</v>
      </c>
    </row>
    <row r="194" spans="1:21" ht="13.5" customHeight="1" x14ac:dyDescent="0.3">
      <c r="A194" s="5" t="s">
        <v>1644</v>
      </c>
      <c r="B194" s="5" t="s">
        <v>1645</v>
      </c>
      <c r="C194" s="5">
        <v>162</v>
      </c>
      <c r="D194" s="5">
        <v>162</v>
      </c>
      <c r="E194" s="5">
        <v>1</v>
      </c>
      <c r="F194" s="6">
        <v>129.851</v>
      </c>
      <c r="G194" s="7">
        <v>1.4245200000000001E-28</v>
      </c>
      <c r="H194" s="5">
        <v>129.85</v>
      </c>
      <c r="I194" s="5" t="s">
        <v>11</v>
      </c>
      <c r="J194" s="5">
        <v>1</v>
      </c>
      <c r="K194" s="5" t="s">
        <v>2</v>
      </c>
      <c r="L194" s="5" t="s">
        <v>1646</v>
      </c>
      <c r="M194" s="5" t="s">
        <v>1647</v>
      </c>
      <c r="N194" s="5" t="s">
        <v>1648</v>
      </c>
      <c r="O194" s="5">
        <v>8</v>
      </c>
      <c r="P194" s="6">
        <v>1491800</v>
      </c>
      <c r="Q194" s="5">
        <v>827030</v>
      </c>
      <c r="R194" s="5">
        <v>664820</v>
      </c>
      <c r="S194" s="5">
        <v>1.1240000000000001</v>
      </c>
      <c r="T194" s="5">
        <f>LOG(Table2[[#This Row],[ratio heavy to light normalized]],2)</f>
        <v>0.16864203555883919</v>
      </c>
      <c r="U194" s="5">
        <v>0.32325612397843001</v>
      </c>
    </row>
    <row r="195" spans="1:21" ht="13.5" customHeight="1" x14ac:dyDescent="0.3">
      <c r="A195" s="5" t="s">
        <v>126</v>
      </c>
      <c r="B195" s="5" t="s">
        <v>127</v>
      </c>
      <c r="C195" s="5" t="s">
        <v>1255</v>
      </c>
      <c r="D195" s="5">
        <v>249</v>
      </c>
      <c r="E195" s="5">
        <v>1</v>
      </c>
      <c r="F195" s="6">
        <v>71.222999999999999</v>
      </c>
      <c r="G195" s="7">
        <v>3.9014699999999998E-5</v>
      </c>
      <c r="H195" s="5">
        <v>71.222999999999999</v>
      </c>
      <c r="I195" s="5" t="s">
        <v>11</v>
      </c>
      <c r="J195" s="5">
        <v>1</v>
      </c>
      <c r="K195" s="5" t="s">
        <v>2</v>
      </c>
      <c r="L195" s="5" t="s">
        <v>1256</v>
      </c>
      <c r="M195" s="5" t="s">
        <v>1257</v>
      </c>
      <c r="N195" s="5" t="s">
        <v>1258</v>
      </c>
      <c r="O195" s="5">
        <v>7</v>
      </c>
      <c r="P195" s="6">
        <v>9237600</v>
      </c>
      <c r="Q195" s="5">
        <v>3857500</v>
      </c>
      <c r="R195" s="5">
        <v>5380100</v>
      </c>
      <c r="S195" s="5">
        <v>1.1225000000000001</v>
      </c>
      <c r="T195" s="5">
        <f>LOG(Table2[[#This Row],[ratio heavy to light normalized]],2)</f>
        <v>0.16671544496642232</v>
      </c>
      <c r="U195" s="5">
        <v>0.23889198138030299</v>
      </c>
    </row>
    <row r="196" spans="1:21" ht="13.5" customHeight="1" x14ac:dyDescent="0.3">
      <c r="A196" s="5" t="s">
        <v>697</v>
      </c>
      <c r="B196" s="5" t="s">
        <v>698</v>
      </c>
      <c r="C196" s="5">
        <v>366</v>
      </c>
      <c r="D196" s="5">
        <v>366</v>
      </c>
      <c r="E196" s="5">
        <v>1</v>
      </c>
      <c r="F196" s="6">
        <v>78.652600000000007</v>
      </c>
      <c r="G196" s="7">
        <v>1.4770100000000001E-7</v>
      </c>
      <c r="H196" s="5">
        <v>78.653000000000006</v>
      </c>
      <c r="I196" s="5" t="s">
        <v>11</v>
      </c>
      <c r="J196" s="5">
        <v>1</v>
      </c>
      <c r="K196" s="5" t="s">
        <v>2</v>
      </c>
      <c r="L196" s="5" t="s">
        <v>1672</v>
      </c>
      <c r="M196" s="5" t="s">
        <v>1673</v>
      </c>
      <c r="N196" s="5" t="s">
        <v>1674</v>
      </c>
      <c r="O196" s="5">
        <v>8</v>
      </c>
      <c r="P196" s="6">
        <v>1617800</v>
      </c>
      <c r="Q196" s="5">
        <v>709380</v>
      </c>
      <c r="R196" s="5">
        <v>908420</v>
      </c>
      <c r="S196" s="5">
        <v>1.1217999999999999</v>
      </c>
      <c r="T196" s="5">
        <f>LOG(Table2[[#This Row],[ratio heavy to light normalized]],2)</f>
        <v>0.16581548813233546</v>
      </c>
      <c r="U196" s="5">
        <v>0.32803936449063897</v>
      </c>
    </row>
    <row r="197" spans="1:21" ht="13.5" customHeight="1" x14ac:dyDescent="0.3">
      <c r="A197" s="5" t="s">
        <v>1513</v>
      </c>
      <c r="B197" s="5" t="s">
        <v>1514</v>
      </c>
      <c r="C197" s="5">
        <v>299</v>
      </c>
      <c r="D197" s="5">
        <v>299</v>
      </c>
      <c r="E197" s="5">
        <v>1</v>
      </c>
      <c r="F197" s="6">
        <v>119.40600000000001</v>
      </c>
      <c r="G197" s="7">
        <v>3.22448E-21</v>
      </c>
      <c r="H197" s="5">
        <v>119.41</v>
      </c>
      <c r="I197" s="5" t="s">
        <v>11</v>
      </c>
      <c r="J197" s="5">
        <v>1</v>
      </c>
      <c r="K197" s="5" t="s">
        <v>2</v>
      </c>
      <c r="L197" s="5" t="s">
        <v>1683</v>
      </c>
      <c r="M197" s="5" t="s">
        <v>1684</v>
      </c>
      <c r="N197" s="5" t="s">
        <v>1685</v>
      </c>
      <c r="O197" s="5">
        <v>5</v>
      </c>
      <c r="P197" s="6">
        <v>2134700</v>
      </c>
      <c r="Q197" s="5">
        <v>977490</v>
      </c>
      <c r="R197" s="5">
        <v>1157200</v>
      </c>
      <c r="S197" s="5">
        <v>1.1206</v>
      </c>
      <c r="T197" s="5">
        <f>LOG(Table2[[#This Row],[ratio heavy to light normalized]],2)</f>
        <v>0.16427139768074095</v>
      </c>
      <c r="U197" s="5">
        <v>0.330671654833957</v>
      </c>
    </row>
    <row r="198" spans="1:21" ht="13.5" customHeight="1" x14ac:dyDescent="0.3">
      <c r="A198" s="5" t="s">
        <v>376</v>
      </c>
      <c r="B198" s="5" t="s">
        <v>377</v>
      </c>
      <c r="C198" s="5">
        <v>49</v>
      </c>
      <c r="D198" s="5">
        <v>49</v>
      </c>
      <c r="E198" s="5">
        <v>1</v>
      </c>
      <c r="F198" s="6">
        <v>95.530500000000004</v>
      </c>
      <c r="G198" s="7">
        <v>5.7194900000000003E-11</v>
      </c>
      <c r="H198" s="5">
        <v>95.531000000000006</v>
      </c>
      <c r="I198" s="5" t="s">
        <v>11</v>
      </c>
      <c r="J198" s="5">
        <v>1</v>
      </c>
      <c r="K198" s="5" t="s">
        <v>2</v>
      </c>
      <c r="L198" s="5" t="s">
        <v>1300</v>
      </c>
      <c r="M198" s="5" t="s">
        <v>1301</v>
      </c>
      <c r="N198" s="5" t="s">
        <v>1302</v>
      </c>
      <c r="O198" s="5">
        <v>2</v>
      </c>
      <c r="P198" s="6">
        <v>7078400</v>
      </c>
      <c r="Q198" s="5">
        <v>3661900</v>
      </c>
      <c r="R198" s="5">
        <v>3416400</v>
      </c>
      <c r="S198" s="5">
        <v>1.1187</v>
      </c>
      <c r="T198" s="5">
        <f>LOG(Table2[[#This Row],[ratio heavy to light normalized]],2)</f>
        <v>0.16182320294534797</v>
      </c>
      <c r="U198" s="5">
        <v>0.247703580067865</v>
      </c>
    </row>
    <row r="199" spans="1:21" ht="13.5" customHeight="1" x14ac:dyDescent="0.3">
      <c r="A199" s="5" t="s">
        <v>730</v>
      </c>
      <c r="B199" s="5" t="s">
        <v>731</v>
      </c>
      <c r="C199" s="5">
        <v>193</v>
      </c>
      <c r="D199" s="5">
        <v>193</v>
      </c>
      <c r="E199" s="5">
        <v>1</v>
      </c>
      <c r="F199" s="6">
        <v>60.034300000000002</v>
      </c>
      <c r="G199" s="7">
        <v>1.8702000000000001E-8</v>
      </c>
      <c r="H199" s="5">
        <v>60.033999999999999</v>
      </c>
      <c r="I199" s="5"/>
      <c r="J199" s="5">
        <v>1</v>
      </c>
      <c r="K199" s="5" t="s">
        <v>2</v>
      </c>
      <c r="L199" s="5" t="s">
        <v>1308</v>
      </c>
      <c r="M199" s="5" t="s">
        <v>1309</v>
      </c>
      <c r="N199" s="5" t="s">
        <v>1310</v>
      </c>
      <c r="O199" s="5">
        <v>12</v>
      </c>
      <c r="P199" s="6">
        <v>5524100</v>
      </c>
      <c r="Q199" s="5">
        <v>2614400</v>
      </c>
      <c r="R199" s="5">
        <v>2909700</v>
      </c>
      <c r="S199" s="5">
        <v>1.1182000000000001</v>
      </c>
      <c r="T199" s="5">
        <f>LOG(Table2[[#This Row],[ratio heavy to light normalized]],2)</f>
        <v>0.16117825007981271</v>
      </c>
      <c r="U199" s="5">
        <v>0.24888198601031999</v>
      </c>
    </row>
    <row r="200" spans="1:21" ht="13.5" customHeight="1" x14ac:dyDescent="0.3">
      <c r="A200" s="5" t="s">
        <v>2049</v>
      </c>
      <c r="B200" s="5" t="s">
        <v>2050</v>
      </c>
      <c r="C200" s="5">
        <v>334</v>
      </c>
      <c r="D200" s="5">
        <v>334</v>
      </c>
      <c r="E200" s="5">
        <v>1</v>
      </c>
      <c r="F200" s="6">
        <v>46.592100000000002</v>
      </c>
      <c r="G200" s="5">
        <v>9.0254700000000007E-3</v>
      </c>
      <c r="H200" s="5">
        <v>46.591999999999999</v>
      </c>
      <c r="I200" s="5"/>
      <c r="J200" s="5">
        <v>1</v>
      </c>
      <c r="K200" s="5" t="s">
        <v>2</v>
      </c>
      <c r="L200" s="5" t="s">
        <v>2051</v>
      </c>
      <c r="M200" s="5" t="s">
        <v>2052</v>
      </c>
      <c r="N200" s="5" t="s">
        <v>2053</v>
      </c>
      <c r="O200" s="5">
        <v>8</v>
      </c>
      <c r="P200" s="6">
        <v>428710</v>
      </c>
      <c r="Q200" s="5">
        <v>235610</v>
      </c>
      <c r="R200" s="5">
        <v>193100</v>
      </c>
      <c r="S200" s="5">
        <v>1.1173</v>
      </c>
      <c r="T200" s="5">
        <f>LOG(Table2[[#This Row],[ratio heavy to light normalized]],2)</f>
        <v>0.16001660784590455</v>
      </c>
      <c r="U200" s="5">
        <v>0.41753750188049699</v>
      </c>
    </row>
    <row r="201" spans="1:21" ht="13.5" customHeight="1" x14ac:dyDescent="0.3">
      <c r="A201" s="5" t="s">
        <v>1513</v>
      </c>
      <c r="B201" s="5" t="s">
        <v>1514</v>
      </c>
      <c r="C201" s="5">
        <v>166</v>
      </c>
      <c r="D201" s="5">
        <v>166</v>
      </c>
      <c r="E201" s="5">
        <v>1</v>
      </c>
      <c r="F201" s="6">
        <v>139.31299999999999</v>
      </c>
      <c r="G201" s="7">
        <v>4.5504700000000001E-33</v>
      </c>
      <c r="H201" s="5">
        <v>139.31</v>
      </c>
      <c r="I201" s="5" t="s">
        <v>11</v>
      </c>
      <c r="J201" s="5">
        <v>1</v>
      </c>
      <c r="K201" s="5" t="s">
        <v>2</v>
      </c>
      <c r="L201" s="5" t="s">
        <v>1706</v>
      </c>
      <c r="M201" s="5" t="s">
        <v>1707</v>
      </c>
      <c r="N201" s="5" t="s">
        <v>1708</v>
      </c>
      <c r="O201" s="5">
        <v>7</v>
      </c>
      <c r="P201" s="6">
        <v>1246600</v>
      </c>
      <c r="Q201" s="5">
        <v>659040</v>
      </c>
      <c r="R201" s="5">
        <v>587540</v>
      </c>
      <c r="S201" s="5">
        <v>1.1163000000000001</v>
      </c>
      <c r="T201" s="5">
        <f>LOG(Table2[[#This Row],[ratio heavy to light normalized]],2)</f>
        <v>0.15872479629747943</v>
      </c>
      <c r="U201" s="5">
        <v>0.340239605630548</v>
      </c>
    </row>
    <row r="202" spans="1:21" ht="13.5" customHeight="1" x14ac:dyDescent="0.3">
      <c r="A202" s="5" t="s">
        <v>1714</v>
      </c>
      <c r="B202" s="5" t="s">
        <v>1715</v>
      </c>
      <c r="C202" s="5">
        <v>19</v>
      </c>
      <c r="D202" s="5">
        <v>19</v>
      </c>
      <c r="E202" s="5">
        <v>1</v>
      </c>
      <c r="F202" s="6">
        <v>54.783799999999999</v>
      </c>
      <c r="G202" s="5">
        <v>7.4038699999999999E-3</v>
      </c>
      <c r="H202" s="5">
        <v>54.783999999999999</v>
      </c>
      <c r="I202" s="5" t="s">
        <v>11</v>
      </c>
      <c r="J202" s="5">
        <v>1</v>
      </c>
      <c r="K202" s="5" t="s">
        <v>2</v>
      </c>
      <c r="L202" s="5" t="s">
        <v>1716</v>
      </c>
      <c r="M202" s="5" t="s">
        <v>1717</v>
      </c>
      <c r="N202" s="5" t="s">
        <v>1718</v>
      </c>
      <c r="O202" s="5">
        <v>7</v>
      </c>
      <c r="P202" s="6">
        <v>1579700</v>
      </c>
      <c r="Q202" s="5">
        <v>766190</v>
      </c>
      <c r="R202" s="5">
        <v>813500</v>
      </c>
      <c r="S202" s="5">
        <v>1.1161000000000001</v>
      </c>
      <c r="T202" s="5">
        <f>LOG(Table2[[#This Row],[ratio heavy to light normalized]],2)</f>
        <v>0.1584662951247956</v>
      </c>
      <c r="U202" s="5">
        <v>0.340689808182356</v>
      </c>
    </row>
    <row r="203" spans="1:21" ht="13.5" customHeight="1" x14ac:dyDescent="0.3">
      <c r="A203" s="5" t="s">
        <v>1336</v>
      </c>
      <c r="B203" s="5" t="s">
        <v>1337</v>
      </c>
      <c r="C203" s="5">
        <v>136</v>
      </c>
      <c r="D203" s="5">
        <v>136</v>
      </c>
      <c r="E203" s="5">
        <v>1</v>
      </c>
      <c r="F203" s="6">
        <v>92.062899999999999</v>
      </c>
      <c r="G203" s="7">
        <v>5.1153E-18</v>
      </c>
      <c r="H203" s="5">
        <v>92.063000000000002</v>
      </c>
      <c r="I203" s="5" t="s">
        <v>11</v>
      </c>
      <c r="J203" s="5">
        <v>1</v>
      </c>
      <c r="K203" s="5" t="s">
        <v>2</v>
      </c>
      <c r="L203" s="5" t="s">
        <v>1338</v>
      </c>
      <c r="M203" s="5" t="s">
        <v>1339</v>
      </c>
      <c r="N203" s="5" t="s">
        <v>1340</v>
      </c>
      <c r="O203" s="5">
        <v>2</v>
      </c>
      <c r="P203" s="6">
        <v>8657600</v>
      </c>
      <c r="Q203" s="5">
        <v>3995200</v>
      </c>
      <c r="R203" s="5">
        <v>4662400</v>
      </c>
      <c r="S203" s="5">
        <v>1.1157999999999999</v>
      </c>
      <c r="T203" s="5">
        <f>LOG(Table2[[#This Row],[ratio heavy to light normalized]],2)</f>
        <v>0.15807845649862637</v>
      </c>
      <c r="U203" s="5">
        <v>0.25460035194401998</v>
      </c>
    </row>
    <row r="204" spans="1:21" ht="13.5" customHeight="1" x14ac:dyDescent="0.3">
      <c r="A204" s="5" t="s">
        <v>1737</v>
      </c>
      <c r="B204" s="5" t="s">
        <v>1738</v>
      </c>
      <c r="C204" s="5">
        <v>176</v>
      </c>
      <c r="D204" s="5">
        <v>176</v>
      </c>
      <c r="E204" s="5">
        <v>1</v>
      </c>
      <c r="F204" s="6">
        <v>38.303199999999997</v>
      </c>
      <c r="G204" s="5">
        <v>4.6659399999999997E-2</v>
      </c>
      <c r="H204" s="5">
        <v>38.302999999999997</v>
      </c>
      <c r="I204" s="5" t="s">
        <v>11</v>
      </c>
      <c r="J204" s="5">
        <v>1</v>
      </c>
      <c r="K204" s="5" t="s">
        <v>2</v>
      </c>
      <c r="L204" s="5" t="s">
        <v>1739</v>
      </c>
      <c r="M204" s="5" t="s">
        <v>1740</v>
      </c>
      <c r="N204" s="5" t="s">
        <v>1741</v>
      </c>
      <c r="O204" s="5">
        <v>5</v>
      </c>
      <c r="P204" s="6">
        <v>1032700</v>
      </c>
      <c r="Q204" s="5">
        <v>476180</v>
      </c>
      <c r="R204" s="5">
        <v>556500</v>
      </c>
      <c r="S204" s="5">
        <v>1.1141000000000001</v>
      </c>
      <c r="T204" s="5">
        <f>LOG(Table2[[#This Row],[ratio heavy to light normalized]],2)</f>
        <v>0.15587873270414274</v>
      </c>
      <c r="U204" s="5">
        <v>0.34521728679303598</v>
      </c>
    </row>
    <row r="205" spans="1:21" ht="13.5" customHeight="1" x14ac:dyDescent="0.3">
      <c r="A205" s="5" t="s">
        <v>846</v>
      </c>
      <c r="B205" s="5" t="s">
        <v>847</v>
      </c>
      <c r="C205" s="5">
        <v>63</v>
      </c>
      <c r="D205" s="5">
        <v>63</v>
      </c>
      <c r="E205" s="5">
        <v>1</v>
      </c>
      <c r="F205" s="6">
        <v>80.462299999999999</v>
      </c>
      <c r="G205" s="7">
        <v>4.08023E-8</v>
      </c>
      <c r="H205" s="5">
        <v>80.462000000000003</v>
      </c>
      <c r="I205" s="5" t="s">
        <v>11</v>
      </c>
      <c r="J205" s="5">
        <v>1</v>
      </c>
      <c r="K205" s="5" t="s">
        <v>2</v>
      </c>
      <c r="L205" s="5" t="s">
        <v>2075</v>
      </c>
      <c r="M205" s="5" t="s">
        <v>2076</v>
      </c>
      <c r="N205" s="5" t="s">
        <v>2077</v>
      </c>
      <c r="O205" s="5">
        <v>5</v>
      </c>
      <c r="P205" s="6">
        <v>759590</v>
      </c>
      <c r="Q205" s="5">
        <v>395960</v>
      </c>
      <c r="R205" s="5">
        <v>363620</v>
      </c>
      <c r="S205" s="5">
        <v>1.1141000000000001</v>
      </c>
      <c r="T205" s="5">
        <f>LOG(Table2[[#This Row],[ratio heavy to light normalized]],2)</f>
        <v>0.15587873270414274</v>
      </c>
      <c r="U205" s="5">
        <v>0.42289463333930799</v>
      </c>
    </row>
    <row r="206" spans="1:21" ht="13.5" customHeight="1" x14ac:dyDescent="0.3">
      <c r="A206" s="5" t="s">
        <v>1376</v>
      </c>
      <c r="B206" s="5" t="s">
        <v>1377</v>
      </c>
      <c r="C206" s="5">
        <v>64</v>
      </c>
      <c r="D206" s="5">
        <v>64</v>
      </c>
      <c r="E206" s="5">
        <v>1</v>
      </c>
      <c r="F206" s="6">
        <v>54.805100000000003</v>
      </c>
      <c r="G206" s="7">
        <v>4.3835699999999999E-7</v>
      </c>
      <c r="H206" s="5">
        <v>54.805</v>
      </c>
      <c r="I206" s="5" t="s">
        <v>11</v>
      </c>
      <c r="J206" s="5">
        <v>1</v>
      </c>
      <c r="K206" s="5" t="s">
        <v>2</v>
      </c>
      <c r="L206" s="5" t="s">
        <v>1378</v>
      </c>
      <c r="M206" s="5" t="s">
        <v>1379</v>
      </c>
      <c r="N206" s="5" t="s">
        <v>1380</v>
      </c>
      <c r="O206" s="5">
        <v>4</v>
      </c>
      <c r="P206" s="6">
        <v>3407600</v>
      </c>
      <c r="Q206" s="5">
        <v>1735200</v>
      </c>
      <c r="R206" s="5">
        <v>1672500</v>
      </c>
      <c r="S206" s="5">
        <v>1.1129</v>
      </c>
      <c r="T206" s="5">
        <f>LOG(Table2[[#This Row],[ratio heavy to light normalized]],2)</f>
        <v>0.15432396466047718</v>
      </c>
      <c r="U206" s="5">
        <v>0.26164804647094297</v>
      </c>
    </row>
    <row r="207" spans="1:21" ht="13.5" customHeight="1" x14ac:dyDescent="0.3">
      <c r="A207" s="5" t="s">
        <v>922</v>
      </c>
      <c r="B207" s="5" t="s">
        <v>923</v>
      </c>
      <c r="C207" s="5">
        <v>247</v>
      </c>
      <c r="D207" s="5">
        <v>247</v>
      </c>
      <c r="E207" s="5">
        <v>1</v>
      </c>
      <c r="F207" s="6">
        <v>27.142700000000001</v>
      </c>
      <c r="G207" s="5">
        <v>5.02914E-2</v>
      </c>
      <c r="H207" s="5">
        <v>27.143000000000001</v>
      </c>
      <c r="I207" s="5" t="s">
        <v>11</v>
      </c>
      <c r="J207" s="5">
        <v>1</v>
      </c>
      <c r="K207" s="5" t="s">
        <v>2</v>
      </c>
      <c r="L207" s="5" t="s">
        <v>924</v>
      </c>
      <c r="M207" s="5" t="s">
        <v>925</v>
      </c>
      <c r="N207" s="5" t="s">
        <v>926</v>
      </c>
      <c r="O207" s="5">
        <v>3</v>
      </c>
      <c r="P207" s="6">
        <v>1311200</v>
      </c>
      <c r="Q207" s="5">
        <v>797400</v>
      </c>
      <c r="R207" s="5">
        <v>513750</v>
      </c>
      <c r="S207" s="5">
        <v>0.62819999999999998</v>
      </c>
      <c r="T207" s="5">
        <f>LOG(Table2[[#This Row],[ratio heavy to light normalized]],2)</f>
        <v>-0.67070415189748489</v>
      </c>
      <c r="U207" s="5">
        <v>0.158218111360894</v>
      </c>
    </row>
    <row r="208" spans="1:21" ht="13.5" customHeight="1" x14ac:dyDescent="0.3">
      <c r="A208" s="5" t="s">
        <v>1381</v>
      </c>
      <c r="B208" s="5" t="s">
        <v>1382</v>
      </c>
      <c r="C208" s="5">
        <v>200</v>
      </c>
      <c r="D208" s="5">
        <v>200</v>
      </c>
      <c r="E208" s="5">
        <v>1</v>
      </c>
      <c r="F208" s="6">
        <v>91.068600000000004</v>
      </c>
      <c r="G208" s="7">
        <v>3.6208200000000002E-10</v>
      </c>
      <c r="H208" s="5">
        <v>91.069000000000003</v>
      </c>
      <c r="I208" s="5" t="s">
        <v>11</v>
      </c>
      <c r="J208" s="5">
        <v>1</v>
      </c>
      <c r="K208" s="5" t="s">
        <v>2</v>
      </c>
      <c r="L208" s="5" t="s">
        <v>1383</v>
      </c>
      <c r="M208" s="5" t="s">
        <v>1384</v>
      </c>
      <c r="N208" s="5" t="s">
        <v>1385</v>
      </c>
      <c r="O208" s="5">
        <v>5</v>
      </c>
      <c r="P208" s="6">
        <v>4758900</v>
      </c>
      <c r="Q208" s="5">
        <v>2277700</v>
      </c>
      <c r="R208" s="5">
        <v>2481200</v>
      </c>
      <c r="S208" s="5">
        <v>1.1122000000000001</v>
      </c>
      <c r="T208" s="5">
        <f>LOG(Table2[[#This Row],[ratio heavy to light normalized]],2)</f>
        <v>0.15341624225524791</v>
      </c>
      <c r="U208" s="5">
        <v>0.26337201548289502</v>
      </c>
    </row>
    <row r="209" spans="1:21" ht="13.5" customHeight="1" x14ac:dyDescent="0.3">
      <c r="A209" s="5" t="s">
        <v>407</v>
      </c>
      <c r="B209" s="5" t="s">
        <v>408</v>
      </c>
      <c r="C209" s="5">
        <v>1206</v>
      </c>
      <c r="D209" s="5">
        <v>1206</v>
      </c>
      <c r="E209" s="5">
        <v>1</v>
      </c>
      <c r="F209" s="6">
        <v>57.327500000000001</v>
      </c>
      <c r="G209" s="7">
        <v>1.03097E-6</v>
      </c>
      <c r="H209" s="5">
        <v>57.328000000000003</v>
      </c>
      <c r="I209" s="5" t="s">
        <v>11</v>
      </c>
      <c r="J209" s="5">
        <v>1</v>
      </c>
      <c r="K209" s="5" t="s">
        <v>2</v>
      </c>
      <c r="L209" s="5" t="s">
        <v>1750</v>
      </c>
      <c r="M209" s="5" t="s">
        <v>1751</v>
      </c>
      <c r="N209" s="5" t="s">
        <v>1752</v>
      </c>
      <c r="O209" s="5">
        <v>14</v>
      </c>
      <c r="P209" s="6">
        <v>1230600</v>
      </c>
      <c r="Q209" s="5">
        <v>624540</v>
      </c>
      <c r="R209" s="5">
        <v>606020</v>
      </c>
      <c r="S209" s="5">
        <v>1.1117999999999999</v>
      </c>
      <c r="T209" s="5">
        <f>LOG(Table2[[#This Row],[ratio heavy to light normalized]],2)</f>
        <v>0.15289728719897244</v>
      </c>
      <c r="U209" s="5">
        <v>0.350481281660667</v>
      </c>
    </row>
    <row r="210" spans="1:21" ht="13.5" customHeight="1" x14ac:dyDescent="0.3">
      <c r="A210" s="5" t="s">
        <v>2099</v>
      </c>
      <c r="B210" s="5" t="s">
        <v>2100</v>
      </c>
      <c r="C210" s="5">
        <v>283</v>
      </c>
      <c r="D210" s="5">
        <v>283</v>
      </c>
      <c r="E210" s="5">
        <v>1</v>
      </c>
      <c r="F210" s="6">
        <v>85.211699999999993</v>
      </c>
      <c r="G210" s="7">
        <v>4.8937100000000002E-8</v>
      </c>
      <c r="H210" s="5">
        <v>85.212000000000003</v>
      </c>
      <c r="I210" s="5" t="s">
        <v>11</v>
      </c>
      <c r="J210" s="5">
        <v>1</v>
      </c>
      <c r="K210" s="5" t="s">
        <v>2</v>
      </c>
      <c r="L210" s="5" t="s">
        <v>2101</v>
      </c>
      <c r="M210" s="5" t="s">
        <v>2102</v>
      </c>
      <c r="N210" s="5" t="s">
        <v>2103</v>
      </c>
      <c r="O210" s="5">
        <v>6</v>
      </c>
      <c r="P210" s="6">
        <v>463400</v>
      </c>
      <c r="Q210" s="5">
        <v>200500</v>
      </c>
      <c r="R210" s="5">
        <v>262900</v>
      </c>
      <c r="S210" s="5">
        <v>1.1104000000000001</v>
      </c>
      <c r="T210" s="5">
        <f>LOG(Table2[[#This Row],[ratio heavy to light normalized]],2)</f>
        <v>0.15107947302881161</v>
      </c>
      <c r="U210" s="5">
        <v>0.42915816973859899</v>
      </c>
    </row>
    <row r="211" spans="1:21" ht="13.5" customHeight="1" x14ac:dyDescent="0.3">
      <c r="A211" s="5" t="s">
        <v>1944</v>
      </c>
      <c r="B211" s="5" t="s">
        <v>1945</v>
      </c>
      <c r="C211" s="5">
        <v>69</v>
      </c>
      <c r="D211" s="5">
        <v>69</v>
      </c>
      <c r="E211" s="5">
        <v>1</v>
      </c>
      <c r="F211" s="6">
        <v>47.038800000000002</v>
      </c>
      <c r="G211" s="5">
        <v>3.4037400000000002E-3</v>
      </c>
      <c r="H211" s="5">
        <v>47.039000000000001</v>
      </c>
      <c r="I211" s="5"/>
      <c r="J211" s="5">
        <v>1</v>
      </c>
      <c r="K211" s="5" t="s">
        <v>2</v>
      </c>
      <c r="L211" s="5" t="s">
        <v>2104</v>
      </c>
      <c r="M211" s="5" t="s">
        <v>2105</v>
      </c>
      <c r="N211" s="5" t="s">
        <v>2106</v>
      </c>
      <c r="O211" s="5">
        <v>6</v>
      </c>
      <c r="P211" s="6">
        <v>411800</v>
      </c>
      <c r="Q211" s="5">
        <v>183910</v>
      </c>
      <c r="R211" s="5">
        <v>227890</v>
      </c>
      <c r="S211" s="5">
        <v>1.1103000000000001</v>
      </c>
      <c r="T211" s="5">
        <f>LOG(Table2[[#This Row],[ratio heavy to light normalized]],2)</f>
        <v>0.15094954147192738</v>
      </c>
      <c r="U211" s="5">
        <v>0.42932849038573601</v>
      </c>
    </row>
    <row r="212" spans="1:21" ht="13.5" customHeight="1" x14ac:dyDescent="0.3">
      <c r="A212" s="5" t="s">
        <v>1675</v>
      </c>
      <c r="B212" s="5" t="s">
        <v>1676</v>
      </c>
      <c r="C212" s="5">
        <v>331</v>
      </c>
      <c r="D212" s="5">
        <v>331</v>
      </c>
      <c r="E212" s="5">
        <v>1</v>
      </c>
      <c r="F212" s="6">
        <v>54.342500000000001</v>
      </c>
      <c r="G212" s="5">
        <v>1.5023799999999999E-4</v>
      </c>
      <c r="H212" s="5">
        <v>54.343000000000004</v>
      </c>
      <c r="I212" s="5"/>
      <c r="J212" s="5">
        <v>1</v>
      </c>
      <c r="K212" s="5" t="s">
        <v>2</v>
      </c>
      <c r="L212" s="5" t="s">
        <v>1756</v>
      </c>
      <c r="M212" s="5" t="s">
        <v>1757</v>
      </c>
      <c r="N212" s="5" t="s">
        <v>1758</v>
      </c>
      <c r="O212" s="5">
        <v>7</v>
      </c>
      <c r="P212" s="6">
        <v>984240</v>
      </c>
      <c r="Q212" s="5">
        <v>503490</v>
      </c>
      <c r="R212" s="5">
        <v>480750</v>
      </c>
      <c r="S212" s="5">
        <v>1.1099000000000001</v>
      </c>
      <c r="T212" s="5">
        <f>LOG(Table2[[#This Row],[ratio heavy to light normalized]],2)</f>
        <v>0.15042969819420526</v>
      </c>
      <c r="U212" s="5">
        <v>0.35487630823043498</v>
      </c>
    </row>
    <row r="213" spans="1:21" ht="13.5" customHeight="1" x14ac:dyDescent="0.3">
      <c r="A213" s="5" t="s">
        <v>1415</v>
      </c>
      <c r="B213" s="5" t="s">
        <v>1416</v>
      </c>
      <c r="C213" s="5">
        <v>385</v>
      </c>
      <c r="D213" s="5">
        <v>385</v>
      </c>
      <c r="E213" s="5">
        <v>1</v>
      </c>
      <c r="F213" s="6">
        <v>107.176</v>
      </c>
      <c r="G213" s="7">
        <v>2.94479E-20</v>
      </c>
      <c r="H213" s="5">
        <v>107.18</v>
      </c>
      <c r="I213" s="5" t="s">
        <v>11</v>
      </c>
      <c r="J213" s="5">
        <v>1</v>
      </c>
      <c r="K213" s="5" t="s">
        <v>2</v>
      </c>
      <c r="L213" s="5" t="s">
        <v>1417</v>
      </c>
      <c r="M213" s="5" t="s">
        <v>1418</v>
      </c>
      <c r="N213" s="5" t="s">
        <v>1419</v>
      </c>
      <c r="O213" s="5">
        <v>9</v>
      </c>
      <c r="P213" s="6">
        <v>7290500</v>
      </c>
      <c r="Q213" s="5">
        <v>3641200</v>
      </c>
      <c r="R213" s="5">
        <v>3649300</v>
      </c>
      <c r="S213" s="5">
        <v>1.1093999999999999</v>
      </c>
      <c r="T213" s="5">
        <f>LOG(Table2[[#This Row],[ratio heavy to light normalized]],2)</f>
        <v>0.1497796305759026</v>
      </c>
      <c r="U213" s="5">
        <v>0.27035727491286599</v>
      </c>
    </row>
    <row r="214" spans="1:21" ht="13.5" customHeight="1" x14ac:dyDescent="0.3">
      <c r="A214" s="5" t="s">
        <v>564</v>
      </c>
      <c r="B214" s="5" t="s">
        <v>565</v>
      </c>
      <c r="C214" s="5">
        <v>443</v>
      </c>
      <c r="D214" s="5">
        <v>443</v>
      </c>
      <c r="E214" s="5">
        <v>0.99983999999999995</v>
      </c>
      <c r="F214" s="6">
        <v>37.966500000000003</v>
      </c>
      <c r="G214" s="7">
        <v>7.1840199999999999E-22</v>
      </c>
      <c r="H214" s="5">
        <v>88.427000000000007</v>
      </c>
      <c r="I214" s="5"/>
      <c r="J214" s="5">
        <v>1</v>
      </c>
      <c r="K214" s="5" t="s">
        <v>2</v>
      </c>
      <c r="L214" s="5" t="s">
        <v>1448</v>
      </c>
      <c r="M214" s="5" t="s">
        <v>1449</v>
      </c>
      <c r="N214" s="5" t="s">
        <v>1450</v>
      </c>
      <c r="O214" s="5">
        <v>14</v>
      </c>
      <c r="P214" s="6">
        <v>14751000</v>
      </c>
      <c r="Q214" s="5">
        <v>7251200</v>
      </c>
      <c r="R214" s="5">
        <v>7500300</v>
      </c>
      <c r="S214" s="5">
        <v>1.1066</v>
      </c>
      <c r="T214" s="5">
        <f>LOG(Table2[[#This Row],[ratio heavy to light normalized]],2)</f>
        <v>0.14613382889337501</v>
      </c>
      <c r="U214" s="5">
        <v>0.27748664234804898</v>
      </c>
    </row>
    <row r="215" spans="1:21" ht="13.5" customHeight="1" x14ac:dyDescent="0.3">
      <c r="A215" s="5" t="s">
        <v>715</v>
      </c>
      <c r="B215" s="5" t="s">
        <v>716</v>
      </c>
      <c r="C215" s="5">
        <v>410</v>
      </c>
      <c r="D215" s="5">
        <v>410</v>
      </c>
      <c r="E215" s="5">
        <v>1</v>
      </c>
      <c r="F215" s="6">
        <v>122.32899999999999</v>
      </c>
      <c r="G215" s="7">
        <v>1.9500599999999999E-26</v>
      </c>
      <c r="H215" s="5">
        <v>122.33</v>
      </c>
      <c r="I215" s="5" t="s">
        <v>11</v>
      </c>
      <c r="J215" s="5">
        <v>1</v>
      </c>
      <c r="K215" s="5" t="s">
        <v>2</v>
      </c>
      <c r="L215" s="5" t="s">
        <v>1786</v>
      </c>
      <c r="M215" s="5" t="s">
        <v>1787</v>
      </c>
      <c r="N215" s="5" t="s">
        <v>1788</v>
      </c>
      <c r="O215" s="5">
        <v>4</v>
      </c>
      <c r="P215" s="6">
        <v>2535500</v>
      </c>
      <c r="Q215" s="5">
        <v>1203900</v>
      </c>
      <c r="R215" s="5">
        <v>1331600</v>
      </c>
      <c r="S215" s="5">
        <v>1.1060000000000001</v>
      </c>
      <c r="T215" s="5">
        <f>LOG(Table2[[#This Row],[ratio heavy to light normalized]],2)</f>
        <v>0.14535138557262012</v>
      </c>
      <c r="U215" s="5">
        <v>0.36403022252802802</v>
      </c>
    </row>
    <row r="216" spans="1:21" ht="13.5" customHeight="1" x14ac:dyDescent="0.3">
      <c r="A216" s="5" t="s">
        <v>1789</v>
      </c>
      <c r="B216" s="5" t="s">
        <v>1790</v>
      </c>
      <c r="C216" s="5">
        <v>267</v>
      </c>
      <c r="D216" s="5">
        <v>267</v>
      </c>
      <c r="E216" s="5">
        <v>1</v>
      </c>
      <c r="F216" s="6">
        <v>74.841099999999997</v>
      </c>
      <c r="G216" s="7">
        <v>7.7689799999999999E-6</v>
      </c>
      <c r="H216" s="5">
        <v>74.840999999999994</v>
      </c>
      <c r="I216" s="5" t="s">
        <v>11</v>
      </c>
      <c r="J216" s="5">
        <v>1</v>
      </c>
      <c r="K216" s="5" t="s">
        <v>2</v>
      </c>
      <c r="L216" s="5" t="s">
        <v>1791</v>
      </c>
      <c r="M216" s="5" t="s">
        <v>1792</v>
      </c>
      <c r="N216" s="5" t="s">
        <v>1793</v>
      </c>
      <c r="O216" s="5">
        <v>4</v>
      </c>
      <c r="P216" s="6">
        <v>977790</v>
      </c>
      <c r="Q216" s="5">
        <v>476270</v>
      </c>
      <c r="R216" s="5">
        <v>501510</v>
      </c>
      <c r="S216" s="5">
        <v>1.1059000000000001</v>
      </c>
      <c r="T216" s="5">
        <f>LOG(Table2[[#This Row],[ratio heavy to light normalized]],2)</f>
        <v>0.14522093708562958</v>
      </c>
      <c r="U216" s="5">
        <v>0.36426729097611499</v>
      </c>
    </row>
    <row r="217" spans="1:21" ht="13.5" customHeight="1" x14ac:dyDescent="0.3">
      <c r="A217" s="5" t="s">
        <v>846</v>
      </c>
      <c r="B217" s="5" t="s">
        <v>847</v>
      </c>
      <c r="C217" s="5">
        <v>7</v>
      </c>
      <c r="D217" s="5">
        <v>7</v>
      </c>
      <c r="E217" s="5">
        <v>1</v>
      </c>
      <c r="F217" s="6">
        <v>27.481300000000001</v>
      </c>
      <c r="G217" s="7">
        <v>2.5703100000000002E-41</v>
      </c>
      <c r="H217" s="5">
        <v>143.72999999999999</v>
      </c>
      <c r="I217" s="5"/>
      <c r="J217" s="5">
        <v>1</v>
      </c>
      <c r="K217" s="5" t="s">
        <v>2</v>
      </c>
      <c r="L217" s="5" t="s">
        <v>1451</v>
      </c>
      <c r="M217" s="5" t="s">
        <v>1452</v>
      </c>
      <c r="N217" s="5" t="s">
        <v>1453</v>
      </c>
      <c r="O217" s="5">
        <v>3</v>
      </c>
      <c r="P217" s="6">
        <v>85374000</v>
      </c>
      <c r="Q217" s="5">
        <v>39039000</v>
      </c>
      <c r="R217" s="5">
        <v>46335000</v>
      </c>
      <c r="S217" s="5">
        <v>1.1052</v>
      </c>
      <c r="T217" s="5">
        <f>LOG(Table2[[#This Row],[ratio heavy to light normalized]],2)</f>
        <v>0.1443074672630423</v>
      </c>
      <c r="U217" s="5">
        <v>0.28110581319723599</v>
      </c>
    </row>
    <row r="218" spans="1:21" ht="13.5" customHeight="1" x14ac:dyDescent="0.3">
      <c r="A218" s="5" t="s">
        <v>1121</v>
      </c>
      <c r="B218" s="5" t="s">
        <v>1122</v>
      </c>
      <c r="C218" s="5">
        <v>29</v>
      </c>
      <c r="D218" s="5">
        <v>29</v>
      </c>
      <c r="E218" s="5">
        <v>0.87307900000000005</v>
      </c>
      <c r="F218" s="6">
        <v>8.3751899999999999</v>
      </c>
      <c r="G218" s="7">
        <v>7.8395999999999999E-7</v>
      </c>
      <c r="H218" s="5">
        <v>78.933999999999997</v>
      </c>
      <c r="I218" s="5" t="s">
        <v>11</v>
      </c>
      <c r="J218" s="5">
        <v>1</v>
      </c>
      <c r="K218" s="5" t="s">
        <v>2</v>
      </c>
      <c r="L218" s="5" t="s">
        <v>1459</v>
      </c>
      <c r="M218" s="5" t="s">
        <v>1460</v>
      </c>
      <c r="N218" s="5" t="s">
        <v>1461</v>
      </c>
      <c r="O218" s="5">
        <v>7</v>
      </c>
      <c r="P218" s="6">
        <v>21097000</v>
      </c>
      <c r="Q218" s="5">
        <v>10858000</v>
      </c>
      <c r="R218" s="5">
        <v>10240000</v>
      </c>
      <c r="S218" s="5">
        <v>1.1046</v>
      </c>
      <c r="T218" s="5">
        <f>LOG(Table2[[#This Row],[ratio heavy to light normalized]],2)</f>
        <v>0.14352403252161328</v>
      </c>
      <c r="U218" s="5">
        <v>0.28266806739033101</v>
      </c>
    </row>
    <row r="219" spans="1:21" ht="13.5" customHeight="1" x14ac:dyDescent="0.3">
      <c r="A219" s="5" t="s">
        <v>902</v>
      </c>
      <c r="B219" s="5" t="s">
        <v>903</v>
      </c>
      <c r="C219" s="5">
        <v>823</v>
      </c>
      <c r="D219" s="5">
        <v>823</v>
      </c>
      <c r="E219" s="5">
        <v>1</v>
      </c>
      <c r="F219" s="6">
        <v>41.283299999999997</v>
      </c>
      <c r="G219" s="5">
        <v>4.4356899999999998E-2</v>
      </c>
      <c r="H219" s="5">
        <v>41.283000000000001</v>
      </c>
      <c r="I219" s="5"/>
      <c r="J219" s="5">
        <v>1</v>
      </c>
      <c r="K219" s="5" t="s">
        <v>2</v>
      </c>
      <c r="L219" s="5" t="s">
        <v>1810</v>
      </c>
      <c r="M219" s="5" t="s">
        <v>1811</v>
      </c>
      <c r="N219" s="5" t="s">
        <v>1812</v>
      </c>
      <c r="O219" s="5">
        <v>6</v>
      </c>
      <c r="P219" s="6">
        <v>1045600</v>
      </c>
      <c r="Q219" s="5">
        <v>444900</v>
      </c>
      <c r="R219" s="5">
        <v>600680</v>
      </c>
      <c r="S219" s="5">
        <v>1.1037999999999999</v>
      </c>
      <c r="T219" s="5">
        <f>LOG(Table2[[#This Row],[ratio heavy to light normalized]],2)</f>
        <v>0.14247879064224633</v>
      </c>
      <c r="U219" s="5">
        <v>0.36927300442426603</v>
      </c>
    </row>
    <row r="220" spans="1:21" ht="13.5" customHeight="1" x14ac:dyDescent="0.3">
      <c r="A220" s="5" t="s">
        <v>2139</v>
      </c>
      <c r="B220" s="5" t="s">
        <v>2140</v>
      </c>
      <c r="C220" s="5">
        <v>17</v>
      </c>
      <c r="D220" s="5">
        <v>17</v>
      </c>
      <c r="E220" s="5">
        <v>1</v>
      </c>
      <c r="F220" s="6">
        <v>56.378300000000003</v>
      </c>
      <c r="G220" s="5">
        <v>6.1628900000000001E-4</v>
      </c>
      <c r="H220" s="5">
        <v>56.378</v>
      </c>
      <c r="I220" s="5" t="s">
        <v>11</v>
      </c>
      <c r="J220" s="5">
        <v>1</v>
      </c>
      <c r="K220" s="5" t="s">
        <v>2</v>
      </c>
      <c r="L220" s="5" t="s">
        <v>2141</v>
      </c>
      <c r="M220" s="5" t="s">
        <v>2142</v>
      </c>
      <c r="N220" s="5" t="s">
        <v>2143</v>
      </c>
      <c r="O220" s="5">
        <v>4</v>
      </c>
      <c r="P220" s="6">
        <v>773820</v>
      </c>
      <c r="Q220" s="5">
        <v>373200</v>
      </c>
      <c r="R220" s="5">
        <v>400620</v>
      </c>
      <c r="S220" s="5">
        <v>1.1026</v>
      </c>
      <c r="T220" s="5">
        <f>LOG(Table2[[#This Row],[ratio heavy to light normalized]],2)</f>
        <v>0.14090950654166201</v>
      </c>
      <c r="U220" s="5">
        <v>0.44260780960895801</v>
      </c>
    </row>
    <row r="221" spans="1:21" ht="13.5" customHeight="1" x14ac:dyDescent="0.3">
      <c r="A221" s="5" t="s">
        <v>1486</v>
      </c>
      <c r="B221" s="5" t="s">
        <v>1487</v>
      </c>
      <c r="C221" s="5">
        <v>93</v>
      </c>
      <c r="D221" s="5">
        <v>93</v>
      </c>
      <c r="E221" s="5">
        <v>1</v>
      </c>
      <c r="F221" s="6">
        <v>101.988</v>
      </c>
      <c r="G221" s="7">
        <v>1.5322400000000001E-14</v>
      </c>
      <c r="H221" s="5">
        <v>101.99</v>
      </c>
      <c r="I221" s="5" t="s">
        <v>11</v>
      </c>
      <c r="J221" s="5">
        <v>1</v>
      </c>
      <c r="K221" s="5" t="s">
        <v>2</v>
      </c>
      <c r="L221" s="5" t="s">
        <v>1488</v>
      </c>
      <c r="M221" s="5" t="s">
        <v>1489</v>
      </c>
      <c r="N221" s="5" t="s">
        <v>1490</v>
      </c>
      <c r="O221" s="5">
        <v>4</v>
      </c>
      <c r="P221" s="6">
        <v>20635000</v>
      </c>
      <c r="Q221" s="5">
        <v>9698700</v>
      </c>
      <c r="R221" s="5">
        <v>10937000</v>
      </c>
      <c r="S221" s="5">
        <v>1.1020000000000001</v>
      </c>
      <c r="T221" s="5">
        <f>LOG(Table2[[#This Row],[ratio heavy to light normalized]],2)</f>
        <v>0.14012422390907067</v>
      </c>
      <c r="U221" s="5">
        <v>0.28951575413564201</v>
      </c>
    </row>
    <row r="222" spans="1:21" ht="13.5" customHeight="1" x14ac:dyDescent="0.3">
      <c r="A222" s="5" t="s">
        <v>595</v>
      </c>
      <c r="B222" s="5" t="s">
        <v>596</v>
      </c>
      <c r="C222" s="5">
        <v>384</v>
      </c>
      <c r="D222" s="5">
        <v>384</v>
      </c>
      <c r="E222" s="5">
        <v>1</v>
      </c>
      <c r="F222" s="6">
        <v>101.46</v>
      </c>
      <c r="G222" s="7">
        <v>7.6922500000000003E-15</v>
      </c>
      <c r="H222" s="5">
        <v>101.46</v>
      </c>
      <c r="I222" s="5"/>
      <c r="J222" s="5">
        <v>1</v>
      </c>
      <c r="K222" s="5" t="s">
        <v>2</v>
      </c>
      <c r="L222" s="5" t="s">
        <v>1501</v>
      </c>
      <c r="M222" s="5" t="s">
        <v>1502</v>
      </c>
      <c r="N222" s="5" t="s">
        <v>1503</v>
      </c>
      <c r="O222" s="5">
        <v>6</v>
      </c>
      <c r="P222" s="6">
        <v>13584000</v>
      </c>
      <c r="Q222" s="5">
        <v>6265600</v>
      </c>
      <c r="R222" s="5">
        <v>7318100</v>
      </c>
      <c r="S222" s="5">
        <v>1.101</v>
      </c>
      <c r="T222" s="5">
        <f>LOG(Table2[[#This Row],[ratio heavy to light normalized]],2)</f>
        <v>0.13881446890228188</v>
      </c>
      <c r="U222" s="5">
        <v>0.29218334865811202</v>
      </c>
    </row>
    <row r="223" spans="1:21" ht="13.5" customHeight="1" x14ac:dyDescent="0.3">
      <c r="A223" s="5" t="s">
        <v>243</v>
      </c>
      <c r="B223" s="5" t="s">
        <v>244</v>
      </c>
      <c r="C223" s="5">
        <v>175</v>
      </c>
      <c r="D223" s="5">
        <v>175</v>
      </c>
      <c r="E223" s="5">
        <v>1</v>
      </c>
      <c r="F223" s="6">
        <v>85.733800000000002</v>
      </c>
      <c r="G223" s="7">
        <v>3.4964999999999999E-14</v>
      </c>
      <c r="H223" s="5">
        <v>85.733999999999995</v>
      </c>
      <c r="I223" s="5" t="s">
        <v>11</v>
      </c>
      <c r="J223" s="5">
        <v>1</v>
      </c>
      <c r="K223" s="5" t="s">
        <v>2</v>
      </c>
      <c r="L223" s="5" t="s">
        <v>1507</v>
      </c>
      <c r="M223" s="5" t="s">
        <v>1508</v>
      </c>
      <c r="N223" s="5" t="s">
        <v>1509</v>
      </c>
      <c r="O223" s="5">
        <v>5</v>
      </c>
      <c r="P223" s="6">
        <v>21570000</v>
      </c>
      <c r="Q223" s="5">
        <v>10431000</v>
      </c>
      <c r="R223" s="5">
        <v>11139000</v>
      </c>
      <c r="S223" s="5">
        <v>1.1007</v>
      </c>
      <c r="T223" s="5">
        <f>LOG(Table2[[#This Row],[ratio heavy to light normalized]],2)</f>
        <v>0.13842131042024966</v>
      </c>
      <c r="U223" s="5">
        <v>0.29298731140661399</v>
      </c>
    </row>
    <row r="224" spans="1:21" ht="13.5" customHeight="1" x14ac:dyDescent="0.3">
      <c r="A224" s="5" t="s">
        <v>1513</v>
      </c>
      <c r="B224" s="5" t="s">
        <v>1514</v>
      </c>
      <c r="C224" s="5">
        <v>245</v>
      </c>
      <c r="D224" s="5">
        <v>245</v>
      </c>
      <c r="E224" s="5">
        <v>1</v>
      </c>
      <c r="F224" s="6">
        <v>93.0578</v>
      </c>
      <c r="G224" s="7">
        <v>5.3106200000000002E-11</v>
      </c>
      <c r="H224" s="5">
        <v>93.058000000000007</v>
      </c>
      <c r="I224" s="5"/>
      <c r="J224" s="5">
        <v>1</v>
      </c>
      <c r="K224" s="5" t="s">
        <v>2</v>
      </c>
      <c r="L224" s="5" t="s">
        <v>1515</v>
      </c>
      <c r="M224" s="5" t="s">
        <v>1516</v>
      </c>
      <c r="N224" s="5" t="s">
        <v>1517</v>
      </c>
      <c r="O224" s="5">
        <v>10</v>
      </c>
      <c r="P224" s="6">
        <v>17203000</v>
      </c>
      <c r="Q224" s="5">
        <v>8339800</v>
      </c>
      <c r="R224" s="5">
        <v>8863000</v>
      </c>
      <c r="S224" s="5">
        <v>1.1003000000000001</v>
      </c>
      <c r="T224" s="5">
        <f>LOG(Table2[[#This Row],[ratio heavy to light normalized]],2)</f>
        <v>0.13789693238961928</v>
      </c>
      <c r="U224" s="5">
        <v>0.294061911648614</v>
      </c>
    </row>
    <row r="225" spans="1:21" ht="13.5" customHeight="1" x14ac:dyDescent="0.3">
      <c r="A225" s="5" t="s">
        <v>1852</v>
      </c>
      <c r="B225" s="5" t="s">
        <v>1853</v>
      </c>
      <c r="C225" s="5">
        <v>130</v>
      </c>
      <c r="D225" s="5">
        <v>130</v>
      </c>
      <c r="E225" s="5">
        <v>1</v>
      </c>
      <c r="F225" s="6">
        <v>71.555099999999996</v>
      </c>
      <c r="G225" s="7">
        <v>3.81097E-6</v>
      </c>
      <c r="H225" s="5">
        <v>71.555000000000007</v>
      </c>
      <c r="I225" s="5" t="s">
        <v>11</v>
      </c>
      <c r="J225" s="5">
        <v>1</v>
      </c>
      <c r="K225" s="5" t="s">
        <v>2</v>
      </c>
      <c r="L225" s="5" t="s">
        <v>1854</v>
      </c>
      <c r="M225" s="5" t="s">
        <v>1855</v>
      </c>
      <c r="N225" s="5" t="s">
        <v>1856</v>
      </c>
      <c r="O225" s="5">
        <v>5</v>
      </c>
      <c r="P225" s="6">
        <v>2373700</v>
      </c>
      <c r="Q225" s="5">
        <v>1153400</v>
      </c>
      <c r="R225" s="5">
        <v>1220300</v>
      </c>
      <c r="S225" s="5">
        <v>1.0993999999999999</v>
      </c>
      <c r="T225" s="5">
        <f>LOG(Table2[[#This Row],[ratio heavy to light normalized]],2)</f>
        <v>0.13671638448831197</v>
      </c>
      <c r="U225" s="5">
        <v>0.379930672389029</v>
      </c>
    </row>
    <row r="226" spans="1:21" ht="13.5" customHeight="1" x14ac:dyDescent="0.3">
      <c r="A226" s="5" t="s">
        <v>595</v>
      </c>
      <c r="B226" s="5" t="s">
        <v>596</v>
      </c>
      <c r="C226" s="5">
        <v>850</v>
      </c>
      <c r="D226" s="5">
        <v>850</v>
      </c>
      <c r="E226" s="5">
        <v>1</v>
      </c>
      <c r="F226" s="6">
        <v>27.128900000000002</v>
      </c>
      <c r="G226" s="5">
        <v>4.8999300000000003E-2</v>
      </c>
      <c r="H226" s="5">
        <v>27.129000000000001</v>
      </c>
      <c r="I226" s="5" t="s">
        <v>11</v>
      </c>
      <c r="J226" s="5">
        <v>1</v>
      </c>
      <c r="K226" s="5" t="s">
        <v>2</v>
      </c>
      <c r="L226" s="5" t="s">
        <v>1862</v>
      </c>
      <c r="M226" s="5" t="s">
        <v>1863</v>
      </c>
      <c r="N226" s="5" t="s">
        <v>1864</v>
      </c>
      <c r="O226" s="5">
        <v>4</v>
      </c>
      <c r="P226" s="6">
        <v>1586200</v>
      </c>
      <c r="Q226" s="5">
        <v>833720</v>
      </c>
      <c r="R226" s="5">
        <v>752440</v>
      </c>
      <c r="S226" s="5">
        <v>1.0992</v>
      </c>
      <c r="T226" s="5">
        <f>LOG(Table2[[#This Row],[ratio heavy to light normalized]],2)</f>
        <v>0.13645390926865067</v>
      </c>
      <c r="U226" s="5">
        <v>0.38042058520537098</v>
      </c>
    </row>
    <row r="227" spans="1:21" ht="13.5" customHeight="1" x14ac:dyDescent="0.3">
      <c r="A227" s="5" t="s">
        <v>2081</v>
      </c>
      <c r="B227" s="5" t="s">
        <v>2082</v>
      </c>
      <c r="C227" s="5">
        <v>58</v>
      </c>
      <c r="D227" s="5">
        <v>58</v>
      </c>
      <c r="E227" s="5">
        <v>1</v>
      </c>
      <c r="F227" s="6">
        <v>40.0246</v>
      </c>
      <c r="G227" s="5">
        <v>3.9817300000000002E-3</v>
      </c>
      <c r="H227" s="5">
        <v>40.024999999999999</v>
      </c>
      <c r="I227" s="5" t="s">
        <v>11</v>
      </c>
      <c r="J227" s="5">
        <v>1</v>
      </c>
      <c r="K227" s="5" t="s">
        <v>2</v>
      </c>
      <c r="L227" s="5" t="s">
        <v>2170</v>
      </c>
      <c r="M227" s="5" t="s">
        <v>2171</v>
      </c>
      <c r="N227" s="5" t="s">
        <v>2172</v>
      </c>
      <c r="O227" s="5">
        <v>3</v>
      </c>
      <c r="P227" s="6">
        <v>742160</v>
      </c>
      <c r="Q227" s="5">
        <v>400030</v>
      </c>
      <c r="R227" s="5">
        <v>342140</v>
      </c>
      <c r="S227" s="5">
        <v>1.0992</v>
      </c>
      <c r="T227" s="5">
        <f>LOG(Table2[[#This Row],[ratio heavy to light normalized]],2)</f>
        <v>0.13645390926865067</v>
      </c>
      <c r="U227" s="5">
        <v>0.44857538994805002</v>
      </c>
    </row>
    <row r="228" spans="1:21" ht="13.5" customHeight="1" x14ac:dyDescent="0.3">
      <c r="A228" s="5" t="s">
        <v>210</v>
      </c>
      <c r="B228" s="5" t="s">
        <v>211</v>
      </c>
      <c r="C228" s="5">
        <v>1295</v>
      </c>
      <c r="D228" s="5">
        <v>1295</v>
      </c>
      <c r="E228" s="5">
        <v>1</v>
      </c>
      <c r="F228" s="6">
        <v>110.985</v>
      </c>
      <c r="G228" s="7">
        <v>9.1791100000000004E-30</v>
      </c>
      <c r="H228" s="5">
        <v>110.98</v>
      </c>
      <c r="I228" s="5" t="s">
        <v>11</v>
      </c>
      <c r="J228" s="5">
        <v>1</v>
      </c>
      <c r="K228" s="5" t="s">
        <v>2</v>
      </c>
      <c r="L228" s="5" t="s">
        <v>1883</v>
      </c>
      <c r="M228" s="5" t="s">
        <v>1884</v>
      </c>
      <c r="N228" s="5" t="s">
        <v>1885</v>
      </c>
      <c r="O228" s="5">
        <v>5</v>
      </c>
      <c r="P228" s="6">
        <v>2382800</v>
      </c>
      <c r="Q228" s="5">
        <v>1160500</v>
      </c>
      <c r="R228" s="5">
        <v>1222400</v>
      </c>
      <c r="S228" s="5">
        <v>1.0979000000000001</v>
      </c>
      <c r="T228" s="5">
        <f>LOG(Table2[[#This Row],[ratio heavy to light normalized]],2)</f>
        <v>0.13474665536848754</v>
      </c>
      <c r="U228" s="5">
        <v>0.38361665680303803</v>
      </c>
    </row>
    <row r="229" spans="1:21" ht="13.5" customHeight="1" x14ac:dyDescent="0.3">
      <c r="A229" s="5" t="s">
        <v>407</v>
      </c>
      <c r="B229" s="5" t="s">
        <v>408</v>
      </c>
      <c r="C229" s="5">
        <v>1016</v>
      </c>
      <c r="D229" s="5">
        <v>1016</v>
      </c>
      <c r="E229" s="5">
        <v>1</v>
      </c>
      <c r="F229" s="6">
        <v>108.238</v>
      </c>
      <c r="G229" s="7">
        <v>7.9655100000000004E-17</v>
      </c>
      <c r="H229" s="5">
        <v>108.24</v>
      </c>
      <c r="I229" s="5" t="s">
        <v>11</v>
      </c>
      <c r="J229" s="5">
        <v>1</v>
      </c>
      <c r="K229" s="5" t="s">
        <v>2</v>
      </c>
      <c r="L229" s="5" t="s">
        <v>1529</v>
      </c>
      <c r="M229" s="5" t="s">
        <v>1530</v>
      </c>
      <c r="N229" s="5" t="s">
        <v>1531</v>
      </c>
      <c r="O229" s="5">
        <v>5</v>
      </c>
      <c r="P229" s="6">
        <v>9046400</v>
      </c>
      <c r="Q229" s="5">
        <v>4229400</v>
      </c>
      <c r="R229" s="5">
        <v>4817000</v>
      </c>
      <c r="S229" s="5">
        <v>1.0964</v>
      </c>
      <c r="T229" s="5">
        <f>LOG(Table2[[#This Row],[ratio heavy to light normalized]],2)</f>
        <v>0.13277423327632584</v>
      </c>
      <c r="U229" s="5">
        <v>0.30469872192643699</v>
      </c>
    </row>
    <row r="230" spans="1:21" ht="13.5" customHeight="1" x14ac:dyDescent="0.3">
      <c r="A230" s="5" t="s">
        <v>779</v>
      </c>
      <c r="B230" s="5" t="s">
        <v>780</v>
      </c>
      <c r="C230" s="5">
        <v>377</v>
      </c>
      <c r="D230" s="5">
        <v>377</v>
      </c>
      <c r="E230" s="5">
        <v>1</v>
      </c>
      <c r="F230" s="6">
        <v>89.804599999999994</v>
      </c>
      <c r="G230" s="7">
        <v>4.4102399999999998E-11</v>
      </c>
      <c r="H230" s="5">
        <v>89.805000000000007</v>
      </c>
      <c r="I230" s="5"/>
      <c r="J230" s="5">
        <v>1</v>
      </c>
      <c r="K230" s="5" t="s">
        <v>2</v>
      </c>
      <c r="L230" s="5" t="s">
        <v>2186</v>
      </c>
      <c r="M230" s="5" t="s">
        <v>2187</v>
      </c>
      <c r="N230" s="5" t="s">
        <v>2188</v>
      </c>
      <c r="O230" s="5">
        <v>8</v>
      </c>
      <c r="P230" s="6">
        <v>477080</v>
      </c>
      <c r="Q230" s="5">
        <v>228600</v>
      </c>
      <c r="R230" s="5">
        <v>248480</v>
      </c>
      <c r="S230" s="5">
        <v>1.0962000000000001</v>
      </c>
      <c r="T230" s="5">
        <f>LOG(Table2[[#This Row],[ratio heavy to light normalized]],2)</f>
        <v>0.13251103979919548</v>
      </c>
      <c r="U230" s="5">
        <v>0.45389413580710902</v>
      </c>
    </row>
    <row r="231" spans="1:21" ht="13.5" customHeight="1" x14ac:dyDescent="0.3">
      <c r="A231" s="5" t="s">
        <v>981</v>
      </c>
      <c r="B231" s="5" t="s">
        <v>982</v>
      </c>
      <c r="C231" s="5">
        <v>822</v>
      </c>
      <c r="D231" s="5">
        <v>822</v>
      </c>
      <c r="E231" s="5">
        <v>1</v>
      </c>
      <c r="F231" s="6">
        <v>39.657200000000003</v>
      </c>
      <c r="G231" s="5">
        <v>5.0597900000000004E-4</v>
      </c>
      <c r="H231" s="5">
        <v>39.656999999999996</v>
      </c>
      <c r="I231" s="5"/>
      <c r="J231" s="5">
        <v>1</v>
      </c>
      <c r="K231" s="5" t="s">
        <v>2</v>
      </c>
      <c r="L231" s="5" t="s">
        <v>2189</v>
      </c>
      <c r="M231" s="5" t="s">
        <v>2190</v>
      </c>
      <c r="N231" s="5" t="s">
        <v>2191</v>
      </c>
      <c r="O231" s="5">
        <v>10</v>
      </c>
      <c r="P231" s="6">
        <v>407760</v>
      </c>
      <c r="Q231" s="5">
        <v>216630</v>
      </c>
      <c r="R231" s="5">
        <v>191140</v>
      </c>
      <c r="S231" s="5">
        <v>1.0960000000000001</v>
      </c>
      <c r="T231" s="5">
        <f>LOG(Table2[[#This Row],[ratio heavy to light normalized]],2)</f>
        <v>0.13224779829843977</v>
      </c>
      <c r="U231" s="5">
        <v>0.454250498321354</v>
      </c>
    </row>
    <row r="232" spans="1:21" ht="13.5" customHeight="1" x14ac:dyDescent="0.3">
      <c r="A232" s="5" t="s">
        <v>952</v>
      </c>
      <c r="B232" s="5" t="s">
        <v>953</v>
      </c>
      <c r="C232" s="5">
        <v>255</v>
      </c>
      <c r="D232" s="5">
        <v>255</v>
      </c>
      <c r="E232" s="5">
        <v>1</v>
      </c>
      <c r="F232" s="6">
        <v>111.652</v>
      </c>
      <c r="G232" s="7">
        <v>3.7552800000000002E-20</v>
      </c>
      <c r="H232" s="5">
        <v>111.65</v>
      </c>
      <c r="I232" s="5" t="s">
        <v>11</v>
      </c>
      <c r="J232" s="5">
        <v>1</v>
      </c>
      <c r="K232" s="5" t="s">
        <v>2</v>
      </c>
      <c r="L232" s="5" t="s">
        <v>1916</v>
      </c>
      <c r="M232" s="5" t="s">
        <v>1917</v>
      </c>
      <c r="N232" s="5" t="s">
        <v>1918</v>
      </c>
      <c r="O232" s="5">
        <v>6</v>
      </c>
      <c r="P232" s="6">
        <v>2167200</v>
      </c>
      <c r="Q232" s="5">
        <v>1057900</v>
      </c>
      <c r="R232" s="5">
        <v>1109300</v>
      </c>
      <c r="S232" s="5">
        <v>1.0946</v>
      </c>
      <c r="T232" s="5">
        <f>LOG(Table2[[#This Row],[ratio heavy to light normalized]],2)</f>
        <v>0.13040376165803888</v>
      </c>
      <c r="U232" s="5">
        <v>0.39182058515537599</v>
      </c>
    </row>
    <row r="233" spans="1:21" ht="13.5" customHeight="1" x14ac:dyDescent="0.3">
      <c r="A233" s="5" t="s">
        <v>595</v>
      </c>
      <c r="B233" s="5" t="s">
        <v>596</v>
      </c>
      <c r="C233" s="5">
        <v>1377</v>
      </c>
      <c r="D233" s="5">
        <v>1377</v>
      </c>
      <c r="E233" s="5">
        <v>1</v>
      </c>
      <c r="F233" s="6">
        <v>53.554299999999998</v>
      </c>
      <c r="G233" s="5">
        <v>1.0244200000000001E-4</v>
      </c>
      <c r="H233" s="5">
        <v>53.554000000000002</v>
      </c>
      <c r="I233" s="5" t="s">
        <v>11</v>
      </c>
      <c r="J233" s="5">
        <v>1</v>
      </c>
      <c r="K233" s="5" t="s">
        <v>2</v>
      </c>
      <c r="L233" s="5" t="s">
        <v>2195</v>
      </c>
      <c r="M233" s="5" t="s">
        <v>2196</v>
      </c>
      <c r="N233" s="5" t="s">
        <v>2197</v>
      </c>
      <c r="O233" s="5">
        <v>4</v>
      </c>
      <c r="P233" s="6">
        <v>455180</v>
      </c>
      <c r="Q233" s="5">
        <v>220370</v>
      </c>
      <c r="R233" s="5">
        <v>234810</v>
      </c>
      <c r="S233" s="5">
        <v>1.0944</v>
      </c>
      <c r="T233" s="5">
        <f>LOG(Table2[[#This Row],[ratio heavy to light normalized]],2)</f>
        <v>0.13014013533644853</v>
      </c>
      <c r="U233" s="5">
        <v>0.45710942198702798</v>
      </c>
    </row>
    <row r="234" spans="1:21" ht="13.5" customHeight="1" x14ac:dyDescent="0.3">
      <c r="A234" s="5" t="s">
        <v>1090</v>
      </c>
      <c r="B234" s="5" t="s">
        <v>1091</v>
      </c>
      <c r="C234" s="5">
        <v>385</v>
      </c>
      <c r="D234" s="5">
        <v>385</v>
      </c>
      <c r="E234" s="5">
        <v>1</v>
      </c>
      <c r="F234" s="6">
        <v>89.678600000000003</v>
      </c>
      <c r="G234" s="7">
        <v>4.4801199999999998E-11</v>
      </c>
      <c r="H234" s="5">
        <v>89.679000000000002</v>
      </c>
      <c r="I234" s="5" t="s">
        <v>11</v>
      </c>
      <c r="J234" s="5">
        <v>1</v>
      </c>
      <c r="K234" s="5" t="s">
        <v>2</v>
      </c>
      <c r="L234" s="5" t="s">
        <v>1628</v>
      </c>
      <c r="M234" s="5" t="s">
        <v>1629</v>
      </c>
      <c r="N234" s="5" t="s">
        <v>1630</v>
      </c>
      <c r="O234" s="5">
        <v>8</v>
      </c>
      <c r="P234" s="6">
        <v>2905600</v>
      </c>
      <c r="Q234" s="5">
        <v>1431700</v>
      </c>
      <c r="R234" s="5">
        <v>1474000</v>
      </c>
      <c r="S234" s="5">
        <v>1.0908</v>
      </c>
      <c r="T234" s="5">
        <f>LOG(Table2[[#This Row],[ratio heavy to light normalized]],2)</f>
        <v>0.12538660536581386</v>
      </c>
      <c r="U234" s="5">
        <v>0.32048284404617899</v>
      </c>
    </row>
    <row r="235" spans="1:21" ht="13.5" customHeight="1" x14ac:dyDescent="0.3">
      <c r="A235" s="5" t="s">
        <v>381</v>
      </c>
      <c r="B235" s="5" t="s">
        <v>382</v>
      </c>
      <c r="C235" s="5">
        <v>221</v>
      </c>
      <c r="D235" s="5">
        <v>221</v>
      </c>
      <c r="E235" s="5">
        <v>1</v>
      </c>
      <c r="F235" s="6">
        <v>57.366300000000003</v>
      </c>
      <c r="G235" s="7">
        <v>1.25803E-9</v>
      </c>
      <c r="H235" s="5">
        <v>57.366</v>
      </c>
      <c r="I235" s="5" t="s">
        <v>11</v>
      </c>
      <c r="J235" s="5">
        <v>1</v>
      </c>
      <c r="K235" s="5" t="s">
        <v>2</v>
      </c>
      <c r="L235" s="5" t="s">
        <v>1641</v>
      </c>
      <c r="M235" s="5" t="s">
        <v>1642</v>
      </c>
      <c r="N235" s="5" t="s">
        <v>1643</v>
      </c>
      <c r="O235" s="5">
        <v>15</v>
      </c>
      <c r="P235" s="6">
        <v>2834700</v>
      </c>
      <c r="Q235" s="5">
        <v>1477300</v>
      </c>
      <c r="R235" s="5">
        <v>1357500</v>
      </c>
      <c r="S235" s="5">
        <v>1.0904</v>
      </c>
      <c r="T235" s="5">
        <f>LOG(Table2[[#This Row],[ratio heavy to light normalized]],2)</f>
        <v>0.12485746725576016</v>
      </c>
      <c r="U235" s="5">
        <v>0.321633534382676</v>
      </c>
    </row>
    <row r="236" spans="1:21" ht="13.5" customHeight="1" x14ac:dyDescent="0.3">
      <c r="A236" s="5" t="s">
        <v>381</v>
      </c>
      <c r="B236" s="5" t="s">
        <v>382</v>
      </c>
      <c r="C236" s="5">
        <v>157</v>
      </c>
      <c r="D236" s="5">
        <v>157</v>
      </c>
      <c r="E236" s="5">
        <v>0.83155599999999996</v>
      </c>
      <c r="F236" s="6">
        <v>6.9343700000000004</v>
      </c>
      <c r="G236" s="5">
        <v>8.5039299999999996E-4</v>
      </c>
      <c r="H236" s="5">
        <v>35.747999999999998</v>
      </c>
      <c r="I236" s="5"/>
      <c r="J236" s="5">
        <v>1</v>
      </c>
      <c r="K236" s="5" t="s">
        <v>2</v>
      </c>
      <c r="L236" s="5" t="s">
        <v>1965</v>
      </c>
      <c r="M236" s="5" t="s">
        <v>1966</v>
      </c>
      <c r="N236" s="5" t="s">
        <v>1967</v>
      </c>
      <c r="O236" s="5">
        <v>13</v>
      </c>
      <c r="P236" s="6">
        <v>1622300</v>
      </c>
      <c r="Q236" s="5">
        <v>787900</v>
      </c>
      <c r="R236" s="5">
        <v>834400</v>
      </c>
      <c r="S236" s="5">
        <v>1.0898000000000001</v>
      </c>
      <c r="T236" s="5">
        <f>LOG(Table2[[#This Row],[ratio heavy to light normalized]],2)</f>
        <v>0.12406339602707796</v>
      </c>
      <c r="U236" s="5">
        <v>0.40398725674314201</v>
      </c>
    </row>
    <row r="237" spans="1:21" ht="13.5" customHeight="1" x14ac:dyDescent="0.3">
      <c r="A237" s="5" t="s">
        <v>76</v>
      </c>
      <c r="B237" s="5" t="s">
        <v>77</v>
      </c>
      <c r="C237" s="5">
        <v>173</v>
      </c>
      <c r="D237" s="5">
        <v>173</v>
      </c>
      <c r="E237" s="5">
        <v>1</v>
      </c>
      <c r="F237" s="6">
        <v>32.564700000000002</v>
      </c>
      <c r="G237" s="5">
        <v>1.32865E-3</v>
      </c>
      <c r="H237" s="5">
        <v>32.564999999999998</v>
      </c>
      <c r="I237" s="5" t="s">
        <v>11</v>
      </c>
      <c r="J237" s="5">
        <v>1</v>
      </c>
      <c r="K237" s="5" t="s">
        <v>2</v>
      </c>
      <c r="L237" s="5" t="s">
        <v>2223</v>
      </c>
      <c r="M237" s="5" t="s">
        <v>2224</v>
      </c>
      <c r="N237" s="5" t="s">
        <v>2225</v>
      </c>
      <c r="O237" s="5">
        <v>18</v>
      </c>
      <c r="P237" s="6">
        <v>429080</v>
      </c>
      <c r="Q237" s="5">
        <v>263090</v>
      </c>
      <c r="R237" s="5">
        <v>165990</v>
      </c>
      <c r="S237" s="5">
        <v>1.0889</v>
      </c>
      <c r="T237" s="5">
        <f>LOG(Table2[[#This Row],[ratio heavy to light normalized]],2)</f>
        <v>0.12287146908839318</v>
      </c>
      <c r="U237" s="5">
        <v>0.46704608392553298</v>
      </c>
    </row>
    <row r="238" spans="1:21" ht="13.5" customHeight="1" x14ac:dyDescent="0.3">
      <c r="A238" s="5" t="s">
        <v>2014</v>
      </c>
      <c r="B238" s="5" t="s">
        <v>2015</v>
      </c>
      <c r="C238" s="5">
        <v>112</v>
      </c>
      <c r="D238" s="5">
        <v>112</v>
      </c>
      <c r="E238" s="5">
        <v>1</v>
      </c>
      <c r="F238" s="6">
        <v>50.0792</v>
      </c>
      <c r="G238" s="7">
        <v>1.30137E-5</v>
      </c>
      <c r="H238" s="5">
        <v>50.079000000000001</v>
      </c>
      <c r="I238" s="5"/>
      <c r="J238" s="5">
        <v>1</v>
      </c>
      <c r="K238" s="5" t="s">
        <v>2</v>
      </c>
      <c r="L238" s="5" t="s">
        <v>2016</v>
      </c>
      <c r="M238" s="5" t="s">
        <v>2017</v>
      </c>
      <c r="N238" s="5" t="s">
        <v>2018</v>
      </c>
      <c r="O238" s="5">
        <v>8</v>
      </c>
      <c r="P238" s="6">
        <v>987240</v>
      </c>
      <c r="Q238" s="5">
        <v>493030</v>
      </c>
      <c r="R238" s="5">
        <v>494200</v>
      </c>
      <c r="S238" s="5">
        <v>1.0873999999999999</v>
      </c>
      <c r="T238" s="5">
        <f>LOG(Table2[[#This Row],[ratio heavy to light normalized]],2)</f>
        <v>0.12088273324865211</v>
      </c>
      <c r="U238" s="5">
        <v>0.41017494114824699</v>
      </c>
    </row>
    <row r="239" spans="1:21" ht="13.5" customHeight="1" x14ac:dyDescent="0.3">
      <c r="A239" s="5" t="s">
        <v>1236</v>
      </c>
      <c r="B239" s="5" t="s">
        <v>1237</v>
      </c>
      <c r="C239" s="5">
        <v>143</v>
      </c>
      <c r="D239" s="5">
        <v>143</v>
      </c>
      <c r="E239" s="5">
        <v>1</v>
      </c>
      <c r="F239" s="6">
        <v>88.0565</v>
      </c>
      <c r="G239" s="7">
        <v>1.23129E-27</v>
      </c>
      <c r="H239" s="5">
        <v>124.67</v>
      </c>
      <c r="I239" s="5"/>
      <c r="J239" s="5">
        <v>1</v>
      </c>
      <c r="K239" s="5" t="s">
        <v>2</v>
      </c>
      <c r="L239" s="5" t="s">
        <v>1689</v>
      </c>
      <c r="M239" s="5" t="s">
        <v>1690</v>
      </c>
      <c r="N239" s="5" t="s">
        <v>1691</v>
      </c>
      <c r="O239" s="5">
        <v>7</v>
      </c>
      <c r="P239" s="6">
        <v>40173000</v>
      </c>
      <c r="Q239" s="5">
        <v>18154000</v>
      </c>
      <c r="R239" s="5">
        <v>22019000</v>
      </c>
      <c r="S239" s="5">
        <v>1.087</v>
      </c>
      <c r="T239" s="5">
        <f>LOG(Table2[[#This Row],[ratio heavy to light normalized]],2)</f>
        <v>0.12035194036522208</v>
      </c>
      <c r="U239" s="5">
        <v>0.33154059637307498</v>
      </c>
    </row>
    <row r="240" spans="1:21" ht="13.5" customHeight="1" x14ac:dyDescent="0.3">
      <c r="A240" s="5" t="s">
        <v>1692</v>
      </c>
      <c r="B240" s="5" t="s">
        <v>1693</v>
      </c>
      <c r="C240" s="5">
        <v>94</v>
      </c>
      <c r="D240" s="5">
        <v>94</v>
      </c>
      <c r="E240" s="5">
        <v>1</v>
      </c>
      <c r="F240" s="6">
        <v>98.581999999999994</v>
      </c>
      <c r="G240" s="7">
        <v>5.5493E-20</v>
      </c>
      <c r="H240" s="5">
        <v>98.581999999999994</v>
      </c>
      <c r="I240" s="5" t="s">
        <v>11</v>
      </c>
      <c r="J240" s="5">
        <v>1</v>
      </c>
      <c r="K240" s="5" t="s">
        <v>2</v>
      </c>
      <c r="L240" s="5" t="s">
        <v>1694</v>
      </c>
      <c r="M240" s="5" t="s">
        <v>1695</v>
      </c>
      <c r="N240" s="5" t="s">
        <v>1696</v>
      </c>
      <c r="O240" s="5">
        <v>7</v>
      </c>
      <c r="P240" s="6">
        <v>29163000</v>
      </c>
      <c r="Q240" s="5">
        <v>13682000</v>
      </c>
      <c r="R240" s="5">
        <v>15481000</v>
      </c>
      <c r="S240" s="5">
        <v>1.0867</v>
      </c>
      <c r="T240" s="5">
        <f>LOG(Table2[[#This Row],[ratio heavy to light normalized]],2)</f>
        <v>0.11995371750556837</v>
      </c>
      <c r="U240" s="5">
        <v>0.33242562681445098</v>
      </c>
    </row>
    <row r="241" spans="1:21" ht="13.5" customHeight="1" x14ac:dyDescent="0.3">
      <c r="A241" s="5" t="s">
        <v>1394</v>
      </c>
      <c r="B241" s="5" t="s">
        <v>1395</v>
      </c>
      <c r="C241" s="5">
        <v>16</v>
      </c>
      <c r="D241" s="5">
        <v>16</v>
      </c>
      <c r="E241" s="5">
        <v>1</v>
      </c>
      <c r="F241" s="6">
        <v>88.090400000000002</v>
      </c>
      <c r="G241" s="7">
        <v>8.5481400000000003E-73</v>
      </c>
      <c r="H241" s="5">
        <v>141.47</v>
      </c>
      <c r="I241" s="5" t="s">
        <v>11</v>
      </c>
      <c r="J241" s="5">
        <v>1</v>
      </c>
      <c r="K241" s="5" t="s">
        <v>2</v>
      </c>
      <c r="L241" s="5" t="s">
        <v>1700</v>
      </c>
      <c r="M241" s="5" t="s">
        <v>1701</v>
      </c>
      <c r="N241" s="5" t="s">
        <v>1702</v>
      </c>
      <c r="O241" s="5">
        <v>6</v>
      </c>
      <c r="P241" s="6">
        <v>43952000</v>
      </c>
      <c r="Q241" s="5">
        <v>16121000</v>
      </c>
      <c r="R241" s="5">
        <v>27832000</v>
      </c>
      <c r="S241" s="5">
        <v>1.0857000000000001</v>
      </c>
      <c r="T241" s="5">
        <f>LOG(Table2[[#This Row],[ratio heavy to light normalized]],2)</f>
        <v>0.11862551354424568</v>
      </c>
      <c r="U241" s="5">
        <v>0.33538851534724901</v>
      </c>
    </row>
    <row r="242" spans="1:21" ht="13.5" customHeight="1" x14ac:dyDescent="0.3">
      <c r="A242" s="5" t="s">
        <v>2027</v>
      </c>
      <c r="B242" s="5" t="s">
        <v>2028</v>
      </c>
      <c r="C242" s="5">
        <v>257</v>
      </c>
      <c r="D242" s="5">
        <v>257</v>
      </c>
      <c r="E242" s="5">
        <v>1</v>
      </c>
      <c r="F242" s="6">
        <v>40.945999999999998</v>
      </c>
      <c r="G242" s="5">
        <v>1.82656E-2</v>
      </c>
      <c r="H242" s="5">
        <v>40.945999999999998</v>
      </c>
      <c r="I242" s="5"/>
      <c r="J242" s="5">
        <v>1</v>
      </c>
      <c r="K242" s="5" t="s">
        <v>2</v>
      </c>
      <c r="L242" s="5" t="s">
        <v>2245</v>
      </c>
      <c r="M242" s="5" t="s">
        <v>2246</v>
      </c>
      <c r="N242" s="5" t="s">
        <v>2247</v>
      </c>
      <c r="O242" s="5">
        <v>4</v>
      </c>
      <c r="P242" s="6">
        <v>367560</v>
      </c>
      <c r="Q242" s="5">
        <v>183540</v>
      </c>
      <c r="R242" s="5">
        <v>184010</v>
      </c>
      <c r="S242" s="5">
        <v>1.0842000000000001</v>
      </c>
      <c r="T242" s="5">
        <f>LOG(Table2[[#This Row],[ratio heavy to light normalized]],2)</f>
        <v>0.11663091203630645</v>
      </c>
      <c r="U242" s="5">
        <v>0.47567197789149601</v>
      </c>
    </row>
    <row r="243" spans="1:21" ht="13.5" customHeight="1" x14ac:dyDescent="0.3">
      <c r="A243" s="5" t="s">
        <v>1513</v>
      </c>
      <c r="B243" s="5" t="s">
        <v>1514</v>
      </c>
      <c r="C243" s="5">
        <v>359</v>
      </c>
      <c r="D243" s="5">
        <v>359</v>
      </c>
      <c r="E243" s="5">
        <v>1</v>
      </c>
      <c r="F243" s="6">
        <v>94.616200000000006</v>
      </c>
      <c r="G243" s="7">
        <v>1.7408600000000001E-11</v>
      </c>
      <c r="H243" s="5">
        <v>94.616</v>
      </c>
      <c r="I243" s="5"/>
      <c r="J243" s="5">
        <v>1</v>
      </c>
      <c r="K243" s="5" t="s">
        <v>2</v>
      </c>
      <c r="L243" s="5" t="s">
        <v>2072</v>
      </c>
      <c r="M243" s="5" t="s">
        <v>2073</v>
      </c>
      <c r="N243" s="5" t="s">
        <v>2074</v>
      </c>
      <c r="O243" s="5">
        <v>8</v>
      </c>
      <c r="P243" s="6">
        <v>1055300</v>
      </c>
      <c r="Q243" s="5">
        <v>555580</v>
      </c>
      <c r="R243" s="5">
        <v>499760</v>
      </c>
      <c r="S243" s="5">
        <v>1.0828</v>
      </c>
      <c r="T243" s="5">
        <f>LOG(Table2[[#This Row],[ratio heavy to light normalized]],2)</f>
        <v>0.1147667926655143</v>
      </c>
      <c r="U243" s="5">
        <v>0.42223003175683199</v>
      </c>
    </row>
    <row r="244" spans="1:21" ht="13.5" customHeight="1" x14ac:dyDescent="0.3">
      <c r="A244" s="5" t="s">
        <v>902</v>
      </c>
      <c r="B244" s="5" t="s">
        <v>903</v>
      </c>
      <c r="C244" s="5">
        <v>800</v>
      </c>
      <c r="D244" s="5">
        <v>800</v>
      </c>
      <c r="E244" s="5">
        <v>1</v>
      </c>
      <c r="F244" s="6">
        <v>111.455</v>
      </c>
      <c r="G244" s="7">
        <v>1.3122000000000001E-19</v>
      </c>
      <c r="H244" s="5">
        <v>111.46</v>
      </c>
      <c r="I244" s="5" t="s">
        <v>11</v>
      </c>
      <c r="J244" s="5">
        <v>1</v>
      </c>
      <c r="K244" s="5" t="s">
        <v>2</v>
      </c>
      <c r="L244" s="5" t="s">
        <v>1742</v>
      </c>
      <c r="M244" s="5" t="s">
        <v>1743</v>
      </c>
      <c r="N244" s="5" t="s">
        <v>1744</v>
      </c>
      <c r="O244" s="5">
        <v>2</v>
      </c>
      <c r="P244" s="6">
        <v>4647400</v>
      </c>
      <c r="Q244" s="5">
        <v>2296400</v>
      </c>
      <c r="R244" s="5">
        <v>2351000</v>
      </c>
      <c r="S244" s="5">
        <v>1.0822000000000001</v>
      </c>
      <c r="T244" s="5">
        <f>LOG(Table2[[#This Row],[ratio heavy to light normalized]],2)</f>
        <v>0.11396714643300218</v>
      </c>
      <c r="U244" s="5">
        <v>0.34591410074321299</v>
      </c>
    </row>
    <row r="245" spans="1:21" ht="13.5" customHeight="1" x14ac:dyDescent="0.3">
      <c r="A245" s="5" t="s">
        <v>2086</v>
      </c>
      <c r="B245" s="5" t="s">
        <v>2087</v>
      </c>
      <c r="C245" s="5">
        <v>139</v>
      </c>
      <c r="D245" s="5">
        <v>139</v>
      </c>
      <c r="E245" s="5">
        <v>1</v>
      </c>
      <c r="F245" s="6">
        <v>39.466299999999997</v>
      </c>
      <c r="G245" s="5">
        <v>2.01583E-4</v>
      </c>
      <c r="H245" s="5">
        <v>39.466000000000001</v>
      </c>
      <c r="I245" s="5"/>
      <c r="J245" s="5">
        <v>1</v>
      </c>
      <c r="K245" s="5" t="s">
        <v>2</v>
      </c>
      <c r="L245" s="5" t="s">
        <v>2088</v>
      </c>
      <c r="M245" s="5" t="s">
        <v>2089</v>
      </c>
      <c r="N245" s="5" t="s">
        <v>2090</v>
      </c>
      <c r="O245" s="5">
        <v>11</v>
      </c>
      <c r="P245" s="6">
        <v>1726800</v>
      </c>
      <c r="Q245" s="5">
        <v>742670</v>
      </c>
      <c r="R245" s="5">
        <v>984170</v>
      </c>
      <c r="S245" s="5">
        <v>1.0808</v>
      </c>
      <c r="T245" s="5">
        <f>LOG(Table2[[#This Row],[ratio heavy to light normalized]],2)</f>
        <v>0.11209957977623511</v>
      </c>
      <c r="U245" s="5">
        <v>0.42755171655388502</v>
      </c>
    </row>
    <row r="246" spans="1:21" ht="13.5" customHeight="1" x14ac:dyDescent="0.3">
      <c r="A246" s="5" t="s">
        <v>1136</v>
      </c>
      <c r="B246" s="5" t="s">
        <v>1137</v>
      </c>
      <c r="C246" s="5">
        <v>286</v>
      </c>
      <c r="D246" s="5">
        <v>286</v>
      </c>
      <c r="E246" s="5">
        <v>1</v>
      </c>
      <c r="F246" s="6">
        <v>34.260100000000001</v>
      </c>
      <c r="G246" s="7">
        <v>1.6081300000000001E-50</v>
      </c>
      <c r="H246" s="5">
        <v>155.1</v>
      </c>
      <c r="I246" s="5" t="s">
        <v>11</v>
      </c>
      <c r="J246" s="5">
        <v>1</v>
      </c>
      <c r="K246" s="5" t="s">
        <v>2</v>
      </c>
      <c r="L246" s="5" t="s">
        <v>1753</v>
      </c>
      <c r="M246" s="5" t="s">
        <v>1754</v>
      </c>
      <c r="N246" s="5" t="s">
        <v>1755</v>
      </c>
      <c r="O246" s="5">
        <v>5</v>
      </c>
      <c r="P246" s="6">
        <v>12264000</v>
      </c>
      <c r="Q246" s="5">
        <v>6044400</v>
      </c>
      <c r="R246" s="5">
        <v>6219500</v>
      </c>
      <c r="S246" s="5">
        <v>1.0807</v>
      </c>
      <c r="T246" s="5">
        <f>LOG(Table2[[#This Row],[ratio heavy to light normalized]],2)</f>
        <v>0.11196608960349229</v>
      </c>
      <c r="U246" s="5">
        <v>0.350499419163387</v>
      </c>
    </row>
    <row r="247" spans="1:21" ht="13.5" customHeight="1" x14ac:dyDescent="0.3">
      <c r="A247" s="5" t="s">
        <v>2277</v>
      </c>
      <c r="B247" s="5" t="s">
        <v>2278</v>
      </c>
      <c r="C247" s="5">
        <v>122</v>
      </c>
      <c r="D247" s="5">
        <v>122</v>
      </c>
      <c r="E247" s="5">
        <v>1</v>
      </c>
      <c r="F247" s="6">
        <v>40.993899999999996</v>
      </c>
      <c r="G247" s="5">
        <v>3.2365400000000003E-2</v>
      </c>
      <c r="H247" s="5">
        <v>40.994</v>
      </c>
      <c r="I247" s="5"/>
      <c r="J247" s="5">
        <v>1</v>
      </c>
      <c r="K247" s="5" t="s">
        <v>2</v>
      </c>
      <c r="L247" s="5" t="s">
        <v>2279</v>
      </c>
      <c r="M247" s="5" t="s">
        <v>2280</v>
      </c>
      <c r="N247" s="5" t="s">
        <v>2281</v>
      </c>
      <c r="O247" s="5">
        <v>5</v>
      </c>
      <c r="P247" s="6">
        <v>658160</v>
      </c>
      <c r="Q247" s="5">
        <v>346530</v>
      </c>
      <c r="R247" s="5">
        <v>311630</v>
      </c>
      <c r="S247" s="5">
        <v>1.0803</v>
      </c>
      <c r="T247" s="5">
        <f>LOG(Table2[[#This Row],[ratio heavy to light normalized]],2)</f>
        <v>0.11143200536198733</v>
      </c>
      <c r="U247" s="5">
        <v>0.48292426588324</v>
      </c>
    </row>
    <row r="248" spans="1:21" ht="13.5" customHeight="1" x14ac:dyDescent="0.3">
      <c r="A248" s="5" t="s">
        <v>1759</v>
      </c>
      <c r="B248" s="5" t="s">
        <v>1760</v>
      </c>
      <c r="C248" s="5">
        <v>52</v>
      </c>
      <c r="D248" s="5">
        <v>52</v>
      </c>
      <c r="E248" s="5">
        <v>1</v>
      </c>
      <c r="F248" s="6">
        <v>75.109200000000001</v>
      </c>
      <c r="G248" s="7">
        <v>3.5207699999999998E-6</v>
      </c>
      <c r="H248" s="5">
        <v>75.108999999999995</v>
      </c>
      <c r="I248" s="5" t="s">
        <v>11</v>
      </c>
      <c r="J248" s="5">
        <v>1</v>
      </c>
      <c r="K248" s="5" t="s">
        <v>2</v>
      </c>
      <c r="L248" s="5" t="s">
        <v>1761</v>
      </c>
      <c r="M248" s="5" t="s">
        <v>1762</v>
      </c>
      <c r="N248" s="5" t="s">
        <v>1763</v>
      </c>
      <c r="O248" s="5">
        <v>5</v>
      </c>
      <c r="P248" s="6">
        <v>3421900</v>
      </c>
      <c r="Q248" s="5">
        <v>1868400</v>
      </c>
      <c r="R248" s="5">
        <v>1553500</v>
      </c>
      <c r="S248" s="5">
        <v>1.0786</v>
      </c>
      <c r="T248" s="5">
        <f>LOG(Table2[[#This Row],[ratio heavy to light normalized]],2)</f>
        <v>0.10915993896111069</v>
      </c>
      <c r="U248" s="5">
        <v>0.35699417057903099</v>
      </c>
    </row>
    <row r="249" spans="1:21" ht="13.5" customHeight="1" x14ac:dyDescent="0.3">
      <c r="A249" s="5" t="s">
        <v>643</v>
      </c>
      <c r="B249" s="5" t="s">
        <v>644</v>
      </c>
      <c r="C249" s="5">
        <v>226</v>
      </c>
      <c r="D249" s="5">
        <v>226</v>
      </c>
      <c r="E249" s="5">
        <v>1</v>
      </c>
      <c r="F249" s="6">
        <v>74.140799999999999</v>
      </c>
      <c r="G249" s="7">
        <v>8.8046599999999998E-15</v>
      </c>
      <c r="H249" s="5">
        <v>78.284999999999997</v>
      </c>
      <c r="I249" s="5" t="s">
        <v>11</v>
      </c>
      <c r="J249" s="5">
        <v>1</v>
      </c>
      <c r="K249" s="5" t="s">
        <v>2</v>
      </c>
      <c r="L249" s="5" t="s">
        <v>1764</v>
      </c>
      <c r="M249" s="5" t="s">
        <v>1765</v>
      </c>
      <c r="N249" s="5" t="s">
        <v>1766</v>
      </c>
      <c r="O249" s="5">
        <v>3</v>
      </c>
      <c r="P249" s="6">
        <v>6485400</v>
      </c>
      <c r="Q249" s="5">
        <v>3117800</v>
      </c>
      <c r="R249" s="5">
        <v>3367600</v>
      </c>
      <c r="S249" s="5">
        <v>1.0783</v>
      </c>
      <c r="T249" s="5">
        <f>LOG(Table2[[#This Row],[ratio heavy to light normalized]],2)</f>
        <v>0.10875861436093671</v>
      </c>
      <c r="U249" s="5">
        <v>0.35792918185506001</v>
      </c>
    </row>
    <row r="250" spans="1:21" ht="13.5" customHeight="1" x14ac:dyDescent="0.3">
      <c r="A250" s="5" t="s">
        <v>603</v>
      </c>
      <c r="B250" s="5" t="s">
        <v>604</v>
      </c>
      <c r="C250" s="5">
        <v>191</v>
      </c>
      <c r="D250" s="5">
        <v>191</v>
      </c>
      <c r="E250" s="5">
        <v>1</v>
      </c>
      <c r="F250" s="6">
        <v>43.183599999999998</v>
      </c>
      <c r="G250" s="5">
        <v>5.8974600000000004E-4</v>
      </c>
      <c r="H250" s="5">
        <v>43.183999999999997</v>
      </c>
      <c r="I250" s="5" t="s">
        <v>11</v>
      </c>
      <c r="J250" s="5">
        <v>1</v>
      </c>
      <c r="K250" s="5" t="s">
        <v>2</v>
      </c>
      <c r="L250" s="5" t="s">
        <v>2113</v>
      </c>
      <c r="M250" s="5" t="s">
        <v>2114</v>
      </c>
      <c r="N250" s="5" t="s">
        <v>2115</v>
      </c>
      <c r="O250" s="5">
        <v>13</v>
      </c>
      <c r="P250" s="6">
        <v>2592100</v>
      </c>
      <c r="Q250" s="5">
        <v>1193200</v>
      </c>
      <c r="R250" s="5">
        <v>1398900</v>
      </c>
      <c r="S250" s="5">
        <v>1.0771999999999999</v>
      </c>
      <c r="T250" s="5">
        <f>LOG(Table2[[#This Row],[ratio heavy to light normalized]],2)</f>
        <v>0.10728613495222238</v>
      </c>
      <c r="U250" s="5">
        <v>0.437253840605626</v>
      </c>
    </row>
    <row r="251" spans="1:21" ht="13.5" customHeight="1" x14ac:dyDescent="0.3">
      <c r="A251" s="5" t="s">
        <v>2322</v>
      </c>
      <c r="B251" s="5" t="s">
        <v>2323</v>
      </c>
      <c r="C251" s="5">
        <v>141</v>
      </c>
      <c r="D251" s="5">
        <v>141</v>
      </c>
      <c r="E251" s="5">
        <v>1</v>
      </c>
      <c r="F251" s="6">
        <v>30.427700000000002</v>
      </c>
      <c r="G251" s="5">
        <v>2.0219299999999999E-2</v>
      </c>
      <c r="H251" s="5">
        <v>30.428000000000001</v>
      </c>
      <c r="I251" s="5" t="s">
        <v>11</v>
      </c>
      <c r="J251" s="5">
        <v>1</v>
      </c>
      <c r="K251" s="5" t="s">
        <v>2</v>
      </c>
      <c r="L251" s="5" t="s">
        <v>2324</v>
      </c>
      <c r="M251" s="5" t="s">
        <v>2325</v>
      </c>
      <c r="N251" s="5" t="s">
        <v>2326</v>
      </c>
      <c r="O251" s="5">
        <v>7</v>
      </c>
      <c r="P251" s="6">
        <v>409640</v>
      </c>
      <c r="Q251" s="5">
        <v>215990</v>
      </c>
      <c r="R251" s="5">
        <v>193650</v>
      </c>
      <c r="S251" s="5">
        <v>1.0758000000000001</v>
      </c>
      <c r="T251" s="5">
        <f>LOG(Table2[[#This Row],[ratio heavy to light normalized]],2)</f>
        <v>0.10540989404008172</v>
      </c>
      <c r="U251" s="5">
        <v>0.49139941741084697</v>
      </c>
    </row>
    <row r="252" spans="1:21" ht="13.5" customHeight="1" x14ac:dyDescent="0.3">
      <c r="A252" s="5" t="s">
        <v>2330</v>
      </c>
      <c r="B252" s="5" t="s">
        <v>2331</v>
      </c>
      <c r="C252" s="5">
        <v>58</v>
      </c>
      <c r="D252" s="5">
        <v>58</v>
      </c>
      <c r="E252" s="5">
        <v>1</v>
      </c>
      <c r="F252" s="6">
        <v>73.886700000000005</v>
      </c>
      <c r="G252" s="7">
        <v>3.2037700000000001E-10</v>
      </c>
      <c r="H252" s="5">
        <v>73.887</v>
      </c>
      <c r="I252" s="5"/>
      <c r="J252" s="5">
        <v>1</v>
      </c>
      <c r="K252" s="5" t="s">
        <v>2</v>
      </c>
      <c r="L252" s="5" t="s">
        <v>2332</v>
      </c>
      <c r="M252" s="5" t="s">
        <v>2333</v>
      </c>
      <c r="N252" s="5" t="s">
        <v>2334</v>
      </c>
      <c r="O252" s="5">
        <v>10</v>
      </c>
      <c r="P252" s="6">
        <v>519170</v>
      </c>
      <c r="Q252" s="5">
        <v>245710</v>
      </c>
      <c r="R252" s="5">
        <v>273470</v>
      </c>
      <c r="S252" s="5">
        <v>1.0755999999999999</v>
      </c>
      <c r="T252" s="5">
        <f>LOG(Table2[[#This Row],[ratio heavy to light normalized]],2)</f>
        <v>0.10514166032342348</v>
      </c>
      <c r="U252" s="5">
        <v>0.49177876218854999</v>
      </c>
    </row>
    <row r="253" spans="1:21" ht="13.5" customHeight="1" x14ac:dyDescent="0.3">
      <c r="A253" s="5" t="s">
        <v>1126</v>
      </c>
      <c r="B253" s="5" t="s">
        <v>1127</v>
      </c>
      <c r="C253" s="5">
        <v>15</v>
      </c>
      <c r="D253" s="5">
        <v>15</v>
      </c>
      <c r="E253" s="5">
        <v>1</v>
      </c>
      <c r="F253" s="6">
        <v>33.796599999999998</v>
      </c>
      <c r="G253" s="5">
        <v>7.1909000000000001E-2</v>
      </c>
      <c r="H253" s="5">
        <v>33.796999999999997</v>
      </c>
      <c r="I253" s="5"/>
      <c r="J253" s="5">
        <v>1</v>
      </c>
      <c r="K253" s="5" t="s">
        <v>2</v>
      </c>
      <c r="L253" s="5" t="s">
        <v>1128</v>
      </c>
      <c r="M253" s="5" t="s">
        <v>1129</v>
      </c>
      <c r="N253" s="5" t="s">
        <v>1130</v>
      </c>
      <c r="O253" s="5">
        <v>5</v>
      </c>
      <c r="P253" s="6">
        <v>4029000</v>
      </c>
      <c r="Q253" s="5">
        <v>2123600</v>
      </c>
      <c r="R253" s="5">
        <v>1905300</v>
      </c>
      <c r="S253" s="5">
        <v>0.72270999999999996</v>
      </c>
      <c r="T253" s="5">
        <f>LOG(Table2[[#This Row],[ratio heavy to light normalized]],2)</f>
        <v>-0.46851123815645201</v>
      </c>
      <c r="U253" s="5">
        <v>0.20923400840459799</v>
      </c>
    </row>
    <row r="254" spans="1:21" ht="13.5" customHeight="1" x14ac:dyDescent="0.3">
      <c r="A254" s="5" t="s">
        <v>2144</v>
      </c>
      <c r="B254" s="5" t="s">
        <v>2145</v>
      </c>
      <c r="C254" s="5">
        <v>100</v>
      </c>
      <c r="D254" s="5">
        <v>100</v>
      </c>
      <c r="E254" s="5">
        <v>1</v>
      </c>
      <c r="F254" s="6">
        <v>74.119699999999995</v>
      </c>
      <c r="G254" s="7">
        <v>4.6002300000000001E-12</v>
      </c>
      <c r="H254" s="5">
        <v>74.12</v>
      </c>
      <c r="I254" s="5" t="s">
        <v>11</v>
      </c>
      <c r="J254" s="5">
        <v>1</v>
      </c>
      <c r="K254" s="5" t="s">
        <v>2</v>
      </c>
      <c r="L254" s="5" t="s">
        <v>2146</v>
      </c>
      <c r="M254" s="5" t="s">
        <v>2147</v>
      </c>
      <c r="N254" s="5" t="s">
        <v>2148</v>
      </c>
      <c r="O254" s="5">
        <v>14</v>
      </c>
      <c r="P254" s="6">
        <v>1476400</v>
      </c>
      <c r="Q254" s="5">
        <v>666910</v>
      </c>
      <c r="R254" s="5">
        <v>809450</v>
      </c>
      <c r="S254" s="5">
        <v>1.0750999999999999</v>
      </c>
      <c r="T254" s="5">
        <f>LOG(Table2[[#This Row],[ratio heavy to light normalized]],2)</f>
        <v>0.10447085776291738</v>
      </c>
      <c r="U254" s="5">
        <v>0.44298664919945302</v>
      </c>
    </row>
    <row r="255" spans="1:21" ht="13.5" customHeight="1" x14ac:dyDescent="0.3">
      <c r="A255" s="5" t="s">
        <v>1473</v>
      </c>
      <c r="B255" s="5" t="s">
        <v>1474</v>
      </c>
      <c r="C255" s="5">
        <v>300</v>
      </c>
      <c r="D255" s="5">
        <v>300</v>
      </c>
      <c r="E255" s="5">
        <v>1</v>
      </c>
      <c r="F255" s="6">
        <v>155.96899999999999</v>
      </c>
      <c r="G255" s="7">
        <v>8.0863800000000003E-56</v>
      </c>
      <c r="H255" s="5">
        <v>155.97</v>
      </c>
      <c r="I255" s="5" t="s">
        <v>11</v>
      </c>
      <c r="J255" s="5">
        <v>1</v>
      </c>
      <c r="K255" s="5" t="s">
        <v>2</v>
      </c>
      <c r="L255" s="5" t="s">
        <v>1813</v>
      </c>
      <c r="M255" s="5" t="s">
        <v>1814</v>
      </c>
      <c r="N255" s="5" t="s">
        <v>1815</v>
      </c>
      <c r="O255" s="5">
        <v>5</v>
      </c>
      <c r="P255" s="6">
        <v>177870000</v>
      </c>
      <c r="Q255" s="5">
        <v>78826000</v>
      </c>
      <c r="R255" s="5">
        <v>99041000</v>
      </c>
      <c r="S255" s="5">
        <v>1.0745</v>
      </c>
      <c r="T255" s="5">
        <f>LOG(Table2[[#This Row],[ratio heavy to light normalized]],2)</f>
        <v>0.10366548276569647</v>
      </c>
      <c r="U255" s="5">
        <v>0.36992880431373698</v>
      </c>
    </row>
    <row r="256" spans="1:21" ht="13.5" customHeight="1" x14ac:dyDescent="0.3">
      <c r="A256" s="5" t="s">
        <v>1998</v>
      </c>
      <c r="B256" s="5" t="s">
        <v>1999</v>
      </c>
      <c r="C256" s="5">
        <v>184</v>
      </c>
      <c r="D256" s="5">
        <v>184</v>
      </c>
      <c r="E256" s="5">
        <v>1</v>
      </c>
      <c r="F256" s="6">
        <v>95.428399999999996</v>
      </c>
      <c r="G256" s="7">
        <v>2.2392100000000001E-20</v>
      </c>
      <c r="H256" s="5">
        <v>95.427999999999997</v>
      </c>
      <c r="I256" s="5" t="s">
        <v>11</v>
      </c>
      <c r="J256" s="5">
        <v>1</v>
      </c>
      <c r="K256" s="5" t="s">
        <v>2</v>
      </c>
      <c r="L256" s="5" t="s">
        <v>2155</v>
      </c>
      <c r="M256" s="5" t="s">
        <v>2156</v>
      </c>
      <c r="N256" s="5" t="s">
        <v>2157</v>
      </c>
      <c r="O256" s="5">
        <v>8</v>
      </c>
      <c r="P256" s="6">
        <v>2145100</v>
      </c>
      <c r="Q256" s="5">
        <v>976390</v>
      </c>
      <c r="R256" s="5">
        <v>1168700</v>
      </c>
      <c r="S256" s="5">
        <v>1.0743</v>
      </c>
      <c r="T256" s="5">
        <f>LOG(Table2[[#This Row],[ratio heavy to light normalized]],2)</f>
        <v>0.10339692449223131</v>
      </c>
      <c r="U256" s="5">
        <v>0.44518479269779498</v>
      </c>
    </row>
    <row r="257" spans="1:21" ht="13.5" customHeight="1" x14ac:dyDescent="0.3">
      <c r="A257" s="5" t="s">
        <v>2346</v>
      </c>
      <c r="B257" s="5" t="s">
        <v>2347</v>
      </c>
      <c r="C257" s="5">
        <v>158</v>
      </c>
      <c r="D257" s="5">
        <v>158</v>
      </c>
      <c r="E257" s="5">
        <v>1</v>
      </c>
      <c r="F257" s="6">
        <v>77.379000000000005</v>
      </c>
      <c r="G257" s="7">
        <v>1.7070000000000001E-7</v>
      </c>
      <c r="H257" s="5">
        <v>77.379000000000005</v>
      </c>
      <c r="I257" s="5"/>
      <c r="J257" s="5">
        <v>1</v>
      </c>
      <c r="K257" s="5" t="s">
        <v>2</v>
      </c>
      <c r="L257" s="5" t="s">
        <v>2348</v>
      </c>
      <c r="M257" s="5" t="s">
        <v>2349</v>
      </c>
      <c r="N257" s="5" t="s">
        <v>2350</v>
      </c>
      <c r="O257" s="5">
        <v>4</v>
      </c>
      <c r="P257" s="6">
        <v>687910</v>
      </c>
      <c r="Q257" s="5">
        <v>327190</v>
      </c>
      <c r="R257" s="5">
        <v>360720</v>
      </c>
      <c r="S257" s="5">
        <v>1.0740000000000001</v>
      </c>
      <c r="T257" s="5">
        <f>LOG(Table2[[#This Row],[ratio heavy to light normalized]],2)</f>
        <v>0.10299399332332565</v>
      </c>
      <c r="U257" s="5">
        <v>0.49482172089203702</v>
      </c>
    </row>
    <row r="258" spans="1:21" ht="13.5" customHeight="1" x14ac:dyDescent="0.3">
      <c r="A258" s="5" t="s">
        <v>1827</v>
      </c>
      <c r="B258" s="5" t="s">
        <v>1828</v>
      </c>
      <c r="C258" s="5">
        <v>102</v>
      </c>
      <c r="D258" s="5">
        <v>102</v>
      </c>
      <c r="E258" s="5">
        <v>1</v>
      </c>
      <c r="F258" s="6">
        <v>47.081800000000001</v>
      </c>
      <c r="G258" s="7">
        <v>2.60909E-63</v>
      </c>
      <c r="H258" s="5">
        <v>141.97</v>
      </c>
      <c r="I258" s="5" t="s">
        <v>11</v>
      </c>
      <c r="J258" s="5">
        <v>1</v>
      </c>
      <c r="K258" s="5" t="s">
        <v>2</v>
      </c>
      <c r="L258" s="5" t="s">
        <v>1829</v>
      </c>
      <c r="M258" s="5" t="s">
        <v>1830</v>
      </c>
      <c r="N258" s="5" t="s">
        <v>1831</v>
      </c>
      <c r="O258" s="5">
        <v>2</v>
      </c>
      <c r="P258" s="6">
        <v>6745300</v>
      </c>
      <c r="Q258" s="5">
        <v>3014200</v>
      </c>
      <c r="R258" s="5">
        <v>3731100</v>
      </c>
      <c r="S258" s="5">
        <v>1.0736000000000001</v>
      </c>
      <c r="T258" s="5">
        <f>LOG(Table2[[#This Row],[ratio heavy to light normalized]],2)</f>
        <v>0.10245657665073429</v>
      </c>
      <c r="U258" s="5">
        <v>0.372813331231649</v>
      </c>
    </row>
    <row r="259" spans="1:21" ht="13.5" customHeight="1" x14ac:dyDescent="0.3">
      <c r="A259" s="5" t="s">
        <v>1835</v>
      </c>
      <c r="B259" s="5" t="s">
        <v>1836</v>
      </c>
      <c r="C259" s="5">
        <v>76</v>
      </c>
      <c r="D259" s="5">
        <v>76</v>
      </c>
      <c r="E259" s="5">
        <v>1</v>
      </c>
      <c r="F259" s="6">
        <v>42.210500000000003</v>
      </c>
      <c r="G259" s="7">
        <v>4.46184E-5</v>
      </c>
      <c r="H259" s="5">
        <v>69.671999999999997</v>
      </c>
      <c r="I259" s="5" t="s">
        <v>11</v>
      </c>
      <c r="J259" s="5">
        <v>1</v>
      </c>
      <c r="K259" s="5" t="s">
        <v>2</v>
      </c>
      <c r="L259" s="5" t="s">
        <v>1837</v>
      </c>
      <c r="M259" s="5" t="s">
        <v>1838</v>
      </c>
      <c r="N259" s="5" t="s">
        <v>1839</v>
      </c>
      <c r="O259" s="5">
        <v>6</v>
      </c>
      <c r="P259" s="6">
        <v>7297300</v>
      </c>
      <c r="Q259" s="5">
        <v>4168000</v>
      </c>
      <c r="R259" s="5">
        <v>3129400</v>
      </c>
      <c r="S259" s="5">
        <v>1.0724</v>
      </c>
      <c r="T259" s="5">
        <f>LOG(Table2[[#This Row],[ratio heavy to light normalized]],2)</f>
        <v>0.10084312443311183</v>
      </c>
      <c r="U259" s="5">
        <v>0.37668477023584801</v>
      </c>
    </row>
    <row r="260" spans="1:21" ht="13.5" customHeight="1" x14ac:dyDescent="0.3">
      <c r="A260" s="5" t="s">
        <v>25</v>
      </c>
      <c r="B260" s="5" t="s">
        <v>26</v>
      </c>
      <c r="C260" s="5">
        <v>586</v>
      </c>
      <c r="D260" s="5">
        <v>586</v>
      </c>
      <c r="E260" s="5">
        <v>1</v>
      </c>
      <c r="F260" s="6">
        <v>101.646</v>
      </c>
      <c r="G260" s="7">
        <v>7.4936299999999995E-15</v>
      </c>
      <c r="H260" s="5">
        <v>101.65</v>
      </c>
      <c r="I260" s="5"/>
      <c r="J260" s="5">
        <v>1</v>
      </c>
      <c r="K260" s="5" t="s">
        <v>2</v>
      </c>
      <c r="L260" s="5" t="s">
        <v>1843</v>
      </c>
      <c r="M260" s="5" t="s">
        <v>1844</v>
      </c>
      <c r="N260" s="5" t="s">
        <v>1845</v>
      </c>
      <c r="O260" s="5">
        <v>8</v>
      </c>
      <c r="P260" s="6">
        <v>14282000</v>
      </c>
      <c r="Q260" s="5">
        <v>6895700</v>
      </c>
      <c r="R260" s="5">
        <v>7386700</v>
      </c>
      <c r="S260" s="5">
        <v>1.0722</v>
      </c>
      <c r="T260" s="5">
        <f>LOG(Table2[[#This Row],[ratio heavy to light normalized]],2)</f>
        <v>0.10057404021319742</v>
      </c>
      <c r="U260" s="5">
        <v>0.37733283577606103</v>
      </c>
    </row>
    <row r="261" spans="1:21" ht="13.5" customHeight="1" x14ac:dyDescent="0.3">
      <c r="A261" s="5" t="s">
        <v>2178</v>
      </c>
      <c r="B261" s="5" t="s">
        <v>2179</v>
      </c>
      <c r="C261" s="5">
        <v>39</v>
      </c>
      <c r="D261" s="5">
        <v>39</v>
      </c>
      <c r="E261" s="5">
        <v>1</v>
      </c>
      <c r="F261" s="6">
        <v>82.482200000000006</v>
      </c>
      <c r="G261" s="7">
        <v>1.94511E-17</v>
      </c>
      <c r="H261" s="5">
        <v>82.481999999999999</v>
      </c>
      <c r="I261" s="5" t="s">
        <v>11</v>
      </c>
      <c r="J261" s="5">
        <v>1</v>
      </c>
      <c r="K261" s="5" t="s">
        <v>2</v>
      </c>
      <c r="L261" s="5" t="s">
        <v>2180</v>
      </c>
      <c r="M261" s="5" t="s">
        <v>2181</v>
      </c>
      <c r="N261" s="5" t="s">
        <v>2182</v>
      </c>
      <c r="O261" s="5">
        <v>12</v>
      </c>
      <c r="P261" s="6">
        <v>1589000</v>
      </c>
      <c r="Q261" s="5">
        <v>865040</v>
      </c>
      <c r="R261" s="5">
        <v>723910</v>
      </c>
      <c r="S261" s="5">
        <v>1.0720000000000001</v>
      </c>
      <c r="T261" s="5">
        <f>LOG(Table2[[#This Row],[ratio heavy to light normalized]],2)</f>
        <v>0.10030490579568548</v>
      </c>
      <c r="U261" s="5">
        <v>0.45154819301760002</v>
      </c>
    </row>
    <row r="262" spans="1:21" ht="13.5" customHeight="1" x14ac:dyDescent="0.3">
      <c r="A262" s="5" t="s">
        <v>1095</v>
      </c>
      <c r="B262" s="5" t="s">
        <v>1096</v>
      </c>
      <c r="C262" s="5">
        <v>23</v>
      </c>
      <c r="D262" s="5">
        <v>23</v>
      </c>
      <c r="E262" s="5">
        <v>1</v>
      </c>
      <c r="F262" s="6">
        <v>47.531700000000001</v>
      </c>
      <c r="G262" s="5">
        <v>3.56418E-4</v>
      </c>
      <c r="H262" s="5">
        <v>47.531999999999996</v>
      </c>
      <c r="I262" s="5" t="s">
        <v>11</v>
      </c>
      <c r="J262" s="5">
        <v>1</v>
      </c>
      <c r="K262" s="5" t="s">
        <v>2</v>
      </c>
      <c r="L262" s="5" t="s">
        <v>2369</v>
      </c>
      <c r="M262" s="5" t="s">
        <v>2370</v>
      </c>
      <c r="N262" s="5" t="s">
        <v>2371</v>
      </c>
      <c r="O262" s="5">
        <v>4</v>
      </c>
      <c r="P262" s="6">
        <v>948780</v>
      </c>
      <c r="Q262" s="5">
        <v>491580</v>
      </c>
      <c r="R262" s="5">
        <v>457200</v>
      </c>
      <c r="S262" s="5">
        <v>1.0720000000000001</v>
      </c>
      <c r="T262" s="5">
        <f>LOG(Table2[[#This Row],[ratio heavy to light normalized]],2)</f>
        <v>0.10030490579568548</v>
      </c>
      <c r="U262" s="5">
        <v>0.49864594346859897</v>
      </c>
    </row>
    <row r="263" spans="1:21" ht="13.5" customHeight="1" x14ac:dyDescent="0.3">
      <c r="A263" s="5" t="s">
        <v>758</v>
      </c>
      <c r="B263" s="5" t="s">
        <v>759</v>
      </c>
      <c r="C263" s="5">
        <v>134</v>
      </c>
      <c r="D263" s="5">
        <v>134</v>
      </c>
      <c r="E263" s="5">
        <v>1</v>
      </c>
      <c r="F263" s="6">
        <v>67.325500000000005</v>
      </c>
      <c r="G263" s="7">
        <v>1.3616499999999999E-9</v>
      </c>
      <c r="H263" s="5">
        <v>67.325999999999993</v>
      </c>
      <c r="I263" s="5"/>
      <c r="J263" s="5">
        <v>1</v>
      </c>
      <c r="K263" s="5" t="s">
        <v>2</v>
      </c>
      <c r="L263" s="5" t="s">
        <v>2192</v>
      </c>
      <c r="M263" s="5" t="s">
        <v>2193</v>
      </c>
      <c r="N263" s="5" t="s">
        <v>2194</v>
      </c>
      <c r="O263" s="5">
        <v>8</v>
      </c>
      <c r="P263" s="6">
        <v>1303400</v>
      </c>
      <c r="Q263" s="5">
        <v>605700</v>
      </c>
      <c r="R263" s="5">
        <v>697700</v>
      </c>
      <c r="S263" s="5">
        <v>1.071</v>
      </c>
      <c r="T263" s="5">
        <f>LOG(Table2[[#This Row],[ratio heavy to light normalized]],2)</f>
        <v>9.8958480088168779E-2</v>
      </c>
      <c r="U263" s="5">
        <v>0.45433514730790903</v>
      </c>
    </row>
    <row r="264" spans="1:21" ht="13.5" customHeight="1" x14ac:dyDescent="0.3">
      <c r="A264" s="5" t="s">
        <v>1900</v>
      </c>
      <c r="B264" s="5" t="s">
        <v>1901</v>
      </c>
      <c r="C264" s="5">
        <v>171</v>
      </c>
      <c r="D264" s="5">
        <v>171</v>
      </c>
      <c r="E264" s="5">
        <v>1</v>
      </c>
      <c r="F264" s="6">
        <v>70.808099999999996</v>
      </c>
      <c r="G264" s="7">
        <v>3.6517699999999998E-5</v>
      </c>
      <c r="H264" s="5">
        <v>70.808000000000007</v>
      </c>
      <c r="I264" s="5" t="s">
        <v>11</v>
      </c>
      <c r="J264" s="5">
        <v>1</v>
      </c>
      <c r="K264" s="5" t="s">
        <v>2</v>
      </c>
      <c r="L264" s="5" t="s">
        <v>1902</v>
      </c>
      <c r="M264" s="5" t="s">
        <v>1903</v>
      </c>
      <c r="N264" s="5" t="s">
        <v>1904</v>
      </c>
      <c r="O264" s="5">
        <v>9</v>
      </c>
      <c r="P264" s="6">
        <v>10053000</v>
      </c>
      <c r="Q264" s="5">
        <v>4457700</v>
      </c>
      <c r="R264" s="5">
        <v>5594900</v>
      </c>
      <c r="S264" s="5">
        <v>1.0690999999999999</v>
      </c>
      <c r="T264" s="5">
        <f>LOG(Table2[[#This Row],[ratio heavy to light normalized]],2)</f>
        <v>9.6396804187157126E-2</v>
      </c>
      <c r="U264" s="5">
        <v>0.38748130133598502</v>
      </c>
    </row>
    <row r="265" spans="1:21" ht="13.5" customHeight="1" x14ac:dyDescent="0.3">
      <c r="A265" s="5" t="s">
        <v>854</v>
      </c>
      <c r="B265" s="5" t="s">
        <v>855</v>
      </c>
      <c r="C265" s="5">
        <v>39</v>
      </c>
      <c r="D265" s="5">
        <v>39</v>
      </c>
      <c r="E265" s="5">
        <v>1</v>
      </c>
      <c r="F265" s="6">
        <v>74.759900000000002</v>
      </c>
      <c r="G265" s="7">
        <v>1.01219E-6</v>
      </c>
      <c r="H265" s="5">
        <v>74.760000000000005</v>
      </c>
      <c r="I265" s="5" t="s">
        <v>11</v>
      </c>
      <c r="J265" s="5">
        <v>1</v>
      </c>
      <c r="K265" s="5" t="s">
        <v>2</v>
      </c>
      <c r="L265" s="5" t="s">
        <v>1905</v>
      </c>
      <c r="M265" s="5" t="s">
        <v>1906</v>
      </c>
      <c r="N265" s="5" t="s">
        <v>1907</v>
      </c>
      <c r="O265" s="5">
        <v>8</v>
      </c>
      <c r="P265" s="6">
        <v>6145800</v>
      </c>
      <c r="Q265" s="5">
        <v>2998500</v>
      </c>
      <c r="R265" s="5">
        <v>3147300</v>
      </c>
      <c r="S265" s="5">
        <v>1.0689</v>
      </c>
      <c r="T265" s="5">
        <f>LOG(Table2[[#This Row],[ratio heavy to light normalized]],2)</f>
        <v>9.6126889305006138E-2</v>
      </c>
      <c r="U265" s="5">
        <v>0.38814272517287102</v>
      </c>
    </row>
    <row r="266" spans="1:21" ht="13.5" customHeight="1" x14ac:dyDescent="0.3">
      <c r="A266" s="5" t="s">
        <v>2408</v>
      </c>
      <c r="B266" s="5" t="s">
        <v>2409</v>
      </c>
      <c r="C266" s="5">
        <v>156</v>
      </c>
      <c r="D266" s="5">
        <v>156</v>
      </c>
      <c r="E266" s="5">
        <v>1</v>
      </c>
      <c r="F266" s="6">
        <v>43.5122</v>
      </c>
      <c r="G266" s="5">
        <v>2.04954E-2</v>
      </c>
      <c r="H266" s="5">
        <v>43.512</v>
      </c>
      <c r="I266" s="5"/>
      <c r="J266" s="5">
        <v>1</v>
      </c>
      <c r="K266" s="5" t="s">
        <v>2</v>
      </c>
      <c r="L266" s="5" t="s">
        <v>2410</v>
      </c>
      <c r="M266" s="5" t="s">
        <v>2411</v>
      </c>
      <c r="N266" s="5" t="s">
        <v>2412</v>
      </c>
      <c r="O266" s="5">
        <v>2</v>
      </c>
      <c r="P266" s="6">
        <v>970050</v>
      </c>
      <c r="Q266" s="5">
        <v>457990</v>
      </c>
      <c r="R266" s="5">
        <v>512070</v>
      </c>
      <c r="S266" s="5">
        <v>1.0664</v>
      </c>
      <c r="T266" s="5">
        <f>LOG(Table2[[#This Row],[ratio heavy to light normalized]],2)</f>
        <v>9.274868553952377E-2</v>
      </c>
      <c r="U266" s="5">
        <v>0.50947540172030403</v>
      </c>
    </row>
    <row r="267" spans="1:21" ht="13.5" customHeight="1" x14ac:dyDescent="0.3">
      <c r="A267" s="5" t="s">
        <v>1934</v>
      </c>
      <c r="B267" s="5" t="s">
        <v>1935</v>
      </c>
      <c r="C267" s="5">
        <v>118</v>
      </c>
      <c r="D267" s="5">
        <v>118</v>
      </c>
      <c r="E267" s="5">
        <v>1</v>
      </c>
      <c r="F267" s="6">
        <v>65.949299999999994</v>
      </c>
      <c r="G267" s="7">
        <v>8.3644500000000008E-12</v>
      </c>
      <c r="H267" s="5">
        <v>65.948999999999998</v>
      </c>
      <c r="I267" s="5"/>
      <c r="J267" s="5">
        <v>1</v>
      </c>
      <c r="K267" s="5" t="s">
        <v>2</v>
      </c>
      <c r="L267" s="5" t="s">
        <v>1936</v>
      </c>
      <c r="M267" s="5" t="s">
        <v>1937</v>
      </c>
      <c r="N267" s="5" t="s">
        <v>1938</v>
      </c>
      <c r="O267" s="5">
        <v>11</v>
      </c>
      <c r="P267" s="6">
        <v>38910000</v>
      </c>
      <c r="Q267" s="5">
        <v>19363000</v>
      </c>
      <c r="R267" s="5">
        <v>19547000</v>
      </c>
      <c r="S267" s="5">
        <v>1.0663</v>
      </c>
      <c r="T267" s="5">
        <f>LOG(Table2[[#This Row],[ratio heavy to light normalized]],2)</f>
        <v>9.2613392714283843E-2</v>
      </c>
      <c r="U267" s="5">
        <v>0.39681513291460901</v>
      </c>
    </row>
    <row r="268" spans="1:21" ht="13.5" customHeight="1" x14ac:dyDescent="0.3">
      <c r="A268" s="5" t="s">
        <v>1944</v>
      </c>
      <c r="B268" s="5" t="s">
        <v>1945</v>
      </c>
      <c r="C268" s="5">
        <v>80</v>
      </c>
      <c r="D268" s="5">
        <v>80</v>
      </c>
      <c r="E268" s="5">
        <v>1</v>
      </c>
      <c r="F268" s="6">
        <v>76.221500000000006</v>
      </c>
      <c r="G268" s="7">
        <v>1.2087299999999999E-6</v>
      </c>
      <c r="H268" s="5">
        <v>76.221000000000004</v>
      </c>
      <c r="I268" s="5"/>
      <c r="J268" s="5">
        <v>1</v>
      </c>
      <c r="K268" s="5" t="s">
        <v>2</v>
      </c>
      <c r="L268" s="5" t="s">
        <v>1946</v>
      </c>
      <c r="M268" s="5" t="s">
        <v>1947</v>
      </c>
      <c r="N268" s="5" t="s">
        <v>1948</v>
      </c>
      <c r="O268" s="5">
        <v>4</v>
      </c>
      <c r="P268" s="6">
        <v>7451600</v>
      </c>
      <c r="Q268" s="5">
        <v>3667600</v>
      </c>
      <c r="R268" s="5">
        <v>3784000</v>
      </c>
      <c r="S268" s="5">
        <v>1.0658000000000001</v>
      </c>
      <c r="T268" s="5">
        <f>LOG(Table2[[#This Row],[ratio heavy to light normalized]],2)</f>
        <v>9.1936738210585178E-2</v>
      </c>
      <c r="U268" s="5">
        <v>0.398498655709834</v>
      </c>
    </row>
    <row r="269" spans="1:21" ht="13.5" customHeight="1" x14ac:dyDescent="0.3">
      <c r="A269" s="5" t="s">
        <v>658</v>
      </c>
      <c r="B269" s="5" t="s">
        <v>659</v>
      </c>
      <c r="C269" s="5">
        <v>299</v>
      </c>
      <c r="D269" s="5">
        <v>299</v>
      </c>
      <c r="E269" s="5">
        <v>1</v>
      </c>
      <c r="F269" s="6">
        <v>33.685099999999998</v>
      </c>
      <c r="G269" s="5">
        <v>3.6547000000000003E-2</v>
      </c>
      <c r="H269" s="5">
        <v>33.685000000000002</v>
      </c>
      <c r="I269" s="5" t="s">
        <v>11</v>
      </c>
      <c r="J269" s="5">
        <v>1</v>
      </c>
      <c r="K269" s="5" t="s">
        <v>2</v>
      </c>
      <c r="L269" s="5" t="s">
        <v>2433</v>
      </c>
      <c r="M269" s="5" t="s">
        <v>2434</v>
      </c>
      <c r="N269" s="5" t="s">
        <v>2435</v>
      </c>
      <c r="O269" s="5">
        <v>13</v>
      </c>
      <c r="P269" s="6">
        <v>297710</v>
      </c>
      <c r="Q269" s="5">
        <v>191190</v>
      </c>
      <c r="R269" s="5">
        <v>106520</v>
      </c>
      <c r="S269" s="5">
        <v>1.0636000000000001</v>
      </c>
      <c r="T269" s="5">
        <f>LOG(Table2[[#This Row],[ratio heavy to light normalized]],2)</f>
        <v>8.8955682308218403E-2</v>
      </c>
      <c r="U269" s="5">
        <v>0.514957534430313</v>
      </c>
    </row>
    <row r="270" spans="1:21" ht="13.5" customHeight="1" x14ac:dyDescent="0.3">
      <c r="A270" s="5" t="s">
        <v>1998</v>
      </c>
      <c r="B270" s="5" t="s">
        <v>1999</v>
      </c>
      <c r="C270" s="5">
        <v>79</v>
      </c>
      <c r="D270" s="5">
        <v>79</v>
      </c>
      <c r="E270" s="5">
        <v>1</v>
      </c>
      <c r="F270" s="6">
        <v>23.336500000000001</v>
      </c>
      <c r="G270" s="7">
        <v>7.9088299999999998E-20</v>
      </c>
      <c r="H270" s="5">
        <v>89.540999999999997</v>
      </c>
      <c r="I270" s="5" t="s">
        <v>11</v>
      </c>
      <c r="J270" s="5">
        <v>1</v>
      </c>
      <c r="K270" s="5" t="s">
        <v>2</v>
      </c>
      <c r="L270" s="5" t="s">
        <v>2000</v>
      </c>
      <c r="M270" s="5" t="s">
        <v>2001</v>
      </c>
      <c r="N270" s="5" t="s">
        <v>2002</v>
      </c>
      <c r="O270" s="5">
        <v>8</v>
      </c>
      <c r="P270" s="6">
        <v>3265000</v>
      </c>
      <c r="Q270" s="5">
        <v>1725600</v>
      </c>
      <c r="R270" s="5">
        <v>1539400</v>
      </c>
      <c r="S270" s="5">
        <v>1.0630999999999999</v>
      </c>
      <c r="T270" s="5">
        <f>LOG(Table2[[#This Row],[ratio heavy to light normalized]],2)</f>
        <v>8.8277309680451901E-2</v>
      </c>
      <c r="U270" s="5">
        <v>0.40767764552449198</v>
      </c>
    </row>
    <row r="271" spans="1:21" ht="13.5" customHeight="1" x14ac:dyDescent="0.3">
      <c r="A271" s="5" t="s">
        <v>440</v>
      </c>
      <c r="B271" s="5" t="s">
        <v>441</v>
      </c>
      <c r="C271" s="5">
        <v>31</v>
      </c>
      <c r="D271" s="5">
        <v>31</v>
      </c>
      <c r="E271" s="5">
        <v>1</v>
      </c>
      <c r="F271" s="6">
        <v>46.480899999999998</v>
      </c>
      <c r="G271" s="5">
        <v>1.63229E-3</v>
      </c>
      <c r="H271" s="5">
        <v>46.481000000000002</v>
      </c>
      <c r="I271" s="5" t="s">
        <v>11</v>
      </c>
      <c r="J271" s="5">
        <v>1</v>
      </c>
      <c r="K271" s="5" t="s">
        <v>2</v>
      </c>
      <c r="L271" s="5" t="s">
        <v>2011</v>
      </c>
      <c r="M271" s="5" t="s">
        <v>2012</v>
      </c>
      <c r="N271" s="5" t="s">
        <v>2013</v>
      </c>
      <c r="O271" s="5">
        <v>4</v>
      </c>
      <c r="P271" s="6">
        <v>4526000</v>
      </c>
      <c r="Q271" s="5">
        <v>2198900</v>
      </c>
      <c r="R271" s="5">
        <v>2327100</v>
      </c>
      <c r="S271" s="5">
        <v>1.0626</v>
      </c>
      <c r="T271" s="5">
        <f>LOG(Table2[[#This Row],[ratio heavy to light normalized]],2)</f>
        <v>8.7598617923621017E-2</v>
      </c>
      <c r="U271" s="5">
        <v>0.40939376541564898</v>
      </c>
    </row>
    <row r="272" spans="1:21" ht="13.5" customHeight="1" x14ac:dyDescent="0.3">
      <c r="A272" s="5" t="s">
        <v>564</v>
      </c>
      <c r="B272" s="5" t="s">
        <v>565</v>
      </c>
      <c r="C272" s="5">
        <v>554</v>
      </c>
      <c r="D272" s="5">
        <v>554</v>
      </c>
      <c r="E272" s="5">
        <v>1</v>
      </c>
      <c r="F272" s="6">
        <v>28.805800000000001</v>
      </c>
      <c r="G272" s="7">
        <v>9.4764399999999995E-22</v>
      </c>
      <c r="H272" s="5">
        <v>118.28</v>
      </c>
      <c r="I272" s="5"/>
      <c r="J272" s="5">
        <v>1</v>
      </c>
      <c r="K272" s="5" t="s">
        <v>2</v>
      </c>
      <c r="L272" s="5" t="s">
        <v>2271</v>
      </c>
      <c r="M272" s="5" t="s">
        <v>2272</v>
      </c>
      <c r="N272" s="5" t="s">
        <v>2273</v>
      </c>
      <c r="O272" s="5">
        <v>10</v>
      </c>
      <c r="P272" s="6">
        <v>1911000</v>
      </c>
      <c r="Q272" s="5">
        <v>935390</v>
      </c>
      <c r="R272" s="5">
        <v>975630</v>
      </c>
      <c r="S272" s="5">
        <v>1.0615000000000001</v>
      </c>
      <c r="T272" s="5">
        <f>LOG(Table2[[#This Row],[ratio heavy to light normalized]],2)</f>
        <v>8.6104371243290789E-2</v>
      </c>
      <c r="U272" s="5">
        <v>0.481424610852836</v>
      </c>
    </row>
    <row r="273" spans="1:21" ht="13.5" customHeight="1" x14ac:dyDescent="0.3">
      <c r="A273" s="5" t="s">
        <v>1548</v>
      </c>
      <c r="B273" s="5" t="s">
        <v>1549</v>
      </c>
      <c r="C273" s="5">
        <v>128</v>
      </c>
      <c r="D273" s="5">
        <v>128</v>
      </c>
      <c r="E273" s="5">
        <v>1</v>
      </c>
      <c r="F273" s="6">
        <v>54.764299999999999</v>
      </c>
      <c r="G273" s="7">
        <v>2.0447000000000001E-23</v>
      </c>
      <c r="H273" s="5">
        <v>101.62</v>
      </c>
      <c r="I273" s="5"/>
      <c r="J273" s="5">
        <v>1</v>
      </c>
      <c r="K273" s="5" t="s">
        <v>2</v>
      </c>
      <c r="L273" s="5" t="s">
        <v>2046</v>
      </c>
      <c r="M273" s="5" t="s">
        <v>2047</v>
      </c>
      <c r="N273" s="5" t="s">
        <v>2048</v>
      </c>
      <c r="O273" s="5">
        <v>15</v>
      </c>
      <c r="P273" s="6">
        <v>8809500</v>
      </c>
      <c r="Q273" s="5">
        <v>4572000</v>
      </c>
      <c r="R273" s="5">
        <v>4237500</v>
      </c>
      <c r="S273" s="5">
        <v>1.0606</v>
      </c>
      <c r="T273" s="5">
        <f>LOG(Table2[[#This Row],[ratio heavy to light normalized]],2)</f>
        <v>8.4880653591296484E-2</v>
      </c>
      <c r="U273" s="5">
        <v>0.41630926898644299</v>
      </c>
    </row>
    <row r="274" spans="1:21" ht="13.5" customHeight="1" x14ac:dyDescent="0.3">
      <c r="A274" s="5" t="s">
        <v>323</v>
      </c>
      <c r="B274" s="5" t="s">
        <v>324</v>
      </c>
      <c r="C274" s="5">
        <v>558</v>
      </c>
      <c r="D274" s="5">
        <v>558</v>
      </c>
      <c r="E274" s="5">
        <v>1</v>
      </c>
      <c r="F274" s="6">
        <v>66.284899999999993</v>
      </c>
      <c r="G274" s="7">
        <v>1.07912E-8</v>
      </c>
      <c r="H274" s="5">
        <v>66.284999999999997</v>
      </c>
      <c r="I274" s="5" t="s">
        <v>11</v>
      </c>
      <c r="J274" s="5">
        <v>1</v>
      </c>
      <c r="K274" s="5" t="s">
        <v>2</v>
      </c>
      <c r="L274" s="5" t="s">
        <v>2282</v>
      </c>
      <c r="M274" s="5" t="s">
        <v>2283</v>
      </c>
      <c r="N274" s="5" t="s">
        <v>2284</v>
      </c>
      <c r="O274" s="5">
        <v>8</v>
      </c>
      <c r="P274" s="6">
        <v>1960700</v>
      </c>
      <c r="Q274" s="5">
        <v>1041500</v>
      </c>
      <c r="R274" s="5">
        <v>919260</v>
      </c>
      <c r="S274" s="5">
        <v>1.0606</v>
      </c>
      <c r="T274" s="5">
        <f>LOG(Table2[[#This Row],[ratio heavy to light normalized]],2)</f>
        <v>8.4880653591296484E-2</v>
      </c>
      <c r="U274" s="5">
        <v>0.48404859146165202</v>
      </c>
    </row>
    <row r="275" spans="1:21" ht="13.5" customHeight="1" x14ac:dyDescent="0.3">
      <c r="A275" s="5" t="s">
        <v>846</v>
      </c>
      <c r="B275" s="5" t="s">
        <v>847</v>
      </c>
      <c r="C275" s="5">
        <v>51</v>
      </c>
      <c r="D275" s="5">
        <v>51</v>
      </c>
      <c r="E275" s="5">
        <v>1</v>
      </c>
      <c r="F275" s="6">
        <v>71.691699999999997</v>
      </c>
      <c r="G275" s="7">
        <v>3.9737399999999997E-36</v>
      </c>
      <c r="H275" s="5">
        <v>120.14</v>
      </c>
      <c r="I275" s="5" t="s">
        <v>11</v>
      </c>
      <c r="J275" s="5">
        <v>1</v>
      </c>
      <c r="K275" s="5" t="s">
        <v>2</v>
      </c>
      <c r="L275" s="5" t="s">
        <v>2059</v>
      </c>
      <c r="M275" s="5" t="s">
        <v>2060</v>
      </c>
      <c r="N275" s="5" t="s">
        <v>2061</v>
      </c>
      <c r="O275" s="5">
        <v>9</v>
      </c>
      <c r="P275" s="6">
        <v>9946000</v>
      </c>
      <c r="Q275" s="5">
        <v>5043700</v>
      </c>
      <c r="R275" s="5">
        <v>4902300</v>
      </c>
      <c r="S275" s="5">
        <v>1.06</v>
      </c>
      <c r="T275" s="5">
        <f>LOG(Table2[[#This Row],[ratio heavy to light normalized]],2)</f>
        <v>8.4064264788474549E-2</v>
      </c>
      <c r="U275" s="5">
        <v>0.41839984983135198</v>
      </c>
    </row>
    <row r="276" spans="1:21" ht="13.5" customHeight="1" x14ac:dyDescent="0.3">
      <c r="A276" s="5" t="s">
        <v>2062</v>
      </c>
      <c r="B276" s="5" t="s">
        <v>2063</v>
      </c>
      <c r="C276" s="5">
        <v>76</v>
      </c>
      <c r="D276" s="5">
        <v>76</v>
      </c>
      <c r="E276" s="5">
        <v>0.99997499999999995</v>
      </c>
      <c r="F276" s="6">
        <v>46.083399999999997</v>
      </c>
      <c r="G276" s="7">
        <v>1.6829200000000001E-5</v>
      </c>
      <c r="H276" s="5">
        <v>73.930999999999997</v>
      </c>
      <c r="I276" s="5" t="s">
        <v>11</v>
      </c>
      <c r="J276" s="5">
        <v>1</v>
      </c>
      <c r="K276" s="5" t="s">
        <v>2</v>
      </c>
      <c r="L276" s="5" t="s">
        <v>2064</v>
      </c>
      <c r="M276" s="5" t="s">
        <v>2065</v>
      </c>
      <c r="N276" s="5" t="s">
        <v>2066</v>
      </c>
      <c r="O276" s="5">
        <v>12</v>
      </c>
      <c r="P276" s="6">
        <v>3198400</v>
      </c>
      <c r="Q276" s="5">
        <v>1501500</v>
      </c>
      <c r="R276" s="5">
        <v>1696900</v>
      </c>
      <c r="S276" s="5">
        <v>1.0598000000000001</v>
      </c>
      <c r="T276" s="5">
        <f>LOG(Table2[[#This Row],[ratio heavy to light normalized]],2)</f>
        <v>8.3792032493886462E-2</v>
      </c>
      <c r="U276" s="5">
        <v>0.41909834479460401</v>
      </c>
    </row>
    <row r="277" spans="1:21" ht="13.5" customHeight="1" x14ac:dyDescent="0.3">
      <c r="A277" s="5" t="s">
        <v>1929</v>
      </c>
      <c r="B277" s="5" t="s">
        <v>1930</v>
      </c>
      <c r="C277" s="5">
        <v>55</v>
      </c>
      <c r="D277" s="5">
        <v>55</v>
      </c>
      <c r="E277" s="5">
        <v>1</v>
      </c>
      <c r="F277" s="6">
        <v>50.107599999999998</v>
      </c>
      <c r="G277" s="7">
        <v>1.8233999999999999E-5</v>
      </c>
      <c r="H277" s="5">
        <v>63.726999999999997</v>
      </c>
      <c r="I277" s="5"/>
      <c r="J277" s="5">
        <v>1</v>
      </c>
      <c r="K277" s="5" t="s">
        <v>2</v>
      </c>
      <c r="L277" s="5" t="s">
        <v>2319</v>
      </c>
      <c r="M277" s="5" t="s">
        <v>2320</v>
      </c>
      <c r="N277" s="5" t="s">
        <v>2321</v>
      </c>
      <c r="O277" s="5">
        <v>6</v>
      </c>
      <c r="P277" s="6">
        <v>1791100</v>
      </c>
      <c r="Q277" s="5">
        <v>877510</v>
      </c>
      <c r="R277" s="5">
        <v>913570</v>
      </c>
      <c r="S277" s="5">
        <v>1.0581</v>
      </c>
      <c r="T277" s="5">
        <f>LOG(Table2[[#This Row],[ratio heavy to light normalized]],2)</f>
        <v>8.1475981597958602E-2</v>
      </c>
      <c r="U277" s="5">
        <v>0.49138976063565398</v>
      </c>
    </row>
    <row r="278" spans="1:21" ht="13.5" customHeight="1" x14ac:dyDescent="0.3">
      <c r="A278" s="5" t="s">
        <v>595</v>
      </c>
      <c r="B278" s="5" t="s">
        <v>596</v>
      </c>
      <c r="C278" s="5">
        <v>1247</v>
      </c>
      <c r="D278" s="5">
        <v>1247</v>
      </c>
      <c r="E278" s="5">
        <v>1</v>
      </c>
      <c r="F278" s="6">
        <v>29.743500000000001</v>
      </c>
      <c r="G278" s="5">
        <v>0.23966899999999999</v>
      </c>
      <c r="H278" s="5">
        <v>29.742999999999999</v>
      </c>
      <c r="I278" s="5" t="s">
        <v>11</v>
      </c>
      <c r="J278" s="5">
        <v>1</v>
      </c>
      <c r="K278" s="5" t="s">
        <v>2</v>
      </c>
      <c r="L278" s="5" t="s">
        <v>1241</v>
      </c>
      <c r="M278" s="5" t="s">
        <v>1242</v>
      </c>
      <c r="N278" s="5" t="s">
        <v>1243</v>
      </c>
      <c r="O278" s="5">
        <v>5</v>
      </c>
      <c r="P278" s="6">
        <v>152800</v>
      </c>
      <c r="Q278" s="5">
        <v>94713</v>
      </c>
      <c r="R278" s="5">
        <v>58089</v>
      </c>
      <c r="S278" s="5">
        <v>0.62887000000000004</v>
      </c>
      <c r="T278" s="5">
        <f>LOG(Table2[[#This Row],[ratio heavy to light normalized]],2)</f>
        <v>-0.66916628086576069</v>
      </c>
      <c r="U278" s="5">
        <v>0.23665427283219101</v>
      </c>
    </row>
    <row r="279" spans="1:21" ht="13.5" customHeight="1" x14ac:dyDescent="0.3">
      <c r="A279" s="5" t="s">
        <v>2335</v>
      </c>
      <c r="B279" s="5" t="s">
        <v>2336</v>
      </c>
      <c r="C279" s="5">
        <v>118</v>
      </c>
      <c r="D279" s="5">
        <v>118</v>
      </c>
      <c r="E279" s="5">
        <v>1</v>
      </c>
      <c r="F279" s="6">
        <v>40.066099999999999</v>
      </c>
      <c r="G279" s="5">
        <v>1.35744E-2</v>
      </c>
      <c r="H279" s="5">
        <v>40.066000000000003</v>
      </c>
      <c r="I279" s="5" t="s">
        <v>11</v>
      </c>
      <c r="J279" s="5">
        <v>1</v>
      </c>
      <c r="K279" s="5" t="s">
        <v>2</v>
      </c>
      <c r="L279" s="5" t="s">
        <v>2337</v>
      </c>
      <c r="M279" s="5" t="s">
        <v>2338</v>
      </c>
      <c r="N279" s="5" t="s">
        <v>2339</v>
      </c>
      <c r="O279" s="5">
        <v>6</v>
      </c>
      <c r="P279" s="6">
        <v>1606200</v>
      </c>
      <c r="Q279" s="5">
        <v>664440</v>
      </c>
      <c r="R279" s="5">
        <v>941740</v>
      </c>
      <c r="S279" s="5">
        <v>1.0576000000000001</v>
      </c>
      <c r="T279" s="5">
        <f>LOG(Table2[[#This Row],[ratio heavy to light normalized]],2)</f>
        <v>8.079408195824242E-2</v>
      </c>
      <c r="U279" s="5">
        <v>0.492867228873136</v>
      </c>
    </row>
    <row r="280" spans="1:21" ht="13.5" customHeight="1" x14ac:dyDescent="0.3">
      <c r="A280" s="5" t="s">
        <v>1090</v>
      </c>
      <c r="B280" s="5" t="s">
        <v>1091</v>
      </c>
      <c r="C280" s="5">
        <v>312</v>
      </c>
      <c r="D280" s="5">
        <v>312</v>
      </c>
      <c r="E280" s="5">
        <v>1</v>
      </c>
      <c r="F280" s="6">
        <v>59.862200000000001</v>
      </c>
      <c r="G280" s="7">
        <v>2.20546E-7</v>
      </c>
      <c r="H280" s="5">
        <v>59.862000000000002</v>
      </c>
      <c r="I280" s="5"/>
      <c r="J280" s="5">
        <v>1</v>
      </c>
      <c r="K280" s="5" t="s">
        <v>2</v>
      </c>
      <c r="L280" s="5" t="s">
        <v>2340</v>
      </c>
      <c r="M280" s="5" t="s">
        <v>2341</v>
      </c>
      <c r="N280" s="5" t="s">
        <v>2342</v>
      </c>
      <c r="O280" s="5">
        <v>8</v>
      </c>
      <c r="P280" s="6">
        <v>1842200</v>
      </c>
      <c r="Q280" s="5">
        <v>912200</v>
      </c>
      <c r="R280" s="5">
        <v>930010</v>
      </c>
      <c r="S280" s="5">
        <v>1.0572999999999999</v>
      </c>
      <c r="T280" s="5">
        <f>LOG(Table2[[#This Row],[ratio heavy to light normalized]],2)</f>
        <v>8.038478741460453E-2</v>
      </c>
      <c r="U280" s="5">
        <v>0.49375518709543798</v>
      </c>
    </row>
    <row r="281" spans="1:21" ht="13.5" customHeight="1" x14ac:dyDescent="0.3">
      <c r="A281" s="5" t="s">
        <v>623</v>
      </c>
      <c r="B281" s="5" t="s">
        <v>624</v>
      </c>
      <c r="C281" s="5">
        <v>48</v>
      </c>
      <c r="D281" s="5">
        <v>48</v>
      </c>
      <c r="E281" s="5">
        <v>1</v>
      </c>
      <c r="F281" s="6">
        <v>91.854600000000005</v>
      </c>
      <c r="G281" s="7">
        <v>3.2728999999999998E-11</v>
      </c>
      <c r="H281" s="5">
        <v>91.855000000000004</v>
      </c>
      <c r="I281" s="5" t="s">
        <v>11</v>
      </c>
      <c r="J281" s="5">
        <v>1</v>
      </c>
      <c r="K281" s="5" t="s">
        <v>2</v>
      </c>
      <c r="L281" s="5" t="s">
        <v>2343</v>
      </c>
      <c r="M281" s="5" t="s">
        <v>2344</v>
      </c>
      <c r="N281" s="5" t="s">
        <v>2345</v>
      </c>
      <c r="O281" s="5">
        <v>7</v>
      </c>
      <c r="P281" s="6">
        <v>2378400</v>
      </c>
      <c r="Q281" s="5">
        <v>1199700</v>
      </c>
      <c r="R281" s="5">
        <v>1178700</v>
      </c>
      <c r="S281" s="5">
        <v>1.0571999999999999</v>
      </c>
      <c r="T281" s="5">
        <f>LOG(Table2[[#This Row],[ratio heavy to light normalized]],2)</f>
        <v>8.0248330092120304E-2</v>
      </c>
      <c r="U281" s="5">
        <v>0.49405141936950098</v>
      </c>
    </row>
    <row r="282" spans="1:21" ht="13.5" customHeight="1" x14ac:dyDescent="0.3">
      <c r="A282" s="5" t="s">
        <v>536</v>
      </c>
      <c r="B282" s="5" t="s">
        <v>537</v>
      </c>
      <c r="C282" s="5">
        <v>118</v>
      </c>
      <c r="D282" s="5">
        <v>118</v>
      </c>
      <c r="E282" s="5">
        <v>1</v>
      </c>
      <c r="F282" s="6">
        <v>99.522300000000001</v>
      </c>
      <c r="G282" s="7">
        <v>4.74729E-17</v>
      </c>
      <c r="H282" s="5">
        <v>99.522000000000006</v>
      </c>
      <c r="I282" s="5" t="s">
        <v>11</v>
      </c>
      <c r="J282" s="5">
        <v>1</v>
      </c>
      <c r="K282" s="5" t="s">
        <v>2</v>
      </c>
      <c r="L282" s="5" t="s">
        <v>2351</v>
      </c>
      <c r="M282" s="5" t="s">
        <v>2352</v>
      </c>
      <c r="N282" s="5" t="s">
        <v>2353</v>
      </c>
      <c r="O282" s="5">
        <v>8</v>
      </c>
      <c r="P282" s="6">
        <v>1622900</v>
      </c>
      <c r="Q282" s="5">
        <v>835180</v>
      </c>
      <c r="R282" s="5">
        <v>787680</v>
      </c>
      <c r="S282" s="5">
        <v>1.0569</v>
      </c>
      <c r="T282" s="5">
        <f>LOG(Table2[[#This Row],[ratio heavy to light normalized]],2)</f>
        <v>7.9838880666670442E-2</v>
      </c>
      <c r="U282" s="5">
        <v>0.49494085475786298</v>
      </c>
    </row>
    <row r="283" spans="1:21" ht="13.5" customHeight="1" x14ac:dyDescent="0.3">
      <c r="A283" s="5" t="s">
        <v>1478</v>
      </c>
      <c r="B283" s="5" t="s">
        <v>1479</v>
      </c>
      <c r="C283" s="5">
        <v>9</v>
      </c>
      <c r="D283" s="5">
        <v>9</v>
      </c>
      <c r="E283" s="5">
        <v>1</v>
      </c>
      <c r="F283" s="6">
        <v>78.938900000000004</v>
      </c>
      <c r="G283" s="7">
        <v>4.6509100000000002E-7</v>
      </c>
      <c r="H283" s="5">
        <v>78.938999999999993</v>
      </c>
      <c r="I283" s="5" t="s">
        <v>11</v>
      </c>
      <c r="J283" s="5">
        <v>1</v>
      </c>
      <c r="K283" s="5" t="s">
        <v>2</v>
      </c>
      <c r="L283" s="5" t="s">
        <v>2357</v>
      </c>
      <c r="M283" s="5" t="s">
        <v>2358</v>
      </c>
      <c r="N283" s="5" t="s">
        <v>2359</v>
      </c>
      <c r="O283" s="5">
        <v>7</v>
      </c>
      <c r="P283" s="6">
        <v>1256900</v>
      </c>
      <c r="Q283" s="5">
        <v>691540</v>
      </c>
      <c r="R283" s="5">
        <v>565360</v>
      </c>
      <c r="S283" s="5">
        <v>1.0568</v>
      </c>
      <c r="T283" s="5">
        <f>LOG(Table2[[#This Row],[ratio heavy to light normalized]],2)</f>
        <v>7.9702371697378191E-2</v>
      </c>
      <c r="U283" s="5">
        <v>0.49523757940093399</v>
      </c>
    </row>
    <row r="284" spans="1:21" ht="13.5" customHeight="1" x14ac:dyDescent="0.3">
      <c r="A284" s="5" t="s">
        <v>1543</v>
      </c>
      <c r="B284" s="5" t="s">
        <v>1544</v>
      </c>
      <c r="C284" s="5">
        <v>113</v>
      </c>
      <c r="D284" s="5">
        <v>113</v>
      </c>
      <c r="E284" s="5">
        <v>1</v>
      </c>
      <c r="F284" s="6">
        <v>73.499499999999998</v>
      </c>
      <c r="G284" s="7">
        <v>1.73323E-5</v>
      </c>
      <c r="H284" s="5">
        <v>73.498999999999995</v>
      </c>
      <c r="I284" s="5" t="s">
        <v>11</v>
      </c>
      <c r="J284" s="5">
        <v>1</v>
      </c>
      <c r="K284" s="5" t="s">
        <v>2</v>
      </c>
      <c r="L284" s="5" t="s">
        <v>2513</v>
      </c>
      <c r="M284" s="5" t="s">
        <v>2514</v>
      </c>
      <c r="N284" s="5" t="s">
        <v>2515</v>
      </c>
      <c r="O284" s="5">
        <v>9</v>
      </c>
      <c r="P284" s="6">
        <v>564030</v>
      </c>
      <c r="Q284" s="5">
        <v>327800</v>
      </c>
      <c r="R284" s="5">
        <v>236230</v>
      </c>
      <c r="S284" s="5">
        <v>1.0565</v>
      </c>
      <c r="T284" s="5">
        <f>LOG(Table2[[#This Row],[ratio heavy to light normalized]],2)</f>
        <v>7.9292767272853545E-2</v>
      </c>
      <c r="U284" s="5">
        <v>0.52906083302998497</v>
      </c>
    </row>
    <row r="285" spans="1:21" ht="13.5" customHeight="1" x14ac:dyDescent="0.3">
      <c r="A285" s="5" t="s">
        <v>407</v>
      </c>
      <c r="B285" s="5" t="s">
        <v>408</v>
      </c>
      <c r="C285" s="5">
        <v>1215</v>
      </c>
      <c r="D285" s="5">
        <v>1215</v>
      </c>
      <c r="E285" s="5">
        <v>1</v>
      </c>
      <c r="F285" s="6">
        <v>31.827200000000001</v>
      </c>
      <c r="G285" s="7">
        <v>2.2894600000000002E-22</v>
      </c>
      <c r="H285" s="5">
        <v>99.531000000000006</v>
      </c>
      <c r="I285" s="5" t="s">
        <v>11</v>
      </c>
      <c r="J285" s="5">
        <v>1</v>
      </c>
      <c r="K285" s="5" t="s">
        <v>2</v>
      </c>
      <c r="L285" s="5" t="s">
        <v>2380</v>
      </c>
      <c r="M285" s="5" t="s">
        <v>2381</v>
      </c>
      <c r="N285" s="5" t="s">
        <v>2382</v>
      </c>
      <c r="O285" s="5">
        <v>4</v>
      </c>
      <c r="P285" s="6">
        <v>1897300</v>
      </c>
      <c r="Q285" s="5">
        <v>1039200</v>
      </c>
      <c r="R285" s="5">
        <v>858010</v>
      </c>
      <c r="S285" s="5">
        <v>1.0541</v>
      </c>
      <c r="T285" s="5">
        <f>LOG(Table2[[#This Row],[ratio heavy to light normalized]],2)</f>
        <v>7.6011738569641274E-2</v>
      </c>
      <c r="U285" s="5">
        <v>0.50329566100328305</v>
      </c>
    </row>
    <row r="286" spans="1:21" ht="13.5" customHeight="1" x14ac:dyDescent="0.3">
      <c r="A286" s="5" t="s">
        <v>1835</v>
      </c>
      <c r="B286" s="5" t="s">
        <v>2125</v>
      </c>
      <c r="C286" s="5">
        <v>150</v>
      </c>
      <c r="D286" s="5">
        <v>150</v>
      </c>
      <c r="E286" s="5">
        <v>1</v>
      </c>
      <c r="F286" s="6">
        <v>28.580300000000001</v>
      </c>
      <c r="G286" s="7">
        <v>2.2455200000000001E-70</v>
      </c>
      <c r="H286" s="5">
        <v>166.38</v>
      </c>
      <c r="I286" s="5" t="s">
        <v>11</v>
      </c>
      <c r="J286" s="5">
        <v>1</v>
      </c>
      <c r="K286" s="5" t="s">
        <v>2</v>
      </c>
      <c r="L286" s="5" t="s">
        <v>2126</v>
      </c>
      <c r="M286" s="5" t="s">
        <v>2127</v>
      </c>
      <c r="N286" s="5" t="s">
        <v>2128</v>
      </c>
      <c r="O286" s="5">
        <v>15</v>
      </c>
      <c r="P286" s="6">
        <v>36601000</v>
      </c>
      <c r="Q286" s="5">
        <v>16872000</v>
      </c>
      <c r="R286" s="5">
        <v>19730000</v>
      </c>
      <c r="S286" s="5">
        <v>1.0539000000000001</v>
      </c>
      <c r="T286" s="5">
        <f>LOG(Table2[[#This Row],[ratio heavy to light normalized]],2)</f>
        <v>7.5737982394078154E-2</v>
      </c>
      <c r="U286" s="5">
        <v>0.44007197347871602</v>
      </c>
    </row>
    <row r="287" spans="1:21" ht="13.5" customHeight="1" x14ac:dyDescent="0.3">
      <c r="A287" s="5" t="s">
        <v>2062</v>
      </c>
      <c r="B287" s="5" t="s">
        <v>2063</v>
      </c>
      <c r="C287" s="5">
        <v>31</v>
      </c>
      <c r="D287" s="5">
        <v>31</v>
      </c>
      <c r="E287" s="5">
        <v>1</v>
      </c>
      <c r="F287" s="6">
        <v>66.595500000000001</v>
      </c>
      <c r="G287" s="7">
        <v>6.6546399999999997E-5</v>
      </c>
      <c r="H287" s="5">
        <v>66.594999999999999</v>
      </c>
      <c r="I287" s="5" t="s">
        <v>11</v>
      </c>
      <c r="J287" s="5">
        <v>1</v>
      </c>
      <c r="K287" s="5" t="s">
        <v>2</v>
      </c>
      <c r="L287" s="5" t="s">
        <v>2391</v>
      </c>
      <c r="M287" s="5" t="s">
        <v>2392</v>
      </c>
      <c r="N287" s="5" t="s">
        <v>2393</v>
      </c>
      <c r="O287" s="5">
        <v>9</v>
      </c>
      <c r="P287" s="6">
        <v>2475100</v>
      </c>
      <c r="Q287" s="5">
        <v>1300900</v>
      </c>
      <c r="R287" s="5">
        <v>1174200</v>
      </c>
      <c r="S287" s="5">
        <v>1.0533999999999999</v>
      </c>
      <c r="T287" s="5">
        <f>LOG(Table2[[#This Row],[ratio heavy to light normalized]],2)</f>
        <v>7.5053364604507275E-2</v>
      </c>
      <c r="U287" s="5">
        <v>0.50539943223985995</v>
      </c>
    </row>
    <row r="288" spans="1:21" ht="13.5" customHeight="1" x14ac:dyDescent="0.3">
      <c r="A288" s="5" t="s">
        <v>2134</v>
      </c>
      <c r="B288" s="5" t="s">
        <v>2135</v>
      </c>
      <c r="C288" s="5">
        <v>545</v>
      </c>
      <c r="D288" s="5">
        <v>545</v>
      </c>
      <c r="E288" s="5">
        <v>1</v>
      </c>
      <c r="F288" s="6">
        <v>112.842</v>
      </c>
      <c r="G288" s="7">
        <v>1.0889E-19</v>
      </c>
      <c r="H288" s="5">
        <v>112.84</v>
      </c>
      <c r="I288" s="5" t="s">
        <v>11</v>
      </c>
      <c r="J288" s="5">
        <v>1</v>
      </c>
      <c r="K288" s="5" t="s">
        <v>2</v>
      </c>
      <c r="L288" s="5" t="s">
        <v>2136</v>
      </c>
      <c r="M288" s="5" t="s">
        <v>2137</v>
      </c>
      <c r="N288" s="5" t="s">
        <v>2138</v>
      </c>
      <c r="O288" s="5">
        <v>5</v>
      </c>
      <c r="P288" s="6">
        <v>6747000</v>
      </c>
      <c r="Q288" s="5">
        <v>3497400</v>
      </c>
      <c r="R288" s="5">
        <v>3249500</v>
      </c>
      <c r="S288" s="5">
        <v>1.0531999999999999</v>
      </c>
      <c r="T288" s="5">
        <f>LOG(Table2[[#This Row],[ratio heavy to light normalized]],2)</f>
        <v>7.4779426496613344E-2</v>
      </c>
      <c r="U288" s="5">
        <v>0.442607640484599</v>
      </c>
    </row>
    <row r="289" spans="1:21" ht="13.5" customHeight="1" x14ac:dyDescent="0.3">
      <c r="A289" s="5" t="s">
        <v>1283</v>
      </c>
      <c r="B289" s="5" t="s">
        <v>1284</v>
      </c>
      <c r="C289" s="5">
        <v>64</v>
      </c>
      <c r="D289" s="5">
        <v>64</v>
      </c>
      <c r="E289" s="5">
        <v>1</v>
      </c>
      <c r="F289" s="6">
        <v>27.339700000000001</v>
      </c>
      <c r="G289" s="5">
        <v>0.19658900000000001</v>
      </c>
      <c r="H289" s="5">
        <v>27.34</v>
      </c>
      <c r="I289" s="5"/>
      <c r="J289" s="5">
        <v>1</v>
      </c>
      <c r="K289" s="5" t="s">
        <v>2</v>
      </c>
      <c r="L289" s="5" t="s">
        <v>1285</v>
      </c>
      <c r="M289" s="5" t="s">
        <v>1286</v>
      </c>
      <c r="N289" s="5" t="s">
        <v>1287</v>
      </c>
      <c r="O289" s="5">
        <v>5</v>
      </c>
      <c r="P289" s="6">
        <v>332700</v>
      </c>
      <c r="Q289" s="5">
        <v>150630</v>
      </c>
      <c r="R289" s="5">
        <v>182070</v>
      </c>
      <c r="S289" s="5">
        <v>1.2468999999999999</v>
      </c>
      <c r="T289" s="5">
        <f>LOG(Table2[[#This Row],[ratio heavy to light normalized]],2)</f>
        <v>0.31834576726135871</v>
      </c>
      <c r="U289" s="5">
        <v>0.24352575710704399</v>
      </c>
    </row>
    <row r="290" spans="1:21" ht="13.5" customHeight="1" x14ac:dyDescent="0.3">
      <c r="A290" s="5" t="s">
        <v>96</v>
      </c>
      <c r="B290" s="5" t="s">
        <v>97</v>
      </c>
      <c r="C290" s="5">
        <v>111</v>
      </c>
      <c r="D290" s="5">
        <v>111</v>
      </c>
      <c r="E290" s="5">
        <v>1</v>
      </c>
      <c r="F290" s="6">
        <v>155.51</v>
      </c>
      <c r="G290" s="7">
        <v>6.19782E-50</v>
      </c>
      <c r="H290" s="5">
        <v>155.51</v>
      </c>
      <c r="I290" s="5" t="s">
        <v>11</v>
      </c>
      <c r="J290" s="5">
        <v>1</v>
      </c>
      <c r="K290" s="5" t="s">
        <v>2</v>
      </c>
      <c r="L290" s="5" t="s">
        <v>2424</v>
      </c>
      <c r="M290" s="5" t="s">
        <v>2425</v>
      </c>
      <c r="N290" s="5" t="s">
        <v>2426</v>
      </c>
      <c r="O290" s="5">
        <v>6</v>
      </c>
      <c r="P290" s="6">
        <v>1600400</v>
      </c>
      <c r="Q290" s="5">
        <v>812500</v>
      </c>
      <c r="R290" s="5">
        <v>787920</v>
      </c>
      <c r="S290" s="5">
        <v>1.0508999999999999</v>
      </c>
      <c r="T290" s="5">
        <f>LOG(Table2[[#This Row],[ratio heavy to light normalized]],2)</f>
        <v>7.162539397376963E-2</v>
      </c>
      <c r="U290" s="5">
        <v>0.51296207158684104</v>
      </c>
    </row>
    <row r="291" spans="1:21" ht="13.5" customHeight="1" x14ac:dyDescent="0.3">
      <c r="A291" s="5" t="s">
        <v>349</v>
      </c>
      <c r="B291" s="5" t="s">
        <v>350</v>
      </c>
      <c r="C291" s="5">
        <v>142</v>
      </c>
      <c r="D291" s="5">
        <v>142</v>
      </c>
      <c r="E291" s="5">
        <v>1</v>
      </c>
      <c r="F291" s="6">
        <v>58.6706</v>
      </c>
      <c r="G291" s="7">
        <v>1.03924E-7</v>
      </c>
      <c r="H291" s="5">
        <v>58.670999999999999</v>
      </c>
      <c r="I291" s="5"/>
      <c r="J291" s="5">
        <v>1</v>
      </c>
      <c r="K291" s="5" t="s">
        <v>2</v>
      </c>
      <c r="L291" s="5" t="s">
        <v>2577</v>
      </c>
      <c r="M291" s="5" t="s">
        <v>2578</v>
      </c>
      <c r="N291" s="5" t="s">
        <v>2579</v>
      </c>
      <c r="O291" s="5">
        <v>17</v>
      </c>
      <c r="P291" s="6">
        <v>694540</v>
      </c>
      <c r="Q291" s="5">
        <v>321630</v>
      </c>
      <c r="R291" s="5">
        <v>372910</v>
      </c>
      <c r="S291" s="5">
        <v>1.0494000000000001</v>
      </c>
      <c r="T291" s="5">
        <f>LOG(Table2[[#This Row],[ratio heavy to light normalized]],2)</f>
        <v>6.9564695093359566E-2</v>
      </c>
      <c r="U291" s="5">
        <v>0.54345511318242401</v>
      </c>
    </row>
    <row r="292" spans="1:21" ht="13.5" customHeight="1" x14ac:dyDescent="0.3">
      <c r="A292" s="5" t="s">
        <v>2086</v>
      </c>
      <c r="B292" s="5" t="s">
        <v>2087</v>
      </c>
      <c r="C292" s="5">
        <v>238</v>
      </c>
      <c r="D292" s="5">
        <v>238</v>
      </c>
      <c r="E292" s="5">
        <v>1</v>
      </c>
      <c r="F292" s="6">
        <v>69.122</v>
      </c>
      <c r="G292" s="7">
        <v>1.6369000000000001E-14</v>
      </c>
      <c r="H292" s="5">
        <v>69.122</v>
      </c>
      <c r="I292" s="5" t="s">
        <v>11</v>
      </c>
      <c r="J292" s="5">
        <v>1</v>
      </c>
      <c r="K292" s="5" t="s">
        <v>2</v>
      </c>
      <c r="L292" s="5" t="s">
        <v>2204</v>
      </c>
      <c r="M292" s="5" t="s">
        <v>2205</v>
      </c>
      <c r="N292" s="5" t="s">
        <v>2206</v>
      </c>
      <c r="O292" s="5">
        <v>11</v>
      </c>
      <c r="P292" s="6">
        <v>4024800</v>
      </c>
      <c r="Q292" s="5">
        <v>2166200</v>
      </c>
      <c r="R292" s="5">
        <v>1858600</v>
      </c>
      <c r="S292" s="5">
        <v>1.0481</v>
      </c>
      <c r="T292" s="5">
        <f>LOG(Table2[[#This Row],[ratio heavy to light normalized]],2)</f>
        <v>6.7776372048492753E-2</v>
      </c>
      <c r="U292" s="5">
        <v>0.46138445773286502</v>
      </c>
    </row>
    <row r="293" spans="1:21" ht="13.5" customHeight="1" x14ac:dyDescent="0.3">
      <c r="A293" s="5" t="s">
        <v>633</v>
      </c>
      <c r="B293" s="5" t="s">
        <v>634</v>
      </c>
      <c r="C293" s="5">
        <v>26</v>
      </c>
      <c r="D293" s="5">
        <v>26</v>
      </c>
      <c r="E293" s="5">
        <v>1</v>
      </c>
      <c r="F293" s="6">
        <v>127.52</v>
      </c>
      <c r="G293" s="7">
        <v>7.7742099999999995E-33</v>
      </c>
      <c r="H293" s="5">
        <v>127.52</v>
      </c>
      <c r="I293" s="5"/>
      <c r="J293" s="5">
        <v>1</v>
      </c>
      <c r="K293" s="5" t="s">
        <v>2</v>
      </c>
      <c r="L293" s="5" t="s">
        <v>2212</v>
      </c>
      <c r="M293" s="5" t="s">
        <v>2213</v>
      </c>
      <c r="N293" s="5" t="s">
        <v>2214</v>
      </c>
      <c r="O293" s="5">
        <v>11</v>
      </c>
      <c r="P293" s="6">
        <v>3116800</v>
      </c>
      <c r="Q293" s="5">
        <v>1571100</v>
      </c>
      <c r="R293" s="5">
        <v>1545700</v>
      </c>
      <c r="S293" s="5">
        <v>1.048</v>
      </c>
      <c r="T293" s="5">
        <f>LOG(Table2[[#This Row],[ratio heavy to light normalized]],2)</f>
        <v>6.7638716875363297E-2</v>
      </c>
      <c r="U293" s="5">
        <v>0.46175794907132001</v>
      </c>
    </row>
    <row r="294" spans="1:21" ht="13.5" customHeight="1" x14ac:dyDescent="0.3">
      <c r="A294" s="5" t="s">
        <v>2591</v>
      </c>
      <c r="B294" s="5" t="s">
        <v>2592</v>
      </c>
      <c r="C294" s="5">
        <v>629</v>
      </c>
      <c r="D294" s="5">
        <v>629</v>
      </c>
      <c r="E294" s="5">
        <v>1</v>
      </c>
      <c r="F294" s="6">
        <v>131.28399999999999</v>
      </c>
      <c r="G294" s="7">
        <v>6.7308900000000003E-35</v>
      </c>
      <c r="H294" s="5">
        <v>131.28</v>
      </c>
      <c r="I294" s="5" t="s">
        <v>11</v>
      </c>
      <c r="J294" s="5">
        <v>1</v>
      </c>
      <c r="K294" s="5" t="s">
        <v>2</v>
      </c>
      <c r="L294" s="5" t="s">
        <v>2593</v>
      </c>
      <c r="M294" s="5" t="s">
        <v>2594</v>
      </c>
      <c r="N294" s="5" t="s">
        <v>2595</v>
      </c>
      <c r="O294" s="5">
        <v>8</v>
      </c>
      <c r="P294" s="6">
        <v>887860</v>
      </c>
      <c r="Q294" s="5">
        <v>442620</v>
      </c>
      <c r="R294" s="5">
        <v>445240</v>
      </c>
      <c r="S294" s="5">
        <v>1.0475000000000001</v>
      </c>
      <c r="T294" s="5">
        <f>LOG(Table2[[#This Row],[ratio heavy to light normalized]],2)</f>
        <v>6.6950243924627034E-2</v>
      </c>
      <c r="U294" s="5">
        <v>0.54735659194985298</v>
      </c>
    </row>
    <row r="295" spans="1:21" ht="13.5" customHeight="1" x14ac:dyDescent="0.3">
      <c r="A295" s="5" t="s">
        <v>595</v>
      </c>
      <c r="B295" s="5" t="s">
        <v>596</v>
      </c>
      <c r="C295" s="5">
        <v>603</v>
      </c>
      <c r="D295" s="5">
        <v>603</v>
      </c>
      <c r="E295" s="5">
        <v>1</v>
      </c>
      <c r="F295" s="6">
        <v>162.358</v>
      </c>
      <c r="G295" s="7">
        <v>4.3082500000000002E-54</v>
      </c>
      <c r="H295" s="5">
        <v>162.36000000000001</v>
      </c>
      <c r="I295" s="5" t="s">
        <v>11</v>
      </c>
      <c r="J295" s="5">
        <v>1</v>
      </c>
      <c r="K295" s="5" t="s">
        <v>2</v>
      </c>
      <c r="L295" s="5" t="s">
        <v>2226</v>
      </c>
      <c r="M295" s="5" t="s">
        <v>2227</v>
      </c>
      <c r="N295" s="5" t="s">
        <v>2228</v>
      </c>
      <c r="O295" s="5">
        <v>4</v>
      </c>
      <c r="P295" s="6">
        <v>8727000</v>
      </c>
      <c r="Q295" s="5">
        <v>4278600</v>
      </c>
      <c r="R295" s="5">
        <v>4448400</v>
      </c>
      <c r="S295" s="5">
        <v>1.0463</v>
      </c>
      <c r="T295" s="5">
        <f>LOG(Table2[[#This Row],[ratio heavy to light normalized]],2)</f>
        <v>6.5296567127780952E-2</v>
      </c>
      <c r="U295" s="5">
        <v>0.46813857120996799</v>
      </c>
    </row>
    <row r="296" spans="1:21" ht="13.5" customHeight="1" x14ac:dyDescent="0.3">
      <c r="A296" s="5" t="s">
        <v>2495</v>
      </c>
      <c r="B296" s="5" t="s">
        <v>2496</v>
      </c>
      <c r="C296" s="5">
        <v>156</v>
      </c>
      <c r="D296" s="5">
        <v>156</v>
      </c>
      <c r="E296" s="5">
        <v>1</v>
      </c>
      <c r="F296" s="6">
        <v>116.372</v>
      </c>
      <c r="G296" s="7">
        <v>1.06099E-19</v>
      </c>
      <c r="H296" s="5">
        <v>116.37</v>
      </c>
      <c r="I296" s="5" t="s">
        <v>11</v>
      </c>
      <c r="J296" s="5">
        <v>1</v>
      </c>
      <c r="K296" s="5" t="s">
        <v>2</v>
      </c>
      <c r="L296" s="5" t="s">
        <v>2497</v>
      </c>
      <c r="M296" s="5" t="s">
        <v>2498</v>
      </c>
      <c r="N296" s="5" t="s">
        <v>2499</v>
      </c>
      <c r="O296" s="5">
        <v>1</v>
      </c>
      <c r="P296" s="6">
        <v>1250500</v>
      </c>
      <c r="Q296" s="5">
        <v>634330</v>
      </c>
      <c r="R296" s="5">
        <v>616220</v>
      </c>
      <c r="S296" s="5">
        <v>1.046</v>
      </c>
      <c r="T296" s="5">
        <f>LOG(Table2[[#This Row],[ratio heavy to light normalized]],2)</f>
        <v>6.4882851584854392E-2</v>
      </c>
      <c r="U296" s="5">
        <v>0.52800740178465</v>
      </c>
    </row>
    <row r="297" spans="1:21" ht="13.5" customHeight="1" x14ac:dyDescent="0.3">
      <c r="A297" s="5" t="s">
        <v>2500</v>
      </c>
      <c r="B297" s="5" t="s">
        <v>2501</v>
      </c>
      <c r="C297" s="5">
        <v>235</v>
      </c>
      <c r="D297" s="5">
        <v>235</v>
      </c>
      <c r="E297" s="5">
        <v>1</v>
      </c>
      <c r="F297" s="6">
        <v>80.238699999999994</v>
      </c>
      <c r="G297" s="7">
        <v>6.5451100000000003E-7</v>
      </c>
      <c r="H297" s="5">
        <v>80.239000000000004</v>
      </c>
      <c r="I297" s="5"/>
      <c r="J297" s="5">
        <v>1</v>
      </c>
      <c r="K297" s="5" t="s">
        <v>2</v>
      </c>
      <c r="L297" s="5" t="s">
        <v>2502</v>
      </c>
      <c r="M297" s="5" t="s">
        <v>2503</v>
      </c>
      <c r="N297" s="5" t="s">
        <v>2504</v>
      </c>
      <c r="O297" s="5">
        <v>5</v>
      </c>
      <c r="P297" s="6">
        <v>1013500</v>
      </c>
      <c r="Q297" s="5">
        <v>540550</v>
      </c>
      <c r="R297" s="5">
        <v>472910</v>
      </c>
      <c r="S297" s="5">
        <v>1.0459000000000001</v>
      </c>
      <c r="T297" s="5">
        <f>LOG(Table2[[#This Row],[ratio heavy to light normalized]],2)</f>
        <v>6.4744920035355105E-2</v>
      </c>
      <c r="U297" s="5">
        <v>0.52831751346429101</v>
      </c>
    </row>
    <row r="298" spans="1:21" ht="13.5" customHeight="1" x14ac:dyDescent="0.3">
      <c r="A298" s="5" t="s">
        <v>1316</v>
      </c>
      <c r="B298" s="5" t="s">
        <v>1317</v>
      </c>
      <c r="C298" s="5">
        <v>175</v>
      </c>
      <c r="D298" s="5">
        <v>175</v>
      </c>
      <c r="E298" s="5">
        <v>0.92242800000000003</v>
      </c>
      <c r="F298" s="6">
        <v>10.7522</v>
      </c>
      <c r="G298" s="5">
        <v>0.11728</v>
      </c>
      <c r="H298" s="5">
        <v>22.709</v>
      </c>
      <c r="I298" s="5" t="s">
        <v>11</v>
      </c>
      <c r="J298" s="5">
        <v>1</v>
      </c>
      <c r="K298" s="5" t="s">
        <v>2</v>
      </c>
      <c r="L298" s="5" t="s">
        <v>1318</v>
      </c>
      <c r="M298" s="5" t="s">
        <v>1319</v>
      </c>
      <c r="N298" s="5" t="s">
        <v>1320</v>
      </c>
      <c r="O298" s="5">
        <v>19</v>
      </c>
      <c r="P298" s="6">
        <v>1094900</v>
      </c>
      <c r="Q298" s="5">
        <v>657300</v>
      </c>
      <c r="R298" s="5">
        <v>437600</v>
      </c>
      <c r="S298" s="5">
        <v>0.67479999999999996</v>
      </c>
      <c r="T298" s="5">
        <f>LOG(Table2[[#This Row],[ratio heavy to light normalized]],2)</f>
        <v>-0.56746812126188384</v>
      </c>
      <c r="U298" s="5">
        <v>0.25129663359179599</v>
      </c>
    </row>
    <row r="299" spans="1:21" ht="13.5" customHeight="1" x14ac:dyDescent="0.3">
      <c r="A299" s="5" t="s">
        <v>2521</v>
      </c>
      <c r="B299" s="5" t="s">
        <v>2522</v>
      </c>
      <c r="C299" s="5">
        <v>283</v>
      </c>
      <c r="D299" s="5">
        <v>283</v>
      </c>
      <c r="E299" s="5">
        <v>1</v>
      </c>
      <c r="F299" s="6">
        <v>45.879199999999997</v>
      </c>
      <c r="G299" s="5">
        <v>2.01391E-2</v>
      </c>
      <c r="H299" s="5">
        <v>45.878999999999998</v>
      </c>
      <c r="I299" s="5" t="s">
        <v>11</v>
      </c>
      <c r="J299" s="5">
        <v>1</v>
      </c>
      <c r="K299" s="5" t="s">
        <v>2</v>
      </c>
      <c r="L299" s="5" t="s">
        <v>2523</v>
      </c>
      <c r="M299" s="5" t="s">
        <v>2524</v>
      </c>
      <c r="N299" s="5" t="s">
        <v>2525</v>
      </c>
      <c r="O299" s="5">
        <v>6</v>
      </c>
      <c r="P299" s="6">
        <v>1401300</v>
      </c>
      <c r="Q299" s="5">
        <v>733500</v>
      </c>
      <c r="R299" s="5">
        <v>667830</v>
      </c>
      <c r="S299" s="5">
        <v>1.0454000000000001</v>
      </c>
      <c r="T299" s="5">
        <f>LOG(Table2[[#This Row],[ratio heavy to light normalized]],2)</f>
        <v>6.4055064410443369E-2</v>
      </c>
      <c r="U299" s="5">
        <v>0.52986990786889698</v>
      </c>
    </row>
    <row r="300" spans="1:21" ht="13.5" customHeight="1" x14ac:dyDescent="0.3">
      <c r="A300" s="5" t="s">
        <v>1278</v>
      </c>
      <c r="B300" s="5" t="s">
        <v>1279</v>
      </c>
      <c r="C300" s="5">
        <v>511</v>
      </c>
      <c r="D300" s="5">
        <v>511</v>
      </c>
      <c r="E300" s="5">
        <v>1</v>
      </c>
      <c r="F300" s="6">
        <v>145.172</v>
      </c>
      <c r="G300" s="7">
        <v>3.24987E-42</v>
      </c>
      <c r="H300" s="5">
        <v>145.16999999999999</v>
      </c>
      <c r="I300" s="5" t="s">
        <v>11</v>
      </c>
      <c r="J300" s="5">
        <v>1</v>
      </c>
      <c r="K300" s="5" t="s">
        <v>2</v>
      </c>
      <c r="L300" s="5" t="s">
        <v>2234</v>
      </c>
      <c r="M300" s="5" t="s">
        <v>2235</v>
      </c>
      <c r="N300" s="5" t="s">
        <v>2236</v>
      </c>
      <c r="O300" s="5">
        <v>7</v>
      </c>
      <c r="P300" s="6">
        <v>4387800</v>
      </c>
      <c r="Q300" s="5">
        <v>2144700</v>
      </c>
      <c r="R300" s="5">
        <v>2243100</v>
      </c>
      <c r="S300" s="5">
        <v>1.0446</v>
      </c>
      <c r="T300" s="5">
        <f>LOG(Table2[[#This Row],[ratio heavy to light normalized]],2)</f>
        <v>6.2950608822807855E-2</v>
      </c>
      <c r="U300" s="5">
        <v>0.47457821860431298</v>
      </c>
    </row>
    <row r="301" spans="1:21" ht="13.5" customHeight="1" x14ac:dyDescent="0.3">
      <c r="A301" s="5" t="s">
        <v>2540</v>
      </c>
      <c r="B301" s="5" t="s">
        <v>2541</v>
      </c>
      <c r="C301" s="5">
        <v>25</v>
      </c>
      <c r="D301" s="5">
        <v>25</v>
      </c>
      <c r="E301" s="5">
        <v>1</v>
      </c>
      <c r="F301" s="6">
        <v>41.0916</v>
      </c>
      <c r="G301" s="7">
        <v>9.5984499999999995E-8</v>
      </c>
      <c r="H301" s="5">
        <v>70.412000000000006</v>
      </c>
      <c r="I301" s="5" t="s">
        <v>11</v>
      </c>
      <c r="J301" s="5">
        <v>1</v>
      </c>
      <c r="K301" s="5" t="s">
        <v>2</v>
      </c>
      <c r="L301" s="5" t="s">
        <v>2542</v>
      </c>
      <c r="M301" s="5" t="s">
        <v>2543</v>
      </c>
      <c r="N301" s="5" t="s">
        <v>2544</v>
      </c>
      <c r="O301" s="5">
        <v>11</v>
      </c>
      <c r="P301" s="6">
        <v>2007400</v>
      </c>
      <c r="Q301" s="5">
        <v>1053600</v>
      </c>
      <c r="R301" s="5">
        <v>953790</v>
      </c>
      <c r="S301" s="5">
        <v>1.0431999999999999</v>
      </c>
      <c r="T301" s="5">
        <f>LOG(Table2[[#This Row],[ratio heavy to light normalized]],2)</f>
        <v>6.1015774681628034E-2</v>
      </c>
      <c r="U301" s="5">
        <v>0.53673676770588696</v>
      </c>
    </row>
    <row r="302" spans="1:21" ht="13.5" customHeight="1" x14ac:dyDescent="0.3">
      <c r="A302" s="5" t="s">
        <v>1095</v>
      </c>
      <c r="B302" s="5" t="s">
        <v>1096</v>
      </c>
      <c r="C302" s="5">
        <v>434</v>
      </c>
      <c r="D302" s="5">
        <v>434</v>
      </c>
      <c r="E302" s="5">
        <v>1</v>
      </c>
      <c r="F302" s="6">
        <v>52.725299999999997</v>
      </c>
      <c r="G302" s="5">
        <v>1.0425E-2</v>
      </c>
      <c r="H302" s="5">
        <v>52.725000000000001</v>
      </c>
      <c r="I302" s="5"/>
      <c r="J302" s="5">
        <v>1</v>
      </c>
      <c r="K302" s="5" t="s">
        <v>2</v>
      </c>
      <c r="L302" s="5" t="s">
        <v>2556</v>
      </c>
      <c r="M302" s="5" t="s">
        <v>2557</v>
      </c>
      <c r="N302" s="5" t="s">
        <v>2558</v>
      </c>
      <c r="O302" s="5">
        <v>4</v>
      </c>
      <c r="P302" s="6">
        <v>1770400</v>
      </c>
      <c r="Q302" s="5">
        <v>814460</v>
      </c>
      <c r="R302" s="5">
        <v>955910</v>
      </c>
      <c r="S302" s="5">
        <v>1.0421</v>
      </c>
      <c r="T302" s="5">
        <f>LOG(Table2[[#This Row],[ratio heavy to light normalized]],2)</f>
        <v>5.9493725391671554E-2</v>
      </c>
      <c r="U302" s="5">
        <v>0.54019237076472904</v>
      </c>
    </row>
    <row r="303" spans="1:21" ht="13.5" customHeight="1" x14ac:dyDescent="0.3">
      <c r="A303" s="5" t="s">
        <v>2675</v>
      </c>
      <c r="B303" s="5" t="s">
        <v>2676</v>
      </c>
      <c r="C303" s="5">
        <v>141</v>
      </c>
      <c r="D303" s="5">
        <v>141</v>
      </c>
      <c r="E303" s="5">
        <v>1</v>
      </c>
      <c r="F303" s="6">
        <v>55.186100000000003</v>
      </c>
      <c r="G303" s="7">
        <v>4.2194599999999999E-7</v>
      </c>
      <c r="H303" s="5">
        <v>55.186</v>
      </c>
      <c r="I303" s="5"/>
      <c r="J303" s="5">
        <v>1</v>
      </c>
      <c r="K303" s="5" t="s">
        <v>2</v>
      </c>
      <c r="L303" s="5" t="s">
        <v>2677</v>
      </c>
      <c r="M303" s="5" t="s">
        <v>2678</v>
      </c>
      <c r="N303" s="5" t="s">
        <v>2679</v>
      </c>
      <c r="O303" s="5">
        <v>9</v>
      </c>
      <c r="P303" s="6">
        <v>445490</v>
      </c>
      <c r="Q303" s="5">
        <v>213470</v>
      </c>
      <c r="R303" s="5">
        <v>232020</v>
      </c>
      <c r="S303" s="5">
        <v>1.0421</v>
      </c>
      <c r="T303" s="5">
        <f>LOG(Table2[[#This Row],[ratio heavy to light normalized]],2)</f>
        <v>5.9493725391671554E-2</v>
      </c>
      <c r="U303" s="5">
        <v>0.55855930881179405</v>
      </c>
    </row>
    <row r="304" spans="1:21" ht="13.5" customHeight="1" x14ac:dyDescent="0.3">
      <c r="A304" s="5" t="s">
        <v>917</v>
      </c>
      <c r="B304" s="5" t="s">
        <v>918</v>
      </c>
      <c r="C304" s="5">
        <v>133</v>
      </c>
      <c r="D304" s="5">
        <v>133</v>
      </c>
      <c r="E304" s="5">
        <v>1</v>
      </c>
      <c r="F304" s="6">
        <v>93.257599999999996</v>
      </c>
      <c r="G304" s="7">
        <v>1.0873900000000001E-12</v>
      </c>
      <c r="H304" s="5">
        <v>93.257999999999996</v>
      </c>
      <c r="I304" s="5" t="s">
        <v>11</v>
      </c>
      <c r="J304" s="5">
        <v>1</v>
      </c>
      <c r="K304" s="5" t="s">
        <v>2</v>
      </c>
      <c r="L304" s="5" t="s">
        <v>2290</v>
      </c>
      <c r="M304" s="5" t="s">
        <v>2291</v>
      </c>
      <c r="N304" s="5" t="s">
        <v>2292</v>
      </c>
      <c r="O304" s="5">
        <v>7</v>
      </c>
      <c r="P304" s="6">
        <v>3100000</v>
      </c>
      <c r="Q304" s="5">
        <v>1665400</v>
      </c>
      <c r="R304" s="5">
        <v>1434600</v>
      </c>
      <c r="S304" s="5">
        <v>1.0418000000000001</v>
      </c>
      <c r="T304" s="5">
        <f>LOG(Table2[[#This Row],[ratio heavy to light normalized]],2)</f>
        <v>5.9078342201253034E-2</v>
      </c>
      <c r="U304" s="5">
        <v>0.48531318000461998</v>
      </c>
    </row>
    <row r="305" spans="1:21" ht="13.5" customHeight="1" x14ac:dyDescent="0.3">
      <c r="A305" s="5" t="s">
        <v>2293</v>
      </c>
      <c r="B305" s="5" t="s">
        <v>2294</v>
      </c>
      <c r="C305" s="5">
        <v>265</v>
      </c>
      <c r="D305" s="5">
        <v>265</v>
      </c>
      <c r="E305" s="5">
        <v>1</v>
      </c>
      <c r="F305" s="6">
        <v>116.884</v>
      </c>
      <c r="G305" s="7">
        <v>9.0460100000000003E-20</v>
      </c>
      <c r="H305" s="5">
        <v>116.88</v>
      </c>
      <c r="I305" s="5" t="s">
        <v>11</v>
      </c>
      <c r="J305" s="5">
        <v>1</v>
      </c>
      <c r="K305" s="5" t="s">
        <v>2</v>
      </c>
      <c r="L305" s="5" t="s">
        <v>2295</v>
      </c>
      <c r="M305" s="5" t="s">
        <v>2296</v>
      </c>
      <c r="N305" s="5" t="s">
        <v>2297</v>
      </c>
      <c r="O305" s="5">
        <v>7</v>
      </c>
      <c r="P305" s="6">
        <v>3947200</v>
      </c>
      <c r="Q305" s="5">
        <v>1881000</v>
      </c>
      <c r="R305" s="5">
        <v>2066100</v>
      </c>
      <c r="S305" s="5">
        <v>1.0416000000000001</v>
      </c>
      <c r="T305" s="5">
        <f>LOG(Table2[[#This Row],[ratio heavy to light normalized]],2)</f>
        <v>5.8801353616186228E-2</v>
      </c>
      <c r="U305" s="5">
        <v>0.48608607308907797</v>
      </c>
    </row>
    <row r="306" spans="1:21" ht="13.5" customHeight="1" x14ac:dyDescent="0.3">
      <c r="A306" s="5" t="s">
        <v>2285</v>
      </c>
      <c r="B306" s="5" t="s">
        <v>2286</v>
      </c>
      <c r="C306" s="5">
        <v>57</v>
      </c>
      <c r="D306" s="5">
        <v>57</v>
      </c>
      <c r="E306" s="5">
        <v>1</v>
      </c>
      <c r="F306" s="6">
        <v>51.066200000000002</v>
      </c>
      <c r="G306" s="5">
        <v>1.4530700000000001E-3</v>
      </c>
      <c r="H306" s="5">
        <v>51.066000000000003</v>
      </c>
      <c r="I306" s="5" t="s">
        <v>11</v>
      </c>
      <c r="J306" s="5">
        <v>1</v>
      </c>
      <c r="K306" s="5" t="s">
        <v>2</v>
      </c>
      <c r="L306" s="5" t="s">
        <v>2298</v>
      </c>
      <c r="M306" s="5" t="s">
        <v>2299</v>
      </c>
      <c r="N306" s="5" t="s">
        <v>2300</v>
      </c>
      <c r="O306" s="5">
        <v>2</v>
      </c>
      <c r="P306" s="6">
        <v>3947200</v>
      </c>
      <c r="Q306" s="5">
        <v>1881000</v>
      </c>
      <c r="R306" s="5">
        <v>2066100</v>
      </c>
      <c r="S306" s="5">
        <v>1.0416000000000001</v>
      </c>
      <c r="T306" s="5">
        <f>LOG(Table2[[#This Row],[ratio heavy to light normalized]],2)</f>
        <v>5.8801353616186228E-2</v>
      </c>
      <c r="U306" s="5">
        <v>0.48608607308907797</v>
      </c>
    </row>
    <row r="307" spans="1:21" ht="13.5" customHeight="1" x14ac:dyDescent="0.3">
      <c r="A307" s="5" t="s">
        <v>1355</v>
      </c>
      <c r="B307" s="5" t="s">
        <v>1356</v>
      </c>
      <c r="C307" s="5">
        <v>215</v>
      </c>
      <c r="D307" s="5">
        <v>215</v>
      </c>
      <c r="E307" s="5">
        <v>1</v>
      </c>
      <c r="F307" s="6">
        <v>17.4359</v>
      </c>
      <c r="G307" s="5">
        <v>1.6000799999999999</v>
      </c>
      <c r="H307" s="5">
        <v>17.436</v>
      </c>
      <c r="I307" s="5"/>
      <c r="J307" s="5">
        <v>1</v>
      </c>
      <c r="K307" s="5" t="s">
        <v>2</v>
      </c>
      <c r="L307" s="5" t="s">
        <v>1357</v>
      </c>
      <c r="M307" s="5" t="s">
        <v>1358</v>
      </c>
      <c r="N307" s="5" t="s">
        <v>1359</v>
      </c>
      <c r="O307" s="5">
        <v>5</v>
      </c>
      <c r="P307" s="6">
        <v>782290</v>
      </c>
      <c r="Q307" s="5">
        <v>505100</v>
      </c>
      <c r="R307" s="5">
        <v>277190</v>
      </c>
      <c r="S307" s="5">
        <v>0.63771999999999995</v>
      </c>
      <c r="T307" s="5">
        <f>LOG(Table2[[#This Row],[ratio heavy to light normalized]],2)</f>
        <v>-0.64900496757350334</v>
      </c>
      <c r="U307" s="5">
        <v>0.25745541244306602</v>
      </c>
    </row>
    <row r="308" spans="1:21" ht="13.5" customHeight="1" x14ac:dyDescent="0.3">
      <c r="A308" s="5" t="s">
        <v>1360</v>
      </c>
      <c r="B308" s="5" t="s">
        <v>1361</v>
      </c>
      <c r="C308" s="5">
        <v>501</v>
      </c>
      <c r="D308" s="5">
        <v>501</v>
      </c>
      <c r="E308" s="5">
        <v>1</v>
      </c>
      <c r="F308" s="6">
        <v>26.1463</v>
      </c>
      <c r="G308" s="5">
        <v>7.9369800000000004E-2</v>
      </c>
      <c r="H308" s="5">
        <v>26.146000000000001</v>
      </c>
      <c r="I308" s="5" t="s">
        <v>11</v>
      </c>
      <c r="J308" s="5">
        <v>1</v>
      </c>
      <c r="K308" s="5" t="s">
        <v>2</v>
      </c>
      <c r="L308" s="5" t="s">
        <v>1362</v>
      </c>
      <c r="M308" s="5" t="s">
        <v>1363</v>
      </c>
      <c r="N308" s="5" t="s">
        <v>1364</v>
      </c>
      <c r="O308" s="5">
        <v>13</v>
      </c>
      <c r="P308" s="6">
        <v>356590</v>
      </c>
      <c r="Q308" s="5">
        <v>134130</v>
      </c>
      <c r="R308" s="5">
        <v>222450</v>
      </c>
      <c r="S308" s="5">
        <v>1.2323999999999999</v>
      </c>
      <c r="T308" s="5">
        <f>LOG(Table2[[#This Row],[ratio heavy to light normalized]],2)</f>
        <v>0.30147058748990185</v>
      </c>
      <c r="U308" s="5">
        <v>0.259181765548264</v>
      </c>
    </row>
    <row r="309" spans="1:21" ht="13.5" customHeight="1" x14ac:dyDescent="0.3">
      <c r="A309" s="5" t="s">
        <v>2690</v>
      </c>
      <c r="B309" s="5" t="s">
        <v>2691</v>
      </c>
      <c r="C309" s="5">
        <v>405</v>
      </c>
      <c r="D309" s="5">
        <v>405</v>
      </c>
      <c r="E309" s="5">
        <v>1</v>
      </c>
      <c r="F309" s="6">
        <v>69.344300000000004</v>
      </c>
      <c r="G309" s="7">
        <v>5.3026299999999996E-7</v>
      </c>
      <c r="H309" s="5">
        <v>69.343999999999994</v>
      </c>
      <c r="I309" s="5"/>
      <c r="J309" s="5">
        <v>1</v>
      </c>
      <c r="K309" s="5" t="s">
        <v>2</v>
      </c>
      <c r="L309" s="5" t="s">
        <v>2692</v>
      </c>
      <c r="M309" s="5" t="s">
        <v>2693</v>
      </c>
      <c r="N309" s="5" t="s">
        <v>2694</v>
      </c>
      <c r="O309" s="5">
        <v>4</v>
      </c>
      <c r="P309" s="6">
        <v>621460</v>
      </c>
      <c r="Q309" s="5">
        <v>290860</v>
      </c>
      <c r="R309" s="5">
        <v>330590</v>
      </c>
      <c r="S309" s="5">
        <v>1.0415000000000001</v>
      </c>
      <c r="T309" s="5">
        <f>LOG(Table2[[#This Row],[ratio heavy to light normalized]],2)</f>
        <v>5.8662839378559886E-2</v>
      </c>
      <c r="U309" s="5">
        <v>0.55981450270278499</v>
      </c>
    </row>
    <row r="310" spans="1:21" ht="13.5" customHeight="1" x14ac:dyDescent="0.3">
      <c r="A310" s="5" t="s">
        <v>2301</v>
      </c>
      <c r="B310" s="5" t="s">
        <v>2302</v>
      </c>
      <c r="C310" s="5">
        <v>111</v>
      </c>
      <c r="D310" s="5">
        <v>111</v>
      </c>
      <c r="E310" s="5">
        <v>1</v>
      </c>
      <c r="F310" s="6">
        <v>168.22</v>
      </c>
      <c r="G310" s="7">
        <v>1.0778499999999999E-66</v>
      </c>
      <c r="H310" s="5">
        <v>168.22</v>
      </c>
      <c r="I310" s="5"/>
      <c r="J310" s="5">
        <v>1</v>
      </c>
      <c r="K310" s="5" t="s">
        <v>2</v>
      </c>
      <c r="L310" s="5" t="s">
        <v>2303</v>
      </c>
      <c r="M310" s="5" t="s">
        <v>2304</v>
      </c>
      <c r="N310" s="5" t="s">
        <v>2305</v>
      </c>
      <c r="O310" s="5">
        <v>9</v>
      </c>
      <c r="P310" s="6">
        <v>3478800</v>
      </c>
      <c r="Q310" s="5">
        <v>1757000</v>
      </c>
      <c r="R310" s="5">
        <v>1721900</v>
      </c>
      <c r="S310" s="5">
        <v>1.0414000000000001</v>
      </c>
      <c r="T310" s="5">
        <f>LOG(Table2[[#This Row],[ratio heavy to light normalized]],2)</f>
        <v>5.85243118408003E-2</v>
      </c>
      <c r="U310" s="5">
        <v>0.486859780024259</v>
      </c>
    </row>
    <row r="311" spans="1:21" ht="13.5" customHeight="1" x14ac:dyDescent="0.3">
      <c r="A311" s="5" t="s">
        <v>1058</v>
      </c>
      <c r="B311" s="5" t="s">
        <v>1059</v>
      </c>
      <c r="C311" s="5">
        <v>225</v>
      </c>
      <c r="D311" s="5">
        <v>225</v>
      </c>
      <c r="E311" s="5">
        <v>1</v>
      </c>
      <c r="F311" s="6">
        <v>52.789700000000003</v>
      </c>
      <c r="G311" s="5">
        <v>2.0900999999999999E-2</v>
      </c>
      <c r="H311" s="5">
        <v>52.79</v>
      </c>
      <c r="I311" s="5" t="s">
        <v>11</v>
      </c>
      <c r="J311" s="5">
        <v>1</v>
      </c>
      <c r="K311" s="5" t="s">
        <v>2</v>
      </c>
      <c r="L311" s="5" t="s">
        <v>2583</v>
      </c>
      <c r="M311" s="5" t="s">
        <v>2584</v>
      </c>
      <c r="N311" s="5" t="s">
        <v>2585</v>
      </c>
      <c r="O311" s="5">
        <v>9</v>
      </c>
      <c r="P311" s="6">
        <v>1853400</v>
      </c>
      <c r="Q311" s="5">
        <v>1082300</v>
      </c>
      <c r="R311" s="5">
        <v>771160</v>
      </c>
      <c r="S311" s="5">
        <v>1.0405</v>
      </c>
      <c r="T311" s="5">
        <f>LOG(Table2[[#This Row],[ratio heavy to light normalized]],2)</f>
        <v>5.7276965073247615E-2</v>
      </c>
      <c r="U311" s="5">
        <v>0.54524504850948796</v>
      </c>
    </row>
    <row r="312" spans="1:21" ht="13.5" customHeight="1" x14ac:dyDescent="0.3">
      <c r="A312" s="5" t="s">
        <v>638</v>
      </c>
      <c r="B312" s="5" t="s">
        <v>639</v>
      </c>
      <c r="C312" s="5">
        <v>431</v>
      </c>
      <c r="D312" s="5">
        <v>431</v>
      </c>
      <c r="E312" s="5">
        <v>1</v>
      </c>
      <c r="F312" s="6">
        <v>151.51</v>
      </c>
      <c r="G312" s="7">
        <v>3.8526200000000003E-42</v>
      </c>
      <c r="H312" s="5">
        <v>151.51</v>
      </c>
      <c r="I312" s="5" t="s">
        <v>11</v>
      </c>
      <c r="J312" s="5">
        <v>1</v>
      </c>
      <c r="K312" s="5" t="s">
        <v>2</v>
      </c>
      <c r="L312" s="5" t="s">
        <v>2316</v>
      </c>
      <c r="M312" s="5" t="s">
        <v>2317</v>
      </c>
      <c r="N312" s="5" t="s">
        <v>2318</v>
      </c>
      <c r="O312" s="5">
        <v>5</v>
      </c>
      <c r="P312" s="6">
        <v>3595300</v>
      </c>
      <c r="Q312" s="5">
        <v>1666200</v>
      </c>
      <c r="R312" s="5">
        <v>1929100</v>
      </c>
      <c r="S312" s="5">
        <v>1.0403</v>
      </c>
      <c r="T312" s="5">
        <f>LOG(Table2[[#This Row],[ratio heavy to light normalized]],2)</f>
        <v>5.6999630385563736E-2</v>
      </c>
      <c r="U312" s="5">
        <v>0.49112970806377998</v>
      </c>
    </row>
    <row r="313" spans="1:21" ht="13.5" customHeight="1" x14ac:dyDescent="0.3">
      <c r="A313" s="5" t="s">
        <v>643</v>
      </c>
      <c r="B313" s="5" t="s">
        <v>644</v>
      </c>
      <c r="C313" s="5">
        <v>24</v>
      </c>
      <c r="D313" s="5">
        <v>24</v>
      </c>
      <c r="E313" s="5">
        <v>1</v>
      </c>
      <c r="F313" s="6">
        <v>79.148200000000003</v>
      </c>
      <c r="G313" s="7">
        <v>9.2285799999999999E-7</v>
      </c>
      <c r="H313" s="5">
        <v>79.147999999999996</v>
      </c>
      <c r="I313" s="5" t="s">
        <v>11</v>
      </c>
      <c r="J313" s="5">
        <v>1</v>
      </c>
      <c r="K313" s="5" t="s">
        <v>2</v>
      </c>
      <c r="L313" s="5" t="s">
        <v>2354</v>
      </c>
      <c r="M313" s="5" t="s">
        <v>2355</v>
      </c>
      <c r="N313" s="5" t="s">
        <v>2356</v>
      </c>
      <c r="O313" s="5">
        <v>9</v>
      </c>
      <c r="P313" s="6">
        <v>2652000</v>
      </c>
      <c r="Q313" s="5">
        <v>1277200</v>
      </c>
      <c r="R313" s="5">
        <v>1374800</v>
      </c>
      <c r="S313" s="5">
        <v>1.0392999999999999</v>
      </c>
      <c r="T313" s="5">
        <f>LOG(Table2[[#This Row],[ratio heavy to light normalized]],2)</f>
        <v>5.5612156686692518E-2</v>
      </c>
      <c r="U313" s="5">
        <v>0.495032794882522</v>
      </c>
    </row>
    <row r="314" spans="1:21" ht="13.5" customHeight="1" x14ac:dyDescent="0.3">
      <c r="A314" s="5" t="s">
        <v>1386</v>
      </c>
      <c r="B314" s="5" t="s">
        <v>1387</v>
      </c>
      <c r="C314" s="5">
        <v>442</v>
      </c>
      <c r="D314" s="5">
        <v>442</v>
      </c>
      <c r="E314" s="5">
        <v>1</v>
      </c>
      <c r="F314" s="6">
        <v>16.963899999999999</v>
      </c>
      <c r="G314" s="5">
        <v>1.88974</v>
      </c>
      <c r="H314" s="5">
        <v>16.963999999999999</v>
      </c>
      <c r="I314" s="5"/>
      <c r="J314" s="5">
        <v>1</v>
      </c>
      <c r="K314" s="5" t="s">
        <v>2</v>
      </c>
      <c r="L314" s="5" t="s">
        <v>1388</v>
      </c>
      <c r="M314" s="5" t="s">
        <v>1389</v>
      </c>
      <c r="N314" s="5" t="s">
        <v>1390</v>
      </c>
      <c r="O314" s="5">
        <v>5</v>
      </c>
      <c r="P314" s="6">
        <v>226700</v>
      </c>
      <c r="Q314" s="5">
        <v>111480</v>
      </c>
      <c r="R314" s="5">
        <v>115230</v>
      </c>
      <c r="S314" s="5">
        <v>1.2283999999999999</v>
      </c>
      <c r="T314" s="5">
        <f>LOG(Table2[[#This Row],[ratio heavy to light normalized]],2)</f>
        <v>0.29678041742642508</v>
      </c>
      <c r="U314" s="5">
        <v>0.26365426095991601</v>
      </c>
    </row>
    <row r="315" spans="1:21" ht="13.5" customHeight="1" x14ac:dyDescent="0.3">
      <c r="A315" s="5" t="s">
        <v>595</v>
      </c>
      <c r="B315" s="5" t="s">
        <v>596</v>
      </c>
      <c r="C315" s="5">
        <v>1348</v>
      </c>
      <c r="D315" s="5">
        <v>1348</v>
      </c>
      <c r="E315" s="5">
        <v>1</v>
      </c>
      <c r="F315" s="6">
        <v>77.533299999999997</v>
      </c>
      <c r="G315" s="7">
        <v>5.4790200000000003E-7</v>
      </c>
      <c r="H315" s="5">
        <v>77.533000000000001</v>
      </c>
      <c r="I315" s="5" t="s">
        <v>11</v>
      </c>
      <c r="J315" s="5">
        <v>1</v>
      </c>
      <c r="K315" s="5" t="s">
        <v>2</v>
      </c>
      <c r="L315" s="5" t="s">
        <v>2613</v>
      </c>
      <c r="M315" s="5" t="s">
        <v>2614</v>
      </c>
      <c r="N315" s="5" t="s">
        <v>2615</v>
      </c>
      <c r="O315" s="5">
        <v>3</v>
      </c>
      <c r="P315" s="6">
        <v>2194600</v>
      </c>
      <c r="Q315" s="5">
        <v>1010700</v>
      </c>
      <c r="R315" s="5">
        <v>1183900</v>
      </c>
      <c r="S315" s="5">
        <v>1.0385</v>
      </c>
      <c r="T315" s="5">
        <f>LOG(Table2[[#This Row],[ratio heavy to light normalized]],2)</f>
        <v>5.4501216182560569E-2</v>
      </c>
      <c r="U315" s="5">
        <v>0.55160473208375205</v>
      </c>
    </row>
    <row r="316" spans="1:21" ht="13.5" customHeight="1" x14ac:dyDescent="0.3">
      <c r="A316" s="5" t="s">
        <v>1394</v>
      </c>
      <c r="B316" s="5" t="s">
        <v>1395</v>
      </c>
      <c r="C316" s="5">
        <v>10</v>
      </c>
      <c r="D316" s="5">
        <v>10</v>
      </c>
      <c r="E316" s="5">
        <v>1</v>
      </c>
      <c r="F316" s="6">
        <v>31.721800000000002</v>
      </c>
      <c r="G316" s="5">
        <v>7.3700199999999993E-2</v>
      </c>
      <c r="H316" s="5">
        <v>31.722000000000001</v>
      </c>
      <c r="I316" s="5"/>
      <c r="J316" s="5">
        <v>1</v>
      </c>
      <c r="K316" s="5" t="s">
        <v>2</v>
      </c>
      <c r="L316" s="5" t="s">
        <v>1396</v>
      </c>
      <c r="M316" s="5" t="s">
        <v>1397</v>
      </c>
      <c r="N316" s="5" t="s">
        <v>1398</v>
      </c>
      <c r="O316" s="5">
        <v>6</v>
      </c>
      <c r="P316" s="6">
        <v>846120</v>
      </c>
      <c r="Q316" s="5">
        <v>406860</v>
      </c>
      <c r="R316" s="5">
        <v>439260</v>
      </c>
      <c r="S316" s="5">
        <v>1.2266999999999999</v>
      </c>
      <c r="T316" s="5">
        <f>LOG(Table2[[#This Row],[ratio heavy to light normalized]],2)</f>
        <v>0.29478246869807234</v>
      </c>
      <c r="U316" s="5">
        <v>0.26557556170792501</v>
      </c>
    </row>
    <row r="317" spans="1:21" ht="13.5" customHeight="1" x14ac:dyDescent="0.3">
      <c r="A317" s="5" t="s">
        <v>2062</v>
      </c>
      <c r="B317" s="5" t="s">
        <v>2063</v>
      </c>
      <c r="C317" s="5">
        <v>22</v>
      </c>
      <c r="D317" s="5">
        <v>22</v>
      </c>
      <c r="E317" s="5">
        <v>1</v>
      </c>
      <c r="F317" s="6">
        <v>39.629100000000001</v>
      </c>
      <c r="G317" s="5">
        <v>3.0427100000000001E-3</v>
      </c>
      <c r="H317" s="5">
        <v>39.628999999999998</v>
      </c>
      <c r="I317" s="5" t="s">
        <v>11</v>
      </c>
      <c r="J317" s="5">
        <v>1</v>
      </c>
      <c r="K317" s="5" t="s">
        <v>2</v>
      </c>
      <c r="L317" s="5" t="s">
        <v>2718</v>
      </c>
      <c r="M317" s="5" t="s">
        <v>2719</v>
      </c>
      <c r="N317" s="5" t="s">
        <v>2720</v>
      </c>
      <c r="O317" s="5">
        <v>7</v>
      </c>
      <c r="P317" s="6">
        <v>220850</v>
      </c>
      <c r="Q317" s="5">
        <v>130730</v>
      </c>
      <c r="R317" s="5">
        <v>90125</v>
      </c>
      <c r="S317" s="5">
        <v>1.0383</v>
      </c>
      <c r="T317" s="5">
        <f>LOG(Table2[[#This Row],[ratio heavy to light normalized]],2)</f>
        <v>5.4223347337154434E-2</v>
      </c>
      <c r="U317" s="5">
        <v>0.56654418832835596</v>
      </c>
    </row>
    <row r="318" spans="1:21" ht="13.5" customHeight="1" x14ac:dyDescent="0.3">
      <c r="A318" s="5" t="s">
        <v>2099</v>
      </c>
      <c r="B318" s="5" t="s">
        <v>2100</v>
      </c>
      <c r="C318" s="5">
        <v>61</v>
      </c>
      <c r="D318" s="5">
        <v>61</v>
      </c>
      <c r="E318" s="5">
        <v>1</v>
      </c>
      <c r="F318" s="6">
        <v>53.994799999999998</v>
      </c>
      <c r="G318" s="7">
        <v>1.18179E-6</v>
      </c>
      <c r="H318" s="5">
        <v>53.994999999999997</v>
      </c>
      <c r="I318" s="5" t="s">
        <v>11</v>
      </c>
      <c r="J318" s="5">
        <v>1</v>
      </c>
      <c r="K318" s="5" t="s">
        <v>2</v>
      </c>
      <c r="L318" s="5" t="s">
        <v>2621</v>
      </c>
      <c r="M318" s="5" t="s">
        <v>2622</v>
      </c>
      <c r="N318" s="5" t="s">
        <v>2623</v>
      </c>
      <c r="O318" s="5">
        <v>14</v>
      </c>
      <c r="P318" s="6">
        <v>1200600</v>
      </c>
      <c r="Q318" s="5">
        <v>617160</v>
      </c>
      <c r="R318" s="5">
        <v>583400</v>
      </c>
      <c r="S318" s="5">
        <v>1.0382</v>
      </c>
      <c r="T318" s="5">
        <f>LOG(Table2[[#This Row],[ratio heavy to light normalized]],2)</f>
        <v>5.4084392842379168E-2</v>
      </c>
      <c r="U318" s="5">
        <v>0.55256287935864701</v>
      </c>
    </row>
    <row r="319" spans="1:21" ht="13.5" customHeight="1" x14ac:dyDescent="0.3">
      <c r="A319" s="5" t="s">
        <v>902</v>
      </c>
      <c r="B319" s="5" t="s">
        <v>903</v>
      </c>
      <c r="C319" s="5">
        <v>453</v>
      </c>
      <c r="D319" s="5">
        <v>453</v>
      </c>
      <c r="E319" s="5">
        <v>1</v>
      </c>
      <c r="F319" s="6">
        <v>27.861699999999999</v>
      </c>
      <c r="G319" s="5">
        <v>0.21315300000000001</v>
      </c>
      <c r="H319" s="5">
        <v>27.861999999999998</v>
      </c>
      <c r="I319" s="5" t="s">
        <v>11</v>
      </c>
      <c r="J319" s="5">
        <v>1</v>
      </c>
      <c r="K319" s="5" t="s">
        <v>2</v>
      </c>
      <c r="L319" s="5" t="s">
        <v>1407</v>
      </c>
      <c r="M319" s="5" t="s">
        <v>1408</v>
      </c>
      <c r="N319" s="5" t="s">
        <v>1409</v>
      </c>
      <c r="O319" s="5">
        <v>3</v>
      </c>
      <c r="P319" s="6">
        <v>377170</v>
      </c>
      <c r="Q319" s="5">
        <v>213800</v>
      </c>
      <c r="R319" s="5">
        <v>163370</v>
      </c>
      <c r="S319" s="5">
        <v>1.2242999999999999</v>
      </c>
      <c r="T319" s="5">
        <f>LOG(Table2[[#This Row],[ratio heavy to light normalized]],2)</f>
        <v>0.29195711642980726</v>
      </c>
      <c r="U319" s="5">
        <v>0.26830894719130799</v>
      </c>
    </row>
    <row r="320" spans="1:21" ht="13.5" customHeight="1" x14ac:dyDescent="0.3">
      <c r="A320" s="5" t="s">
        <v>440</v>
      </c>
      <c r="B320" s="5" t="s">
        <v>441</v>
      </c>
      <c r="C320" s="5">
        <v>306</v>
      </c>
      <c r="D320" s="5">
        <v>306</v>
      </c>
      <c r="E320" s="5">
        <v>1</v>
      </c>
      <c r="F320" s="6">
        <v>86.462800000000001</v>
      </c>
      <c r="G320" s="7">
        <v>4.6164099999999998E-10</v>
      </c>
      <c r="H320" s="5">
        <v>86.462999999999994</v>
      </c>
      <c r="I320" s="5" t="s">
        <v>11</v>
      </c>
      <c r="J320" s="5">
        <v>1</v>
      </c>
      <c r="K320" s="5" t="s">
        <v>2</v>
      </c>
      <c r="L320" s="5" t="s">
        <v>2624</v>
      </c>
      <c r="M320" s="5" t="s">
        <v>2625</v>
      </c>
      <c r="N320" s="5" t="s">
        <v>2626</v>
      </c>
      <c r="O320" s="5">
        <v>9</v>
      </c>
      <c r="P320" s="6">
        <v>1658100</v>
      </c>
      <c r="Q320" s="5">
        <v>854280</v>
      </c>
      <c r="R320" s="5">
        <v>803770</v>
      </c>
      <c r="S320" s="5">
        <v>1.0381</v>
      </c>
      <c r="T320" s="5">
        <f>LOG(Table2[[#This Row],[ratio heavy to light normalized]],2)</f>
        <v>5.3945424962785253E-2</v>
      </c>
      <c r="U320" s="5">
        <v>0.55288250472266298</v>
      </c>
    </row>
    <row r="321" spans="1:21" ht="13.5" customHeight="1" x14ac:dyDescent="0.3">
      <c r="A321" s="5" t="s">
        <v>2724</v>
      </c>
      <c r="B321" s="5" t="s">
        <v>2725</v>
      </c>
      <c r="C321" s="5">
        <v>72</v>
      </c>
      <c r="D321" s="5">
        <v>72</v>
      </c>
      <c r="E321" s="5">
        <v>1</v>
      </c>
      <c r="F321" s="6">
        <v>74.415199999999999</v>
      </c>
      <c r="G321" s="7">
        <v>2.6257699999999998E-7</v>
      </c>
      <c r="H321" s="5">
        <v>74.415000000000006</v>
      </c>
      <c r="I321" s="5" t="s">
        <v>11</v>
      </c>
      <c r="J321" s="5">
        <v>1</v>
      </c>
      <c r="K321" s="5" t="s">
        <v>2</v>
      </c>
      <c r="L321" s="5" t="s">
        <v>2726</v>
      </c>
      <c r="M321" s="5" t="s">
        <v>2727</v>
      </c>
      <c r="N321" s="5" t="s">
        <v>2728</v>
      </c>
      <c r="O321" s="5">
        <v>1</v>
      </c>
      <c r="P321" s="6">
        <v>878110</v>
      </c>
      <c r="Q321" s="5">
        <v>492960</v>
      </c>
      <c r="R321" s="5">
        <v>385150</v>
      </c>
      <c r="S321" s="5">
        <v>1.0381</v>
      </c>
      <c r="T321" s="5">
        <f>LOG(Table2[[#This Row],[ratio heavy to light normalized]],2)</f>
        <v>5.3945424962785253E-2</v>
      </c>
      <c r="U321" s="5">
        <v>0.56696676927400202</v>
      </c>
    </row>
    <row r="322" spans="1:21" ht="13.5" customHeight="1" x14ac:dyDescent="0.3">
      <c r="A322" s="5" t="s">
        <v>2640</v>
      </c>
      <c r="B322" s="5" t="s">
        <v>2641</v>
      </c>
      <c r="C322" s="5">
        <v>131</v>
      </c>
      <c r="D322" s="5">
        <v>131</v>
      </c>
      <c r="E322" s="5">
        <v>1</v>
      </c>
      <c r="F322" s="6">
        <v>30.427700000000002</v>
      </c>
      <c r="G322" s="5">
        <v>2.0219299999999999E-2</v>
      </c>
      <c r="H322" s="5">
        <v>30.428000000000001</v>
      </c>
      <c r="I322" s="5"/>
      <c r="J322" s="5">
        <v>1</v>
      </c>
      <c r="K322" s="5" t="s">
        <v>2</v>
      </c>
      <c r="L322" s="5" t="s">
        <v>2642</v>
      </c>
      <c r="M322" s="5" t="s">
        <v>2643</v>
      </c>
      <c r="N322" s="5" t="s">
        <v>2644</v>
      </c>
      <c r="O322" s="5">
        <v>12</v>
      </c>
      <c r="P322" s="6">
        <v>1246100</v>
      </c>
      <c r="Q322" s="5">
        <v>640400</v>
      </c>
      <c r="R322" s="5">
        <v>605660</v>
      </c>
      <c r="S322" s="5">
        <v>1.0377000000000001</v>
      </c>
      <c r="T322" s="5">
        <f>LOG(Table2[[#This Row],[ratio heavy to light normalized]],2)</f>
        <v>5.3389419544634928E-2</v>
      </c>
      <c r="U322" s="5">
        <v>0.55416222047039798</v>
      </c>
    </row>
    <row r="323" spans="1:21" ht="13.5" customHeight="1" x14ac:dyDescent="0.3">
      <c r="A323" s="5" t="s">
        <v>613</v>
      </c>
      <c r="B323" s="5" t="s">
        <v>614</v>
      </c>
      <c r="C323" s="5">
        <v>66</v>
      </c>
      <c r="D323" s="5">
        <v>66</v>
      </c>
      <c r="E323" s="5">
        <v>1</v>
      </c>
      <c r="F323" s="6">
        <v>112.506</v>
      </c>
      <c r="G323" s="7">
        <v>4.5362799999999998E-26</v>
      </c>
      <c r="H323" s="5">
        <v>112.51</v>
      </c>
      <c r="I323" s="5"/>
      <c r="J323" s="5">
        <v>1</v>
      </c>
      <c r="K323" s="5" t="s">
        <v>2</v>
      </c>
      <c r="L323" s="5" t="s">
        <v>2664</v>
      </c>
      <c r="M323" s="5" t="s">
        <v>2665</v>
      </c>
      <c r="N323" s="5" t="s">
        <v>2666</v>
      </c>
      <c r="O323" s="5">
        <v>11</v>
      </c>
      <c r="P323" s="6">
        <v>1837900</v>
      </c>
      <c r="Q323" s="5">
        <v>931070</v>
      </c>
      <c r="R323" s="5">
        <v>906830</v>
      </c>
      <c r="S323" s="5">
        <v>1.0367999999999999</v>
      </c>
      <c r="T323" s="5">
        <f>LOG(Table2[[#This Row],[ratio heavy to light normalized]],2)</f>
        <v>5.2137623335175257E-2</v>
      </c>
      <c r="U323" s="5">
        <v>0.55704868029463595</v>
      </c>
    </row>
    <row r="324" spans="1:21" ht="13.5" customHeight="1" x14ac:dyDescent="0.3">
      <c r="A324" s="5" t="s">
        <v>1428</v>
      </c>
      <c r="B324" s="5" t="s">
        <v>1429</v>
      </c>
      <c r="C324" s="5">
        <v>70</v>
      </c>
      <c r="D324" s="5">
        <v>70</v>
      </c>
      <c r="E324" s="5">
        <v>1</v>
      </c>
      <c r="F324" s="6">
        <v>17.473299999999998</v>
      </c>
      <c r="G324" s="5">
        <v>7.5066300000000002E-2</v>
      </c>
      <c r="H324" s="5">
        <v>36.683999999999997</v>
      </c>
      <c r="I324" s="5"/>
      <c r="J324" s="5">
        <v>1</v>
      </c>
      <c r="K324" s="5" t="s">
        <v>2</v>
      </c>
      <c r="L324" s="5" t="s">
        <v>1430</v>
      </c>
      <c r="M324" s="5" t="s">
        <v>1431</v>
      </c>
      <c r="N324" s="5" t="s">
        <v>1432</v>
      </c>
      <c r="O324" s="5">
        <v>2</v>
      </c>
      <c r="P324" s="6">
        <v>7721400</v>
      </c>
      <c r="Q324" s="5">
        <v>3645500</v>
      </c>
      <c r="R324" s="5">
        <v>4075900</v>
      </c>
      <c r="S324" s="5">
        <v>1.1079000000000001</v>
      </c>
      <c r="T324" s="5">
        <f>LOG(Table2[[#This Row],[ratio heavy to light normalized]],2)</f>
        <v>0.14782766837732045</v>
      </c>
      <c r="U324" s="5">
        <v>0.27415856562496699</v>
      </c>
    </row>
    <row r="325" spans="1:21" ht="13.5" customHeight="1" x14ac:dyDescent="0.3">
      <c r="A325" s="5" t="s">
        <v>902</v>
      </c>
      <c r="B325" s="5" t="s">
        <v>903</v>
      </c>
      <c r="C325" s="5">
        <v>759</v>
      </c>
      <c r="D325" s="5">
        <v>759</v>
      </c>
      <c r="E325" s="5">
        <v>1</v>
      </c>
      <c r="F325" s="6">
        <v>135.28100000000001</v>
      </c>
      <c r="G325" s="7">
        <v>1.5793999999999999E-53</v>
      </c>
      <c r="H325" s="5">
        <v>135.28</v>
      </c>
      <c r="I325" s="5" t="s">
        <v>11</v>
      </c>
      <c r="J325" s="5">
        <v>1</v>
      </c>
      <c r="K325" s="5" t="s">
        <v>2</v>
      </c>
      <c r="L325" s="5" t="s">
        <v>2421</v>
      </c>
      <c r="M325" s="5" t="s">
        <v>2422</v>
      </c>
      <c r="N325" s="5" t="s">
        <v>2423</v>
      </c>
      <c r="O325" s="5">
        <v>3</v>
      </c>
      <c r="P325" s="6">
        <v>3708500</v>
      </c>
      <c r="Q325" s="5">
        <v>1667300</v>
      </c>
      <c r="R325" s="5">
        <v>2041200</v>
      </c>
      <c r="S325" s="5">
        <v>1.0351999999999999</v>
      </c>
      <c r="T325" s="5">
        <f>LOG(Table2[[#This Row],[ratio heavy to light normalized]],2)</f>
        <v>4.9909522443057998E-2</v>
      </c>
      <c r="U325" s="5">
        <v>0.51124732271228801</v>
      </c>
    </row>
    <row r="326" spans="1:21" ht="13.5" customHeight="1" x14ac:dyDescent="0.3">
      <c r="A326" s="5" t="s">
        <v>25</v>
      </c>
      <c r="B326" s="5" t="s">
        <v>26</v>
      </c>
      <c r="C326" s="5">
        <v>484</v>
      </c>
      <c r="D326" s="5">
        <v>484</v>
      </c>
      <c r="E326" s="5">
        <v>1</v>
      </c>
      <c r="F326" s="6">
        <v>62.377299999999998</v>
      </c>
      <c r="G326" s="7">
        <v>2.3838500000000001E-23</v>
      </c>
      <c r="H326" s="5">
        <v>100.45</v>
      </c>
      <c r="I326" s="5" t="s">
        <v>11</v>
      </c>
      <c r="J326" s="5">
        <v>1</v>
      </c>
      <c r="K326" s="5" t="s">
        <v>2</v>
      </c>
      <c r="L326" s="5" t="s">
        <v>2427</v>
      </c>
      <c r="M326" s="5" t="s">
        <v>2428</v>
      </c>
      <c r="N326" s="5" t="s">
        <v>2429</v>
      </c>
      <c r="O326" s="5">
        <v>7</v>
      </c>
      <c r="P326" s="6">
        <v>13360000</v>
      </c>
      <c r="Q326" s="5">
        <v>6704700</v>
      </c>
      <c r="R326" s="5">
        <v>6655400</v>
      </c>
      <c r="S326" s="5">
        <v>1.0347</v>
      </c>
      <c r="T326" s="5">
        <f>LOG(Table2[[#This Row],[ratio heavy to light normalized]],2)</f>
        <v>4.9212534632560277E-2</v>
      </c>
      <c r="U326" s="5">
        <v>0.51324794715808897</v>
      </c>
    </row>
    <row r="327" spans="1:21" ht="13.5" customHeight="1" x14ac:dyDescent="0.3">
      <c r="A327" s="5" t="s">
        <v>2695</v>
      </c>
      <c r="B327" s="5" t="s">
        <v>2696</v>
      </c>
      <c r="C327" s="5">
        <v>149</v>
      </c>
      <c r="D327" s="5">
        <v>149</v>
      </c>
      <c r="E327" s="5">
        <v>0.99999800000000005</v>
      </c>
      <c r="F327" s="6">
        <v>57.647399999999998</v>
      </c>
      <c r="G327" s="7">
        <v>3.7744199999999999E-6</v>
      </c>
      <c r="H327" s="5">
        <v>63.305999999999997</v>
      </c>
      <c r="I327" s="5" t="s">
        <v>11</v>
      </c>
      <c r="J327" s="5">
        <v>1</v>
      </c>
      <c r="K327" s="5" t="s">
        <v>2</v>
      </c>
      <c r="L327" s="5" t="s">
        <v>2697</v>
      </c>
      <c r="M327" s="5" t="s">
        <v>2698</v>
      </c>
      <c r="N327" s="5" t="s">
        <v>2699</v>
      </c>
      <c r="O327" s="5">
        <v>6</v>
      </c>
      <c r="P327" s="6">
        <v>1079800</v>
      </c>
      <c r="Q327" s="5">
        <v>535590</v>
      </c>
      <c r="R327" s="5">
        <v>544190</v>
      </c>
      <c r="S327" s="5">
        <v>1.0347</v>
      </c>
      <c r="T327" s="5">
        <f>LOG(Table2[[#This Row],[ratio heavy to light normalized]],2)</f>
        <v>4.9212534632560277E-2</v>
      </c>
      <c r="U327" s="5">
        <v>0.56382192336322201</v>
      </c>
    </row>
    <row r="328" spans="1:21" ht="13.5" customHeight="1" x14ac:dyDescent="0.3">
      <c r="A328" s="5" t="s">
        <v>1644</v>
      </c>
      <c r="B328" s="5" t="s">
        <v>1645</v>
      </c>
      <c r="C328" s="5">
        <v>168</v>
      </c>
      <c r="D328" s="5">
        <v>168</v>
      </c>
      <c r="E328" s="5">
        <v>1</v>
      </c>
      <c r="F328" s="6">
        <v>61.764600000000002</v>
      </c>
      <c r="G328" s="5">
        <v>1.8840899999999999E-3</v>
      </c>
      <c r="H328" s="5">
        <v>61.765000000000001</v>
      </c>
      <c r="I328" s="5" t="s">
        <v>11</v>
      </c>
      <c r="J328" s="5">
        <v>1</v>
      </c>
      <c r="K328" s="5" t="s">
        <v>2</v>
      </c>
      <c r="L328" s="5" t="s">
        <v>2430</v>
      </c>
      <c r="M328" s="5" t="s">
        <v>2431</v>
      </c>
      <c r="N328" s="5" t="s">
        <v>2432</v>
      </c>
      <c r="O328" s="5">
        <v>3</v>
      </c>
      <c r="P328" s="6">
        <v>3019700</v>
      </c>
      <c r="Q328" s="5">
        <v>1327600</v>
      </c>
      <c r="R328" s="5">
        <v>1692100</v>
      </c>
      <c r="S328" s="5">
        <v>1.0344</v>
      </c>
      <c r="T328" s="5">
        <f>LOG(Table2[[#This Row],[ratio heavy to light normalized]],2)</f>
        <v>4.8794180260804912E-2</v>
      </c>
      <c r="U328" s="5">
        <v>0.51445074097796595</v>
      </c>
    </row>
    <row r="329" spans="1:21" ht="13.5" customHeight="1" x14ac:dyDescent="0.3">
      <c r="A329" s="5" t="s">
        <v>715</v>
      </c>
      <c r="B329" s="5" t="s">
        <v>716</v>
      </c>
      <c r="C329" s="5">
        <v>246</v>
      </c>
      <c r="D329" s="5">
        <v>246</v>
      </c>
      <c r="E329" s="5">
        <v>1</v>
      </c>
      <c r="F329" s="6">
        <v>38.027999999999999</v>
      </c>
      <c r="G329" s="7">
        <v>4.8929300000000002E-19</v>
      </c>
      <c r="H329" s="5">
        <v>84.248999999999995</v>
      </c>
      <c r="I329" s="5"/>
      <c r="J329" s="5">
        <v>1</v>
      </c>
      <c r="K329" s="5" t="s">
        <v>2</v>
      </c>
      <c r="L329" s="5" t="s">
        <v>2710</v>
      </c>
      <c r="M329" s="5" t="s">
        <v>2711</v>
      </c>
      <c r="N329" s="5" t="s">
        <v>2712</v>
      </c>
      <c r="O329" s="5">
        <v>12</v>
      </c>
      <c r="P329" s="6">
        <v>2224900</v>
      </c>
      <c r="Q329" s="5">
        <v>968530</v>
      </c>
      <c r="R329" s="5">
        <v>1256400</v>
      </c>
      <c r="S329" s="5">
        <v>1.0344</v>
      </c>
      <c r="T329" s="5">
        <f>LOG(Table2[[#This Row],[ratio heavy to light normalized]],2)</f>
        <v>4.8794180260804912E-2</v>
      </c>
      <c r="U329" s="5">
        <v>0.56479388519314999</v>
      </c>
    </row>
    <row r="330" spans="1:21" ht="13.5" customHeight="1" x14ac:dyDescent="0.3">
      <c r="A330" s="5" t="s">
        <v>407</v>
      </c>
      <c r="B330" s="5" t="s">
        <v>408</v>
      </c>
      <c r="C330" s="5">
        <v>919</v>
      </c>
      <c r="D330" s="5">
        <v>919</v>
      </c>
      <c r="E330" s="5">
        <v>1</v>
      </c>
      <c r="F330" s="6">
        <v>61.649900000000002</v>
      </c>
      <c r="G330" s="5">
        <v>2.2410899999999998E-3</v>
      </c>
      <c r="H330" s="5">
        <v>61.65</v>
      </c>
      <c r="I330" s="5" t="s">
        <v>11</v>
      </c>
      <c r="J330" s="5">
        <v>1</v>
      </c>
      <c r="K330" s="5" t="s">
        <v>2</v>
      </c>
      <c r="L330" s="5" t="s">
        <v>2780</v>
      </c>
      <c r="M330" s="5" t="s">
        <v>2781</v>
      </c>
      <c r="N330" s="5" t="s">
        <v>2782</v>
      </c>
      <c r="O330" s="5">
        <v>5</v>
      </c>
      <c r="P330" s="6">
        <v>636590</v>
      </c>
      <c r="Q330" s="5">
        <v>319100</v>
      </c>
      <c r="R330" s="5">
        <v>317480</v>
      </c>
      <c r="S330" s="5">
        <v>1.0334000000000001</v>
      </c>
      <c r="T330" s="5">
        <f>LOG(Table2[[#This Row],[ratio heavy to light normalized]],2)</f>
        <v>4.739878887541106E-2</v>
      </c>
      <c r="U330" s="5">
        <v>0.57696436017067798</v>
      </c>
    </row>
    <row r="331" spans="1:21" ht="13.5" customHeight="1" x14ac:dyDescent="0.3">
      <c r="A331" s="5" t="s">
        <v>846</v>
      </c>
      <c r="B331" s="5" t="s">
        <v>847</v>
      </c>
      <c r="C331" s="5">
        <v>430</v>
      </c>
      <c r="D331" s="5">
        <v>430</v>
      </c>
      <c r="E331" s="5">
        <v>1</v>
      </c>
      <c r="F331" s="6">
        <v>117.545</v>
      </c>
      <c r="G331" s="7">
        <v>4.5460399999999999E-62</v>
      </c>
      <c r="H331" s="5">
        <v>139.16999999999999</v>
      </c>
      <c r="I331" s="5"/>
      <c r="J331" s="5">
        <v>1</v>
      </c>
      <c r="K331" s="5" t="s">
        <v>2</v>
      </c>
      <c r="L331" s="5" t="s">
        <v>2444</v>
      </c>
      <c r="M331" s="5" t="s">
        <v>2445</v>
      </c>
      <c r="N331" s="5" t="s">
        <v>2446</v>
      </c>
      <c r="O331" s="5">
        <v>9</v>
      </c>
      <c r="P331" s="6">
        <v>10127000</v>
      </c>
      <c r="Q331" s="5">
        <v>4456000</v>
      </c>
      <c r="R331" s="5">
        <v>5671000</v>
      </c>
      <c r="S331" s="5">
        <v>1.0326</v>
      </c>
      <c r="T331" s="5">
        <f>LOG(Table2[[#This Row],[ratio heavy to light normalized]],2)</f>
        <v>4.6281503211910262E-2</v>
      </c>
      <c r="U331" s="5">
        <v>0.52170554838126604</v>
      </c>
    </row>
    <row r="332" spans="1:21" ht="13.5" customHeight="1" x14ac:dyDescent="0.3">
      <c r="A332" s="5" t="s">
        <v>308</v>
      </c>
      <c r="B332" s="5" t="s">
        <v>309</v>
      </c>
      <c r="C332" s="5">
        <v>145</v>
      </c>
      <c r="D332" s="5">
        <v>145</v>
      </c>
      <c r="E332" s="5">
        <v>1</v>
      </c>
      <c r="F332" s="6">
        <v>59.898099999999999</v>
      </c>
      <c r="G332" s="7">
        <v>2.3356100000000002E-5</v>
      </c>
      <c r="H332" s="5">
        <v>59.898000000000003</v>
      </c>
      <c r="I332" s="5" t="s">
        <v>11</v>
      </c>
      <c r="J332" s="5">
        <v>1</v>
      </c>
      <c r="K332" s="5" t="s">
        <v>2</v>
      </c>
      <c r="L332" s="5" t="s">
        <v>2468</v>
      </c>
      <c r="M332" s="5" t="s">
        <v>2469</v>
      </c>
      <c r="N332" s="5" t="s">
        <v>2470</v>
      </c>
      <c r="O332" s="5">
        <v>10</v>
      </c>
      <c r="P332" s="6">
        <v>5404600</v>
      </c>
      <c r="Q332" s="5">
        <v>2717200</v>
      </c>
      <c r="R332" s="5">
        <v>2687300</v>
      </c>
      <c r="S332" s="5">
        <v>1.0316000000000001</v>
      </c>
      <c r="T332" s="5">
        <f>LOG(Table2[[#This Row],[ratio heavy to light normalized]],2)</f>
        <v>4.4883678239764788E-2</v>
      </c>
      <c r="U332" s="5">
        <v>0.52576412499905201</v>
      </c>
    </row>
    <row r="333" spans="1:21" ht="13.5" customHeight="1" x14ac:dyDescent="0.3">
      <c r="A333" s="5" t="s">
        <v>233</v>
      </c>
      <c r="B333" s="5" t="s">
        <v>234</v>
      </c>
      <c r="C333" s="5">
        <v>444</v>
      </c>
      <c r="D333" s="5">
        <v>444</v>
      </c>
      <c r="E333" s="5">
        <v>1</v>
      </c>
      <c r="F333" s="6">
        <v>24.875699999999998</v>
      </c>
      <c r="G333" s="5">
        <v>0.55759599999999998</v>
      </c>
      <c r="H333" s="5">
        <v>24.876000000000001</v>
      </c>
      <c r="I333" s="5" t="s">
        <v>11</v>
      </c>
      <c r="J333" s="5">
        <v>1</v>
      </c>
      <c r="K333" s="5" t="s">
        <v>2</v>
      </c>
      <c r="L333" s="5" t="s">
        <v>1465</v>
      </c>
      <c r="M333" s="5" t="s">
        <v>1466</v>
      </c>
      <c r="N333" s="5" t="s">
        <v>1467</v>
      </c>
      <c r="O333" s="5">
        <v>5</v>
      </c>
      <c r="P333" s="6">
        <v>521770</v>
      </c>
      <c r="Q333" s="5">
        <v>268130</v>
      </c>
      <c r="R333" s="5">
        <v>253640</v>
      </c>
      <c r="S333" s="5">
        <v>1.2118</v>
      </c>
      <c r="T333" s="5">
        <f>LOG(Table2[[#This Row],[ratio heavy to light normalized]],2)</f>
        <v>0.27715161067749261</v>
      </c>
      <c r="U333" s="5">
        <v>0.28294801797088198</v>
      </c>
    </row>
    <row r="334" spans="1:21" ht="13.5" customHeight="1" x14ac:dyDescent="0.3">
      <c r="A334" s="5" t="s">
        <v>2760</v>
      </c>
      <c r="B334" s="5" t="s">
        <v>2761</v>
      </c>
      <c r="C334" s="5">
        <v>48</v>
      </c>
      <c r="D334" s="5">
        <v>48</v>
      </c>
      <c r="E334" s="5">
        <v>1</v>
      </c>
      <c r="F334" s="6">
        <v>102.661</v>
      </c>
      <c r="G334" s="7">
        <v>3.3073800000000001E-20</v>
      </c>
      <c r="H334" s="5">
        <v>102.66</v>
      </c>
      <c r="I334" s="5" t="s">
        <v>11</v>
      </c>
      <c r="J334" s="5">
        <v>1</v>
      </c>
      <c r="K334" s="5" t="s">
        <v>2</v>
      </c>
      <c r="L334" s="5" t="s">
        <v>2762</v>
      </c>
      <c r="M334" s="5" t="s">
        <v>2763</v>
      </c>
      <c r="N334" s="5" t="s">
        <v>2764</v>
      </c>
      <c r="O334" s="5">
        <v>4</v>
      </c>
      <c r="P334" s="6">
        <v>1307500</v>
      </c>
      <c r="Q334" s="5">
        <v>692200</v>
      </c>
      <c r="R334" s="5">
        <v>615290</v>
      </c>
      <c r="S334" s="5">
        <v>1.0315000000000001</v>
      </c>
      <c r="T334" s="5">
        <f>LOG(Table2[[#This Row],[ratio heavy to light normalized]],2)</f>
        <v>4.4743821224397753E-2</v>
      </c>
      <c r="U334" s="5">
        <v>0.574245509693598</v>
      </c>
    </row>
    <row r="335" spans="1:21" ht="13.5" customHeight="1" x14ac:dyDescent="0.3">
      <c r="A335" s="5" t="s">
        <v>805</v>
      </c>
      <c r="B335" s="5" t="s">
        <v>806</v>
      </c>
      <c r="C335" s="5">
        <v>290</v>
      </c>
      <c r="D335" s="5">
        <v>290</v>
      </c>
      <c r="E335" s="5">
        <v>1</v>
      </c>
      <c r="F335" s="6">
        <v>104.866</v>
      </c>
      <c r="G335" s="7">
        <v>7.4685200000000001E-20</v>
      </c>
      <c r="H335" s="5">
        <v>104.87</v>
      </c>
      <c r="I335" s="5" t="s">
        <v>11</v>
      </c>
      <c r="J335" s="5">
        <v>1</v>
      </c>
      <c r="K335" s="5" t="s">
        <v>2</v>
      </c>
      <c r="L335" s="5" t="s">
        <v>2471</v>
      </c>
      <c r="M335" s="5" t="s">
        <v>2472</v>
      </c>
      <c r="N335" s="5" t="s">
        <v>2473</v>
      </c>
      <c r="O335" s="5">
        <v>7</v>
      </c>
      <c r="P335" s="6">
        <v>4212200</v>
      </c>
      <c r="Q335" s="5">
        <v>2237500</v>
      </c>
      <c r="R335" s="5">
        <v>1974700</v>
      </c>
      <c r="S335" s="5">
        <v>1.0314000000000001</v>
      </c>
      <c r="T335" s="5">
        <f>LOG(Table2[[#This Row],[ratio heavy to light normalized]],2)</f>
        <v>4.4603950649767972E-2</v>
      </c>
      <c r="U335" s="5">
        <v>0.52657824670472897</v>
      </c>
    </row>
    <row r="336" spans="1:21" ht="13.5" customHeight="1" x14ac:dyDescent="0.3">
      <c r="A336" s="5" t="s">
        <v>1513</v>
      </c>
      <c r="B336" s="5" t="s">
        <v>1514</v>
      </c>
      <c r="C336" s="5">
        <v>528</v>
      </c>
      <c r="D336" s="5">
        <v>528</v>
      </c>
      <c r="E336" s="5">
        <v>1</v>
      </c>
      <c r="F336" s="6">
        <v>79.804900000000004</v>
      </c>
      <c r="G336" s="7">
        <v>2.11893E-63</v>
      </c>
      <c r="H336" s="5">
        <v>144.05000000000001</v>
      </c>
      <c r="I336" s="5"/>
      <c r="J336" s="5">
        <v>1</v>
      </c>
      <c r="K336" s="5" t="s">
        <v>2</v>
      </c>
      <c r="L336" s="5" t="s">
        <v>2474</v>
      </c>
      <c r="M336" s="5" t="s">
        <v>2475</v>
      </c>
      <c r="N336" s="5" t="s">
        <v>2476</v>
      </c>
      <c r="O336" s="5">
        <v>11</v>
      </c>
      <c r="P336" s="6">
        <v>3520700</v>
      </c>
      <c r="Q336" s="5">
        <v>1755200</v>
      </c>
      <c r="R336" s="5">
        <v>1765500</v>
      </c>
      <c r="S336" s="5">
        <v>1.0314000000000001</v>
      </c>
      <c r="T336" s="5">
        <f>LOG(Table2[[#This Row],[ratio heavy to light normalized]],2)</f>
        <v>4.4603950649767972E-2</v>
      </c>
      <c r="U336" s="5">
        <v>0.52657824670472897</v>
      </c>
    </row>
    <row r="337" spans="1:21" ht="13.5" customHeight="1" x14ac:dyDescent="0.3">
      <c r="A337" s="5" t="s">
        <v>536</v>
      </c>
      <c r="B337" s="5" t="s">
        <v>537</v>
      </c>
      <c r="C337" s="5">
        <v>72</v>
      </c>
      <c r="D337" s="5">
        <v>72</v>
      </c>
      <c r="E337" s="5">
        <v>1</v>
      </c>
      <c r="F337" s="6">
        <v>134.81100000000001</v>
      </c>
      <c r="G337" s="7">
        <v>6.9271999999999995E-33</v>
      </c>
      <c r="H337" s="5">
        <v>134.81</v>
      </c>
      <c r="I337" s="5" t="s">
        <v>11</v>
      </c>
      <c r="J337" s="5">
        <v>1</v>
      </c>
      <c r="K337" s="5" t="s">
        <v>2</v>
      </c>
      <c r="L337" s="5" t="s">
        <v>2477</v>
      </c>
      <c r="M337" s="5" t="s">
        <v>2478</v>
      </c>
      <c r="N337" s="5" t="s">
        <v>2479</v>
      </c>
      <c r="O337" s="5">
        <v>5</v>
      </c>
      <c r="P337" s="6">
        <v>3070100</v>
      </c>
      <c r="Q337" s="5">
        <v>1503600</v>
      </c>
      <c r="R337" s="5">
        <v>1566500</v>
      </c>
      <c r="S337" s="5">
        <v>1.0311999999999999</v>
      </c>
      <c r="T337" s="5">
        <f>LOG(Table2[[#This Row],[ratio heavy to light normalized]],2)</f>
        <v>4.4324168812201428E-2</v>
      </c>
      <c r="U337" s="5">
        <v>0.52739316979353301</v>
      </c>
    </row>
    <row r="338" spans="1:21" ht="13.5" customHeight="1" x14ac:dyDescent="0.3">
      <c r="A338" s="5" t="s">
        <v>937</v>
      </c>
      <c r="B338" s="5" t="s">
        <v>938</v>
      </c>
      <c r="C338" s="5">
        <v>584</v>
      </c>
      <c r="D338" s="5">
        <v>584</v>
      </c>
      <c r="E338" s="5">
        <v>1</v>
      </c>
      <c r="F338" s="6">
        <v>84.614599999999996</v>
      </c>
      <c r="G338" s="7">
        <v>2.2027900000000001E-7</v>
      </c>
      <c r="H338" s="5">
        <v>84.614999999999995</v>
      </c>
      <c r="I338" s="5" t="s">
        <v>11</v>
      </c>
      <c r="J338" s="5">
        <v>1</v>
      </c>
      <c r="K338" s="5" t="s">
        <v>2</v>
      </c>
      <c r="L338" s="5" t="s">
        <v>2768</v>
      </c>
      <c r="M338" s="5" t="s">
        <v>2769</v>
      </c>
      <c r="N338" s="5" t="s">
        <v>2770</v>
      </c>
      <c r="O338" s="5">
        <v>4</v>
      </c>
      <c r="P338" s="6">
        <v>1517100</v>
      </c>
      <c r="Q338" s="5">
        <v>757430</v>
      </c>
      <c r="R338" s="5">
        <v>759720</v>
      </c>
      <c r="S338" s="5">
        <v>1.0311999999999999</v>
      </c>
      <c r="T338" s="5">
        <f>LOG(Table2[[#This Row],[ratio heavy to light normalized]],2)</f>
        <v>4.4324168812201428E-2</v>
      </c>
      <c r="U338" s="5">
        <v>0.575229045808613</v>
      </c>
    </row>
    <row r="339" spans="1:21" ht="13.5" customHeight="1" x14ac:dyDescent="0.3">
      <c r="A339" s="5" t="s">
        <v>846</v>
      </c>
      <c r="B339" s="5" t="s">
        <v>847</v>
      </c>
      <c r="C339" s="5">
        <v>351</v>
      </c>
      <c r="D339" s="5">
        <v>351</v>
      </c>
      <c r="E339" s="5">
        <v>1</v>
      </c>
      <c r="F339" s="6">
        <v>51.546300000000002</v>
      </c>
      <c r="G339" s="5">
        <v>5.7873600000000005E-4</v>
      </c>
      <c r="H339" s="5">
        <v>51.545999999999999</v>
      </c>
      <c r="I339" s="5" t="s">
        <v>11</v>
      </c>
      <c r="J339" s="5">
        <v>1</v>
      </c>
      <c r="K339" s="5" t="s">
        <v>2</v>
      </c>
      <c r="L339" s="5" t="s">
        <v>2771</v>
      </c>
      <c r="M339" s="5" t="s">
        <v>2772</v>
      </c>
      <c r="N339" s="5" t="s">
        <v>2773</v>
      </c>
      <c r="O339" s="5">
        <v>1</v>
      </c>
      <c r="P339" s="6">
        <v>1557100</v>
      </c>
      <c r="Q339" s="5">
        <v>780770</v>
      </c>
      <c r="R339" s="5">
        <v>776300</v>
      </c>
      <c r="S339" s="5">
        <v>1.0308999999999999</v>
      </c>
      <c r="T339" s="5">
        <f>LOG(Table2[[#This Row],[ratio heavy to light normalized]],2)</f>
        <v>4.3904394295621103E-2</v>
      </c>
      <c r="U339" s="5">
        <v>0.57621366396585205</v>
      </c>
    </row>
    <row r="340" spans="1:21" ht="13.5" customHeight="1" x14ac:dyDescent="0.3">
      <c r="A340" s="5" t="s">
        <v>1548</v>
      </c>
      <c r="B340" s="5" t="s">
        <v>1549</v>
      </c>
      <c r="C340" s="5">
        <v>105</v>
      </c>
      <c r="D340" s="5">
        <v>105</v>
      </c>
      <c r="E340" s="5">
        <v>1</v>
      </c>
      <c r="F340" s="6">
        <v>106.00700000000001</v>
      </c>
      <c r="G340" s="7">
        <v>2.2404900000000001E-25</v>
      </c>
      <c r="H340" s="5">
        <v>110.93</v>
      </c>
      <c r="I340" s="5" t="s">
        <v>11</v>
      </c>
      <c r="J340" s="5">
        <v>1</v>
      </c>
      <c r="K340" s="5" t="s">
        <v>2</v>
      </c>
      <c r="L340" s="5" t="s">
        <v>2526</v>
      </c>
      <c r="M340" s="5" t="s">
        <v>2527</v>
      </c>
      <c r="N340" s="5" t="s">
        <v>2528</v>
      </c>
      <c r="O340" s="5">
        <v>10</v>
      </c>
      <c r="P340" s="6">
        <v>20981000</v>
      </c>
      <c r="Q340" s="5">
        <v>10327000</v>
      </c>
      <c r="R340" s="5">
        <v>10654000</v>
      </c>
      <c r="S340" s="5">
        <v>1.0302</v>
      </c>
      <c r="T340" s="5">
        <f>LOG(Table2[[#This Row],[ratio heavy to light normalized]],2)</f>
        <v>4.2924445173840947E-2</v>
      </c>
      <c r="U340" s="5">
        <v>0.53147979448641303</v>
      </c>
    </row>
    <row r="341" spans="1:21" ht="13.5" customHeight="1" x14ac:dyDescent="0.3">
      <c r="A341" s="5" t="s">
        <v>2306</v>
      </c>
      <c r="B341" s="5" t="s">
        <v>2307</v>
      </c>
      <c r="C341" s="5">
        <v>27</v>
      </c>
      <c r="D341" s="5">
        <v>27</v>
      </c>
      <c r="E341" s="5">
        <v>1</v>
      </c>
      <c r="F341" s="6">
        <v>67.153199999999998</v>
      </c>
      <c r="G341" s="7">
        <v>7.6551500000000007E-6</v>
      </c>
      <c r="H341" s="5">
        <v>67.153000000000006</v>
      </c>
      <c r="I341" s="5"/>
      <c r="J341" s="5">
        <v>1</v>
      </c>
      <c r="K341" s="5" t="s">
        <v>2</v>
      </c>
      <c r="L341" s="5" t="s">
        <v>2791</v>
      </c>
      <c r="M341" s="5" t="s">
        <v>2792</v>
      </c>
      <c r="N341" s="5" t="s">
        <v>2793</v>
      </c>
      <c r="O341" s="5">
        <v>9</v>
      </c>
      <c r="P341" s="6">
        <v>1120000</v>
      </c>
      <c r="Q341" s="5">
        <v>589280</v>
      </c>
      <c r="R341" s="5">
        <v>530690</v>
      </c>
      <c r="S341" s="5">
        <v>1.0297000000000001</v>
      </c>
      <c r="T341" s="5">
        <f>LOG(Table2[[#This Row],[ratio heavy to light normalized]],2)</f>
        <v>4.2224073762984898E-2</v>
      </c>
      <c r="U341" s="5">
        <v>0.580162945973693</v>
      </c>
    </row>
    <row r="342" spans="1:21" ht="13.5" customHeight="1" x14ac:dyDescent="0.3">
      <c r="A342" s="5" t="s">
        <v>508</v>
      </c>
      <c r="B342" s="5" t="s">
        <v>509</v>
      </c>
      <c r="C342" s="5">
        <v>394</v>
      </c>
      <c r="D342" s="5">
        <v>394</v>
      </c>
      <c r="E342" s="5">
        <v>1</v>
      </c>
      <c r="F342" s="6">
        <v>51.286200000000001</v>
      </c>
      <c r="G342" s="5">
        <v>3.8803499999999999E-3</v>
      </c>
      <c r="H342" s="5">
        <v>51.286000000000001</v>
      </c>
      <c r="I342" s="5"/>
      <c r="J342" s="5">
        <v>1</v>
      </c>
      <c r="K342" s="5" t="s">
        <v>2</v>
      </c>
      <c r="L342" s="5" t="s">
        <v>2807</v>
      </c>
      <c r="M342" s="5" t="s">
        <v>2808</v>
      </c>
      <c r="N342" s="5" t="s">
        <v>2809</v>
      </c>
      <c r="O342" s="5">
        <v>9</v>
      </c>
      <c r="P342" s="6">
        <v>980570</v>
      </c>
      <c r="Q342" s="5">
        <v>477710</v>
      </c>
      <c r="R342" s="5">
        <v>502860</v>
      </c>
      <c r="S342" s="5">
        <v>1.0286</v>
      </c>
      <c r="T342" s="5">
        <f>LOG(Table2[[#This Row],[ratio heavy to light normalized]],2)</f>
        <v>4.0682058803007765E-2</v>
      </c>
      <c r="U342" s="5">
        <v>0.58379829131590399</v>
      </c>
    </row>
    <row r="343" spans="1:21" ht="13.5" customHeight="1" x14ac:dyDescent="0.3">
      <c r="A343" s="5" t="s">
        <v>2564</v>
      </c>
      <c r="B343" s="5" t="s">
        <v>2565</v>
      </c>
      <c r="C343" s="5">
        <v>137</v>
      </c>
      <c r="D343" s="5">
        <v>137</v>
      </c>
      <c r="E343" s="5">
        <v>1</v>
      </c>
      <c r="F343" s="6">
        <v>84.364900000000006</v>
      </c>
      <c r="G343" s="7">
        <v>7.1924000000000004E-11</v>
      </c>
      <c r="H343" s="5">
        <v>84.364999999999995</v>
      </c>
      <c r="I343" s="5"/>
      <c r="J343" s="5">
        <v>1</v>
      </c>
      <c r="K343" s="5" t="s">
        <v>2</v>
      </c>
      <c r="L343" s="5" t="s">
        <v>2566</v>
      </c>
      <c r="M343" s="5" t="s">
        <v>2567</v>
      </c>
      <c r="N343" s="5" t="s">
        <v>2568</v>
      </c>
      <c r="O343" s="5">
        <v>8</v>
      </c>
      <c r="P343" s="6">
        <v>2993800</v>
      </c>
      <c r="Q343" s="5">
        <v>1444500</v>
      </c>
      <c r="R343" s="5">
        <v>1549300</v>
      </c>
      <c r="S343" s="5">
        <v>1.0275000000000001</v>
      </c>
      <c r="T343" s="5">
        <f>LOG(Table2[[#This Row],[ratio heavy to light normalized]],2)</f>
        <v>3.9138393906958314E-2</v>
      </c>
      <c r="U343" s="5">
        <v>0.54261337816645405</v>
      </c>
    </row>
    <row r="344" spans="1:21" ht="13.5" customHeight="1" x14ac:dyDescent="0.3">
      <c r="A344" s="5" t="s">
        <v>2844</v>
      </c>
      <c r="B344" s="5" t="s">
        <v>2845</v>
      </c>
      <c r="C344" s="5">
        <v>55</v>
      </c>
      <c r="D344" s="5">
        <v>55</v>
      </c>
      <c r="E344" s="5">
        <v>1</v>
      </c>
      <c r="F344" s="6">
        <v>79.874899999999997</v>
      </c>
      <c r="G344" s="7">
        <v>1.8324000000000001E-12</v>
      </c>
      <c r="H344" s="5">
        <v>79.875</v>
      </c>
      <c r="I344" s="5" t="s">
        <v>11</v>
      </c>
      <c r="J344" s="5">
        <v>1</v>
      </c>
      <c r="K344" s="5" t="s">
        <v>2</v>
      </c>
      <c r="L344" s="5" t="s">
        <v>2846</v>
      </c>
      <c r="M344" s="5" t="s">
        <v>2847</v>
      </c>
      <c r="N344" s="5" t="s">
        <v>2848</v>
      </c>
      <c r="O344" s="5">
        <v>8</v>
      </c>
      <c r="P344" s="6">
        <v>1713100</v>
      </c>
      <c r="Q344" s="5">
        <v>963630</v>
      </c>
      <c r="R344" s="5">
        <v>749420</v>
      </c>
      <c r="S344" s="5">
        <v>1.0266999999999999</v>
      </c>
      <c r="T344" s="5">
        <f>LOG(Table2[[#This Row],[ratio heavy to light normalized]],2)</f>
        <v>3.8014690186715924E-2</v>
      </c>
      <c r="U344" s="5">
        <v>0.59011161490116504</v>
      </c>
    </row>
    <row r="345" spans="1:21" ht="13.5" customHeight="1" x14ac:dyDescent="0.3">
      <c r="A345" s="5" t="s">
        <v>1649</v>
      </c>
      <c r="B345" s="5" t="s">
        <v>1650</v>
      </c>
      <c r="C345" s="5">
        <v>272</v>
      </c>
      <c r="D345" s="5">
        <v>272</v>
      </c>
      <c r="E345" s="5">
        <v>1</v>
      </c>
      <c r="F345" s="6">
        <v>43.860900000000001</v>
      </c>
      <c r="G345" s="7">
        <v>2.1253700000000001E-50</v>
      </c>
      <c r="H345" s="5">
        <v>152.47</v>
      </c>
      <c r="I345" s="5" t="s">
        <v>11</v>
      </c>
      <c r="J345" s="5">
        <v>1</v>
      </c>
      <c r="K345" s="5" t="s">
        <v>2</v>
      </c>
      <c r="L345" s="5" t="s">
        <v>2601</v>
      </c>
      <c r="M345" s="5" t="s">
        <v>2602</v>
      </c>
      <c r="N345" s="5" t="s">
        <v>2603</v>
      </c>
      <c r="O345" s="5">
        <v>13</v>
      </c>
      <c r="P345" s="6">
        <v>3617700</v>
      </c>
      <c r="Q345" s="5">
        <v>1861100</v>
      </c>
      <c r="R345" s="5">
        <v>1756500</v>
      </c>
      <c r="S345" s="5">
        <v>1.0262</v>
      </c>
      <c r="T345" s="5">
        <f>LOG(Table2[[#This Row],[ratio heavy to light normalized]],2)</f>
        <v>3.7311930641966591E-2</v>
      </c>
      <c r="U345" s="5">
        <v>0.54802568865818402</v>
      </c>
    </row>
    <row r="346" spans="1:21" ht="13.5" customHeight="1" x14ac:dyDescent="0.3">
      <c r="A346" s="5" t="s">
        <v>1724</v>
      </c>
      <c r="B346" s="5" t="s">
        <v>1725</v>
      </c>
      <c r="C346" s="5">
        <v>105</v>
      </c>
      <c r="D346" s="5">
        <v>105</v>
      </c>
      <c r="E346" s="5">
        <v>1</v>
      </c>
      <c r="F346" s="6">
        <v>60.910299999999999</v>
      </c>
      <c r="G346" s="5">
        <v>2.7730700000000002E-4</v>
      </c>
      <c r="H346" s="5">
        <v>60.91</v>
      </c>
      <c r="I346" s="5" t="s">
        <v>11</v>
      </c>
      <c r="J346" s="5">
        <v>1</v>
      </c>
      <c r="K346" s="5" t="s">
        <v>2</v>
      </c>
      <c r="L346" s="5" t="s">
        <v>2604</v>
      </c>
      <c r="M346" s="5" t="s">
        <v>2605</v>
      </c>
      <c r="N346" s="5" t="s">
        <v>2606</v>
      </c>
      <c r="O346" s="5">
        <v>4</v>
      </c>
      <c r="P346" s="6">
        <v>5234100</v>
      </c>
      <c r="Q346" s="5">
        <v>2403300</v>
      </c>
      <c r="R346" s="5">
        <v>2830800</v>
      </c>
      <c r="S346" s="5">
        <v>1.0259</v>
      </c>
      <c r="T346" s="5">
        <f>LOG(Table2[[#This Row],[ratio heavy to light normalized]],2)</f>
        <v>3.6890110540265926E-2</v>
      </c>
      <c r="U346" s="5">
        <v>0.54927943867612705</v>
      </c>
    </row>
    <row r="347" spans="1:21" x14ac:dyDescent="0.3">
      <c r="A347" s="5" t="s">
        <v>2248</v>
      </c>
      <c r="B347" s="5" t="s">
        <v>2249</v>
      </c>
      <c r="C347" s="5">
        <v>233</v>
      </c>
      <c r="D347" s="5">
        <v>233</v>
      </c>
      <c r="E347" s="5">
        <v>1</v>
      </c>
      <c r="F347" s="6">
        <v>79.021699999999996</v>
      </c>
      <c r="G347" s="7">
        <v>2.8612399999999998E-13</v>
      </c>
      <c r="H347" s="5">
        <v>79.022000000000006</v>
      </c>
      <c r="I347" s="5" t="s">
        <v>11</v>
      </c>
      <c r="J347" s="5">
        <v>1</v>
      </c>
      <c r="K347" s="5" t="s">
        <v>2</v>
      </c>
      <c r="L347" s="5" t="s">
        <v>2852</v>
      </c>
      <c r="M347" s="5" t="s">
        <v>2853</v>
      </c>
      <c r="N347" s="5" t="s">
        <v>2854</v>
      </c>
      <c r="O347" s="5">
        <v>10</v>
      </c>
      <c r="P347" s="6">
        <v>1977400</v>
      </c>
      <c r="Q347" s="5">
        <v>664000</v>
      </c>
      <c r="R347" s="5">
        <v>1313400</v>
      </c>
      <c r="S347" s="5">
        <v>1.0259</v>
      </c>
      <c r="T347" s="5">
        <f>LOG(Table2[[#This Row],[ratio heavy to light normalized]],2)</f>
        <v>3.6890110540265926E-2</v>
      </c>
      <c r="U347" s="5">
        <v>0.59278274383560003</v>
      </c>
    </row>
    <row r="348" spans="1:21" x14ac:dyDescent="0.3">
      <c r="A348" s="5" t="s">
        <v>590</v>
      </c>
      <c r="B348" s="5" t="s">
        <v>591</v>
      </c>
      <c r="C348" s="5">
        <v>57</v>
      </c>
      <c r="D348" s="5">
        <v>57</v>
      </c>
      <c r="E348" s="5">
        <v>1</v>
      </c>
      <c r="F348" s="6">
        <v>143.16900000000001</v>
      </c>
      <c r="G348" s="7">
        <v>2.86928E-49</v>
      </c>
      <c r="H348" s="5">
        <v>143.16999999999999</v>
      </c>
      <c r="I348" s="5" t="s">
        <v>11</v>
      </c>
      <c r="J348" s="5">
        <v>1</v>
      </c>
      <c r="K348" s="5" t="s">
        <v>2</v>
      </c>
      <c r="L348" s="5" t="s">
        <v>2610</v>
      </c>
      <c r="M348" s="5" t="s">
        <v>2611</v>
      </c>
      <c r="N348" s="5" t="s">
        <v>2612</v>
      </c>
      <c r="O348" s="5">
        <v>10</v>
      </c>
      <c r="P348" s="6">
        <v>9815900</v>
      </c>
      <c r="Q348" s="5">
        <v>4735500</v>
      </c>
      <c r="R348" s="5">
        <v>5080400</v>
      </c>
      <c r="S348" s="5">
        <v>1.0255000000000001</v>
      </c>
      <c r="T348" s="5">
        <f>LOG(Table2[[#This Row],[ratio heavy to light normalized]],2)</f>
        <v>3.6327491817765054E-2</v>
      </c>
      <c r="U348" s="5">
        <v>0.55095387454046996</v>
      </c>
    </row>
    <row r="349" spans="1:21" x14ac:dyDescent="0.3">
      <c r="A349" s="5" t="s">
        <v>2860</v>
      </c>
      <c r="B349" s="5" t="s">
        <v>2861</v>
      </c>
      <c r="C349" s="5">
        <v>118</v>
      </c>
      <c r="D349" s="5">
        <v>118</v>
      </c>
      <c r="E349" s="5">
        <v>1</v>
      </c>
      <c r="F349" s="6">
        <v>49.080599999999997</v>
      </c>
      <c r="G349" s="5">
        <v>6.2979200000000003E-3</v>
      </c>
      <c r="H349" s="5">
        <v>49.081000000000003</v>
      </c>
      <c r="I349" s="5"/>
      <c r="J349" s="5">
        <v>1</v>
      </c>
      <c r="K349" s="5" t="s">
        <v>2</v>
      </c>
      <c r="L349" s="5" t="s">
        <v>2862</v>
      </c>
      <c r="M349" s="5" t="s">
        <v>2863</v>
      </c>
      <c r="N349" s="5" t="s">
        <v>2864</v>
      </c>
      <c r="O349" s="5">
        <v>10</v>
      </c>
      <c r="P349" s="6">
        <v>551760</v>
      </c>
      <c r="Q349" s="5">
        <v>221920</v>
      </c>
      <c r="R349" s="5">
        <v>329830</v>
      </c>
      <c r="S349" s="5">
        <v>1.0250999999999999</v>
      </c>
      <c r="T349" s="5">
        <f>LOG(Table2[[#This Row],[ratio heavy to light normalized]],2)</f>
        <v>3.5764653600974673E-2</v>
      </c>
      <c r="U349" s="5">
        <v>0.59493340202927303</v>
      </c>
    </row>
    <row r="350" spans="1:21" x14ac:dyDescent="0.3">
      <c r="A350" s="5" t="s">
        <v>205</v>
      </c>
      <c r="B350" s="5" t="s">
        <v>206</v>
      </c>
      <c r="C350" s="5">
        <v>401</v>
      </c>
      <c r="D350" s="5">
        <v>401</v>
      </c>
      <c r="E350" s="5">
        <v>1</v>
      </c>
      <c r="F350" s="6">
        <v>50.6068</v>
      </c>
      <c r="G350" s="5">
        <v>1.5735E-3</v>
      </c>
      <c r="H350" s="5">
        <v>50.606999999999999</v>
      </c>
      <c r="I350" s="5"/>
      <c r="J350" s="5">
        <v>1</v>
      </c>
      <c r="K350" s="5" t="s">
        <v>2</v>
      </c>
      <c r="L350" s="5" t="s">
        <v>2876</v>
      </c>
      <c r="M350" s="5" t="s">
        <v>2877</v>
      </c>
      <c r="N350" s="5" t="s">
        <v>2878</v>
      </c>
      <c r="O350" s="5">
        <v>4</v>
      </c>
      <c r="P350" s="6">
        <v>1466000</v>
      </c>
      <c r="Q350" s="5">
        <v>711460</v>
      </c>
      <c r="R350" s="5">
        <v>754570</v>
      </c>
      <c r="S350" s="5">
        <v>1.0246999999999999</v>
      </c>
      <c r="T350" s="5">
        <f>LOG(Table2[[#This Row],[ratio heavy to light normalized]],2)</f>
        <v>3.5201595718566084E-2</v>
      </c>
      <c r="U350" s="5">
        <v>0.59680371957640999</v>
      </c>
    </row>
    <row r="351" spans="1:21" x14ac:dyDescent="0.3">
      <c r="A351" s="5" t="s">
        <v>1126</v>
      </c>
      <c r="B351" s="5" t="s">
        <v>1127</v>
      </c>
      <c r="C351" s="5">
        <v>145</v>
      </c>
      <c r="D351" s="5">
        <v>145</v>
      </c>
      <c r="E351" s="5">
        <v>1</v>
      </c>
      <c r="F351" s="6">
        <v>129.37799999999999</v>
      </c>
      <c r="G351" s="7">
        <v>6.8485899999999996E-41</v>
      </c>
      <c r="H351" s="5">
        <v>129.38</v>
      </c>
      <c r="I351" s="5"/>
      <c r="J351" s="5">
        <v>1</v>
      </c>
      <c r="K351" s="5" t="s">
        <v>2</v>
      </c>
      <c r="L351" s="5" t="s">
        <v>2667</v>
      </c>
      <c r="M351" s="5" t="s">
        <v>2668</v>
      </c>
      <c r="N351" s="5" t="s">
        <v>2669</v>
      </c>
      <c r="O351" s="5">
        <v>12</v>
      </c>
      <c r="P351" s="6">
        <v>19452000</v>
      </c>
      <c r="Q351" s="5">
        <v>9097300</v>
      </c>
      <c r="R351" s="5">
        <v>10354000</v>
      </c>
      <c r="S351" s="5">
        <v>1.024</v>
      </c>
      <c r="T351" s="5">
        <f>LOG(Table2[[#This Row],[ratio heavy to light normalized]],2)</f>
        <v>3.421571533791299E-2</v>
      </c>
      <c r="U351" s="5">
        <v>0.55726114025365003</v>
      </c>
    </row>
    <row r="352" spans="1:21" x14ac:dyDescent="0.3">
      <c r="A352" s="5" t="s">
        <v>1564</v>
      </c>
      <c r="B352" s="5" t="s">
        <v>1565</v>
      </c>
      <c r="C352" s="5">
        <v>211</v>
      </c>
      <c r="D352" s="5">
        <v>211</v>
      </c>
      <c r="E352" s="5">
        <v>1</v>
      </c>
      <c r="F352" s="6">
        <v>51.146799999999999</v>
      </c>
      <c r="G352" s="7">
        <v>4.0793400000000001E-5</v>
      </c>
      <c r="H352" s="5">
        <v>51.146999999999998</v>
      </c>
      <c r="I352" s="5"/>
      <c r="J352" s="5">
        <v>1</v>
      </c>
      <c r="K352" s="5" t="s">
        <v>2</v>
      </c>
      <c r="L352" s="5" t="s">
        <v>2884</v>
      </c>
      <c r="M352" s="5" t="s">
        <v>2885</v>
      </c>
      <c r="N352" s="5" t="s">
        <v>2886</v>
      </c>
      <c r="O352" s="5">
        <v>9</v>
      </c>
      <c r="P352" s="6">
        <v>1474000</v>
      </c>
      <c r="Q352" s="5">
        <v>881340</v>
      </c>
      <c r="R352" s="5">
        <v>592700</v>
      </c>
      <c r="S352" s="5">
        <v>1.0236000000000001</v>
      </c>
      <c r="T352" s="5">
        <f>LOG(Table2[[#This Row],[ratio heavy to light normalized]],2)</f>
        <v>3.3652052489997072E-2</v>
      </c>
      <c r="U352" s="5">
        <v>0.60050463769821005</v>
      </c>
    </row>
    <row r="353" spans="1:21" x14ac:dyDescent="0.3">
      <c r="A353" s="5" t="s">
        <v>1543</v>
      </c>
      <c r="B353" s="5" t="s">
        <v>1544</v>
      </c>
      <c r="C353" s="5">
        <v>16</v>
      </c>
      <c r="D353" s="5">
        <v>16</v>
      </c>
      <c r="E353" s="5">
        <v>1</v>
      </c>
      <c r="F353" s="6">
        <v>31.674600000000002</v>
      </c>
      <c r="G353" s="5">
        <v>5.2578E-2</v>
      </c>
      <c r="H353" s="5">
        <v>31.675000000000001</v>
      </c>
      <c r="I353" s="5" t="s">
        <v>11</v>
      </c>
      <c r="J353" s="5">
        <v>1</v>
      </c>
      <c r="K353" s="5" t="s">
        <v>2</v>
      </c>
      <c r="L353" s="5" t="s">
        <v>1545</v>
      </c>
      <c r="M353" s="5" t="s">
        <v>1546</v>
      </c>
      <c r="N353" s="5" t="s">
        <v>1547</v>
      </c>
      <c r="O353" s="5">
        <v>5</v>
      </c>
      <c r="P353" s="6">
        <v>2621300</v>
      </c>
      <c r="Q353" s="5">
        <v>1370500</v>
      </c>
      <c r="R353" s="5">
        <v>1250800</v>
      </c>
      <c r="S353" s="5">
        <v>0.69835000000000003</v>
      </c>
      <c r="T353" s="5">
        <f>LOG(Table2[[#This Row],[ratio heavy to light normalized]],2)</f>
        <v>-0.51797782534485304</v>
      </c>
      <c r="U353" s="5">
        <v>0.307395522987298</v>
      </c>
    </row>
    <row r="354" spans="1:21" x14ac:dyDescent="0.3">
      <c r="A354" s="5" t="s">
        <v>1221</v>
      </c>
      <c r="B354" s="5" t="s">
        <v>1222</v>
      </c>
      <c r="C354" s="5">
        <v>110</v>
      </c>
      <c r="D354" s="5">
        <v>110</v>
      </c>
      <c r="E354" s="5">
        <v>1</v>
      </c>
      <c r="F354" s="6">
        <v>78.813900000000004</v>
      </c>
      <c r="G354" s="7">
        <v>2.1119800000000001E-12</v>
      </c>
      <c r="H354" s="5">
        <v>78.813999999999993</v>
      </c>
      <c r="I354" s="5" t="s">
        <v>11</v>
      </c>
      <c r="J354" s="5">
        <v>1</v>
      </c>
      <c r="K354" s="5" t="s">
        <v>2</v>
      </c>
      <c r="L354" s="5" t="s">
        <v>2887</v>
      </c>
      <c r="M354" s="5" t="s">
        <v>2888</v>
      </c>
      <c r="N354" s="5" t="s">
        <v>2889</v>
      </c>
      <c r="O354" s="5">
        <v>8</v>
      </c>
      <c r="P354" s="6">
        <v>1892500</v>
      </c>
      <c r="Q354" s="5">
        <v>954610</v>
      </c>
      <c r="R354" s="5">
        <v>937880</v>
      </c>
      <c r="S354" s="5">
        <v>1.0235000000000001</v>
      </c>
      <c r="T354" s="5">
        <f>LOG(Table2[[#This Row],[ratio heavy to light normalized]],2)</f>
        <v>3.3511102361323694E-2</v>
      </c>
      <c r="U354" s="5">
        <v>0.60084179617173905</v>
      </c>
    </row>
    <row r="355" spans="1:21" x14ac:dyDescent="0.3">
      <c r="A355" s="5" t="s">
        <v>2685</v>
      </c>
      <c r="B355" s="5" t="s">
        <v>2686</v>
      </c>
      <c r="C355" s="5">
        <v>71</v>
      </c>
      <c r="D355" s="5">
        <v>71</v>
      </c>
      <c r="E355" s="5">
        <v>1</v>
      </c>
      <c r="F355" s="6">
        <v>93.095600000000005</v>
      </c>
      <c r="G355" s="7">
        <v>2.5844299999999999E-11</v>
      </c>
      <c r="H355" s="5">
        <v>93.096000000000004</v>
      </c>
      <c r="I355" s="5"/>
      <c r="J355" s="5">
        <v>1</v>
      </c>
      <c r="K355" s="5" t="s">
        <v>2</v>
      </c>
      <c r="L355" s="5" t="s">
        <v>2687</v>
      </c>
      <c r="M355" s="5" t="s">
        <v>2688</v>
      </c>
      <c r="N355" s="5" t="s">
        <v>2689</v>
      </c>
      <c r="O355" s="5">
        <v>7</v>
      </c>
      <c r="P355" s="6">
        <v>4679000</v>
      </c>
      <c r="Q355" s="5">
        <v>2315100</v>
      </c>
      <c r="R355" s="5">
        <v>2363800</v>
      </c>
      <c r="S355" s="5">
        <v>1.0234000000000001</v>
      </c>
      <c r="T355" s="5">
        <f>LOG(Table2[[#This Row],[ratio heavy to light normalized]],2)</f>
        <v>3.3370138460592183E-2</v>
      </c>
      <c r="U355" s="5">
        <v>0.55979645510173903</v>
      </c>
    </row>
    <row r="356" spans="1:21" x14ac:dyDescent="0.3">
      <c r="A356" s="5" t="s">
        <v>2705</v>
      </c>
      <c r="B356" s="5" t="s">
        <v>2706</v>
      </c>
      <c r="C356" s="5">
        <v>345</v>
      </c>
      <c r="D356" s="5">
        <v>345</v>
      </c>
      <c r="E356" s="5">
        <v>1</v>
      </c>
      <c r="F356" s="6">
        <v>78.931600000000003</v>
      </c>
      <c r="G356" s="7">
        <v>8.1399500000000003E-16</v>
      </c>
      <c r="H356" s="5">
        <v>78.932000000000002</v>
      </c>
      <c r="I356" s="5" t="s">
        <v>11</v>
      </c>
      <c r="J356" s="5">
        <v>1</v>
      </c>
      <c r="K356" s="5" t="s">
        <v>2</v>
      </c>
      <c r="L356" s="5" t="s">
        <v>2707</v>
      </c>
      <c r="M356" s="5" t="s">
        <v>2708</v>
      </c>
      <c r="N356" s="5" t="s">
        <v>2709</v>
      </c>
      <c r="O356" s="5">
        <v>8</v>
      </c>
      <c r="P356" s="6">
        <v>2806900</v>
      </c>
      <c r="Q356" s="5">
        <v>1404900</v>
      </c>
      <c r="R356" s="5">
        <v>1402000</v>
      </c>
      <c r="S356" s="5">
        <v>1.0223</v>
      </c>
      <c r="T356" s="5">
        <f>LOG(Table2[[#This Row],[ratio heavy to light normalized]],2)</f>
        <v>3.1818625826357146E-2</v>
      </c>
      <c r="U356" s="5">
        <v>0.56446289239015401</v>
      </c>
    </row>
    <row r="357" spans="1:21" x14ac:dyDescent="0.3">
      <c r="A357" s="5" t="s">
        <v>1559</v>
      </c>
      <c r="B357" s="5" t="s">
        <v>1560</v>
      </c>
      <c r="C357" s="5">
        <v>161</v>
      </c>
      <c r="D357" s="5">
        <v>161</v>
      </c>
      <c r="E357" s="5">
        <v>1</v>
      </c>
      <c r="F357" s="6">
        <v>25.473600000000001</v>
      </c>
      <c r="G357" s="5">
        <v>0.36374899999999999</v>
      </c>
      <c r="H357" s="5">
        <v>25.474</v>
      </c>
      <c r="I357" s="5" t="s">
        <v>11</v>
      </c>
      <c r="J357" s="5">
        <v>1</v>
      </c>
      <c r="K357" s="5" t="s">
        <v>2</v>
      </c>
      <c r="L357" s="5" t="s">
        <v>1561</v>
      </c>
      <c r="M357" s="5" t="s">
        <v>1562</v>
      </c>
      <c r="N357" s="5" t="s">
        <v>1563</v>
      </c>
      <c r="O357" s="5">
        <v>4</v>
      </c>
      <c r="P357" s="6">
        <v>1849600</v>
      </c>
      <c r="Q357" s="5">
        <v>947060</v>
      </c>
      <c r="R357" s="5">
        <v>902570</v>
      </c>
      <c r="S357" s="5">
        <v>0.69933000000000001</v>
      </c>
      <c r="T357" s="5">
        <f>LOG(Table2[[#This Row],[ratio heavy to light normalized]],2)</f>
        <v>-0.51595469934782101</v>
      </c>
      <c r="U357" s="5">
        <v>0.30985282596438601</v>
      </c>
    </row>
    <row r="358" spans="1:21" x14ac:dyDescent="0.3">
      <c r="A358" s="5" t="s">
        <v>2640</v>
      </c>
      <c r="B358" s="5" t="s">
        <v>2641</v>
      </c>
      <c r="C358" s="5">
        <v>447</v>
      </c>
      <c r="D358" s="5">
        <v>447</v>
      </c>
      <c r="E358" s="5">
        <v>1</v>
      </c>
      <c r="F358" s="6">
        <v>109.86199999999999</v>
      </c>
      <c r="G358" s="7">
        <v>1.58932E-19</v>
      </c>
      <c r="H358" s="5">
        <v>109.86</v>
      </c>
      <c r="I358" s="5"/>
      <c r="J358" s="5">
        <v>1</v>
      </c>
      <c r="K358" s="5" t="s">
        <v>2</v>
      </c>
      <c r="L358" s="5" t="s">
        <v>2893</v>
      </c>
      <c r="M358" s="5" t="s">
        <v>2894</v>
      </c>
      <c r="N358" s="5" t="s">
        <v>2895</v>
      </c>
      <c r="O358" s="5">
        <v>6</v>
      </c>
      <c r="P358" s="6">
        <v>592110</v>
      </c>
      <c r="Q358" s="5">
        <v>307870</v>
      </c>
      <c r="R358" s="5">
        <v>284240</v>
      </c>
      <c r="S358" s="5">
        <v>1.022</v>
      </c>
      <c r="T358" s="5">
        <f>LOG(Table2[[#This Row],[ratio heavy to light normalized]],2)</f>
        <v>3.1395196275534318E-2</v>
      </c>
      <c r="U358" s="5">
        <v>0.60174747110075899</v>
      </c>
    </row>
    <row r="359" spans="1:21" x14ac:dyDescent="0.3">
      <c r="A359" s="5" t="s">
        <v>1201</v>
      </c>
      <c r="B359" s="5" t="s">
        <v>1202</v>
      </c>
      <c r="C359" s="5">
        <v>597</v>
      </c>
      <c r="D359" s="5">
        <v>597</v>
      </c>
      <c r="E359" s="5">
        <v>1</v>
      </c>
      <c r="F359" s="6">
        <v>69.598200000000006</v>
      </c>
      <c r="G359" s="7">
        <v>2.56715E-5</v>
      </c>
      <c r="H359" s="5">
        <v>69.597999999999999</v>
      </c>
      <c r="I359" s="5"/>
      <c r="J359" s="5">
        <v>1</v>
      </c>
      <c r="K359" s="5" t="s">
        <v>2</v>
      </c>
      <c r="L359" s="5" t="s">
        <v>2896</v>
      </c>
      <c r="M359" s="5" t="s">
        <v>2897</v>
      </c>
      <c r="N359" s="5" t="s">
        <v>2898</v>
      </c>
      <c r="O359" s="5">
        <v>5</v>
      </c>
      <c r="P359" s="6">
        <v>553170</v>
      </c>
      <c r="Q359" s="5">
        <v>302520</v>
      </c>
      <c r="R359" s="5">
        <v>250640</v>
      </c>
      <c r="S359" s="5">
        <v>1.0219</v>
      </c>
      <c r="T359" s="5">
        <f>LOG(Table2[[#This Row],[ratio heavy to light normalized]],2)</f>
        <v>3.125402547050081E-2</v>
      </c>
      <c r="U359" s="5">
        <v>0.60196820966373998</v>
      </c>
    </row>
    <row r="360" spans="1:21" x14ac:dyDescent="0.3">
      <c r="A360" s="5" t="s">
        <v>638</v>
      </c>
      <c r="B360" s="5" t="s">
        <v>639</v>
      </c>
      <c r="C360" s="5">
        <v>239</v>
      </c>
      <c r="D360" s="5">
        <v>239</v>
      </c>
      <c r="E360" s="5">
        <v>1</v>
      </c>
      <c r="F360" s="6">
        <v>61.657200000000003</v>
      </c>
      <c r="G360" s="7">
        <v>4.4848800000000001E-7</v>
      </c>
      <c r="H360" s="5">
        <v>61.656999999999996</v>
      </c>
      <c r="I360" s="5" t="s">
        <v>11</v>
      </c>
      <c r="J360" s="5">
        <v>1</v>
      </c>
      <c r="K360" s="5" t="s">
        <v>2</v>
      </c>
      <c r="L360" s="5" t="s">
        <v>2899</v>
      </c>
      <c r="M360" s="5" t="s">
        <v>2900</v>
      </c>
      <c r="N360" s="5" t="s">
        <v>2901</v>
      </c>
      <c r="O360" s="5">
        <v>11</v>
      </c>
      <c r="P360" s="6">
        <v>397030</v>
      </c>
      <c r="Q360" s="5">
        <v>193700</v>
      </c>
      <c r="R360" s="5">
        <v>203330</v>
      </c>
      <c r="S360" s="5">
        <v>1.0218</v>
      </c>
      <c r="T360" s="5">
        <f>LOG(Table2[[#This Row],[ratio heavy to light normalized]],2)</f>
        <v>3.1112840850249287E-2</v>
      </c>
      <c r="U360" s="5">
        <v>0.60218900633241901</v>
      </c>
    </row>
    <row r="361" spans="1:21" x14ac:dyDescent="0.3">
      <c r="A361" s="5" t="s">
        <v>2729</v>
      </c>
      <c r="B361" s="5" t="s">
        <v>2730</v>
      </c>
      <c r="C361" s="5">
        <v>61</v>
      </c>
      <c r="D361" s="5">
        <v>61</v>
      </c>
      <c r="E361" s="5">
        <v>1</v>
      </c>
      <c r="F361" s="6">
        <v>59.569699999999997</v>
      </c>
      <c r="G361" s="5">
        <v>2.0039900000000002E-3</v>
      </c>
      <c r="H361" s="5">
        <v>59.57</v>
      </c>
      <c r="I361" s="5" t="s">
        <v>11</v>
      </c>
      <c r="J361" s="5">
        <v>1</v>
      </c>
      <c r="K361" s="5" t="s">
        <v>2</v>
      </c>
      <c r="L361" s="5" t="s">
        <v>2731</v>
      </c>
      <c r="M361" s="5" t="s">
        <v>2732</v>
      </c>
      <c r="N361" s="5" t="s">
        <v>2733</v>
      </c>
      <c r="O361" s="5">
        <v>8</v>
      </c>
      <c r="P361" s="6">
        <v>3628600</v>
      </c>
      <c r="Q361" s="5">
        <v>1816900</v>
      </c>
      <c r="R361" s="5">
        <v>1811600</v>
      </c>
      <c r="S361" s="5">
        <v>1.0216000000000001</v>
      </c>
      <c r="T361" s="5">
        <f>LOG(Table2[[#This Row],[ratio heavy to light normalized]],2)</f>
        <v>3.0830430153274507E-2</v>
      </c>
      <c r="U361" s="5">
        <v>0.56744478511194896</v>
      </c>
    </row>
    <row r="362" spans="1:21" x14ac:dyDescent="0.3">
      <c r="A362" s="5" t="s">
        <v>1303</v>
      </c>
      <c r="B362" s="5" t="s">
        <v>1304</v>
      </c>
      <c r="C362" s="5">
        <v>594</v>
      </c>
      <c r="D362" s="5">
        <v>594</v>
      </c>
      <c r="E362" s="5">
        <v>1</v>
      </c>
      <c r="F362" s="6">
        <v>28.2987</v>
      </c>
      <c r="G362" s="5">
        <v>3.5629099999999997E-2</v>
      </c>
      <c r="H362" s="5">
        <v>28.298999999999999</v>
      </c>
      <c r="I362" s="5"/>
      <c r="J362" s="5">
        <v>1</v>
      </c>
      <c r="K362" s="5" t="s">
        <v>2</v>
      </c>
      <c r="L362" s="5" t="s">
        <v>2734</v>
      </c>
      <c r="M362" s="5" t="s">
        <v>2735</v>
      </c>
      <c r="N362" s="5" t="s">
        <v>2736</v>
      </c>
      <c r="O362" s="5">
        <v>12</v>
      </c>
      <c r="P362" s="6">
        <v>3054200</v>
      </c>
      <c r="Q362" s="5">
        <v>1368000</v>
      </c>
      <c r="R362" s="5">
        <v>1686200</v>
      </c>
      <c r="S362" s="5">
        <v>1.0216000000000001</v>
      </c>
      <c r="T362" s="5">
        <f>LOG(Table2[[#This Row],[ratio heavy to light normalized]],2)</f>
        <v>3.0830430153274507E-2</v>
      </c>
      <c r="U362" s="5">
        <v>0.56744478511194896</v>
      </c>
    </row>
    <row r="363" spans="1:21" x14ac:dyDescent="0.3">
      <c r="A363" s="5" t="s">
        <v>121</v>
      </c>
      <c r="B363" s="5" t="s">
        <v>122</v>
      </c>
      <c r="C363" s="5">
        <v>448</v>
      </c>
      <c r="D363" s="5">
        <v>448</v>
      </c>
      <c r="E363" s="5">
        <v>0.998834</v>
      </c>
      <c r="F363" s="6">
        <v>29.326499999999999</v>
      </c>
      <c r="G363" s="5">
        <v>5.87658E-2</v>
      </c>
      <c r="H363" s="5">
        <v>36.555999999999997</v>
      </c>
      <c r="I363" s="5" t="s">
        <v>11</v>
      </c>
      <c r="J363" s="5">
        <v>1</v>
      </c>
      <c r="K363" s="5" t="s">
        <v>2</v>
      </c>
      <c r="L363" s="5" t="s">
        <v>1583</v>
      </c>
      <c r="M363" s="5" t="s">
        <v>1584</v>
      </c>
      <c r="N363" s="5" t="s">
        <v>1585</v>
      </c>
      <c r="O363" s="5">
        <v>6</v>
      </c>
      <c r="P363" s="6">
        <v>15505000</v>
      </c>
      <c r="Q363" s="5">
        <v>7917500</v>
      </c>
      <c r="R363" s="5">
        <v>7587300</v>
      </c>
      <c r="S363" s="5">
        <v>1.0921000000000001</v>
      </c>
      <c r="T363" s="5">
        <f>LOG(Table2[[#This Row],[ratio heavy to light normalized]],2)</f>
        <v>0.1271049651394007</v>
      </c>
      <c r="U363" s="5">
        <v>0.31676459410508401</v>
      </c>
    </row>
    <row r="364" spans="1:21" x14ac:dyDescent="0.3">
      <c r="A364" s="5" t="s">
        <v>595</v>
      </c>
      <c r="B364" s="5" t="s">
        <v>596</v>
      </c>
      <c r="C364" s="5">
        <v>1079</v>
      </c>
      <c r="D364" s="5">
        <v>1079</v>
      </c>
      <c r="E364" s="5">
        <v>1</v>
      </c>
      <c r="F364" s="6">
        <v>43.812800000000003</v>
      </c>
      <c r="G364" s="7">
        <v>2.4654E-8</v>
      </c>
      <c r="H364" s="5">
        <v>74.677999999999997</v>
      </c>
      <c r="I364" s="5"/>
      <c r="J364" s="5">
        <v>1</v>
      </c>
      <c r="K364" s="5" t="s">
        <v>2</v>
      </c>
      <c r="L364" s="5" t="s">
        <v>2908</v>
      </c>
      <c r="M364" s="5" t="s">
        <v>2909</v>
      </c>
      <c r="N364" s="5" t="s">
        <v>2910</v>
      </c>
      <c r="O364" s="5">
        <v>7</v>
      </c>
      <c r="P364" s="6">
        <v>1151400</v>
      </c>
      <c r="Q364" s="5">
        <v>608400</v>
      </c>
      <c r="R364" s="5">
        <v>542970</v>
      </c>
      <c r="S364" s="5">
        <v>1.0216000000000001</v>
      </c>
      <c r="T364" s="5">
        <f>LOG(Table2[[#This Row],[ratio heavy to light normalized]],2)</f>
        <v>3.0830430153274507E-2</v>
      </c>
      <c r="U364" s="5">
        <v>0.60727028261639104</v>
      </c>
    </row>
    <row r="365" spans="1:21" x14ac:dyDescent="0.3">
      <c r="A365" s="5" t="s">
        <v>1589</v>
      </c>
      <c r="B365" s="5" t="s">
        <v>1590</v>
      </c>
      <c r="C365" s="5">
        <v>459</v>
      </c>
      <c r="D365" s="5">
        <v>459</v>
      </c>
      <c r="E365" s="5">
        <v>1</v>
      </c>
      <c r="F365" s="6">
        <v>26.9693</v>
      </c>
      <c r="G365" s="5">
        <v>0.208893</v>
      </c>
      <c r="H365" s="5">
        <v>26.969000000000001</v>
      </c>
      <c r="I365" s="5"/>
      <c r="J365" s="5">
        <v>1</v>
      </c>
      <c r="K365" s="5" t="s">
        <v>2</v>
      </c>
      <c r="L365" s="5" t="s">
        <v>1591</v>
      </c>
      <c r="M365" s="5" t="s">
        <v>1592</v>
      </c>
      <c r="N365" s="5" t="s">
        <v>1593</v>
      </c>
      <c r="O365" s="5">
        <v>8</v>
      </c>
      <c r="P365" s="6">
        <v>720980</v>
      </c>
      <c r="Q365" s="5">
        <v>405470</v>
      </c>
      <c r="R365" s="5">
        <v>315510</v>
      </c>
      <c r="S365" s="5">
        <v>0.66113</v>
      </c>
      <c r="T365" s="5">
        <f>LOG(Table2[[#This Row],[ratio heavy to light normalized]],2)</f>
        <v>-0.59699411375226397</v>
      </c>
      <c r="U365" s="5">
        <v>0.31685106489928799</v>
      </c>
    </row>
    <row r="366" spans="1:21" x14ac:dyDescent="0.3">
      <c r="A366" s="5" t="s">
        <v>2747</v>
      </c>
      <c r="B366" s="5" t="s">
        <v>2748</v>
      </c>
      <c r="C366" s="5">
        <v>28</v>
      </c>
      <c r="D366" s="5">
        <v>28</v>
      </c>
      <c r="E366" s="5">
        <v>1</v>
      </c>
      <c r="F366" s="6">
        <v>110.45699999999999</v>
      </c>
      <c r="G366" s="7">
        <v>5.6970999999999998E-21</v>
      </c>
      <c r="H366" s="5">
        <v>110.46</v>
      </c>
      <c r="I366" s="5" t="s">
        <v>11</v>
      </c>
      <c r="J366" s="5">
        <v>1</v>
      </c>
      <c r="K366" s="5" t="s">
        <v>2</v>
      </c>
      <c r="L366" s="5" t="s">
        <v>2749</v>
      </c>
      <c r="M366" s="5" t="s">
        <v>2750</v>
      </c>
      <c r="N366" s="5" t="s">
        <v>2751</v>
      </c>
      <c r="O366" s="5">
        <v>7</v>
      </c>
      <c r="P366" s="6">
        <v>4299400</v>
      </c>
      <c r="Q366" s="5">
        <v>2128700</v>
      </c>
      <c r="R366" s="5">
        <v>2170600</v>
      </c>
      <c r="S366" s="5">
        <v>1.0206999999999999</v>
      </c>
      <c r="T366" s="5">
        <f>LOG(Table2[[#This Row],[ratio heavy to light normalized]],2)</f>
        <v>2.9558897449116415E-2</v>
      </c>
      <c r="U366" s="5">
        <v>0.57129271329516496</v>
      </c>
    </row>
    <row r="367" spans="1:21" x14ac:dyDescent="0.3">
      <c r="A367" s="5" t="s">
        <v>2752</v>
      </c>
      <c r="B367" s="5" t="s">
        <v>2753</v>
      </c>
      <c r="C367" s="5">
        <v>174</v>
      </c>
      <c r="D367" s="5">
        <v>174</v>
      </c>
      <c r="E367" s="5">
        <v>1</v>
      </c>
      <c r="F367" s="6">
        <v>64.701300000000003</v>
      </c>
      <c r="G367" s="7">
        <v>2.3989E-13</v>
      </c>
      <c r="H367" s="5">
        <v>64.700999999999993</v>
      </c>
      <c r="I367" s="5"/>
      <c r="J367" s="5">
        <v>1</v>
      </c>
      <c r="K367" s="5" t="s">
        <v>2</v>
      </c>
      <c r="L367" s="5" t="s">
        <v>2754</v>
      </c>
      <c r="M367" s="5" t="s">
        <v>2755</v>
      </c>
      <c r="N367" s="5" t="s">
        <v>2756</v>
      </c>
      <c r="O367" s="5">
        <v>22</v>
      </c>
      <c r="P367" s="6">
        <v>4958900</v>
      </c>
      <c r="Q367" s="5">
        <v>2656200</v>
      </c>
      <c r="R367" s="5">
        <v>2302700</v>
      </c>
      <c r="S367" s="5">
        <v>1.0203</v>
      </c>
      <c r="T367" s="5">
        <f>LOG(Table2[[#This Row],[ratio heavy to light normalized]],2)</f>
        <v>2.8993411879548688E-2</v>
      </c>
      <c r="U367" s="5">
        <v>0.57300797239003698</v>
      </c>
    </row>
    <row r="368" spans="1:21" x14ac:dyDescent="0.3">
      <c r="A368" s="5" t="s">
        <v>1267</v>
      </c>
      <c r="B368" s="5" t="s">
        <v>1268</v>
      </c>
      <c r="C368" s="5">
        <v>409</v>
      </c>
      <c r="D368" s="5">
        <v>409</v>
      </c>
      <c r="E368" s="5">
        <v>1</v>
      </c>
      <c r="F368" s="6">
        <v>42.9131</v>
      </c>
      <c r="G368" s="7">
        <v>5.6832100000000001E-5</v>
      </c>
      <c r="H368" s="5">
        <v>42.912999999999997</v>
      </c>
      <c r="I368" s="5" t="s">
        <v>11</v>
      </c>
      <c r="J368" s="5">
        <v>1</v>
      </c>
      <c r="K368" s="5" t="s">
        <v>2</v>
      </c>
      <c r="L368" s="5" t="s">
        <v>2905</v>
      </c>
      <c r="M368" s="5" t="s">
        <v>2906</v>
      </c>
      <c r="N368" s="5" t="s">
        <v>2907</v>
      </c>
      <c r="O368" s="5">
        <v>14</v>
      </c>
      <c r="P368" s="6">
        <v>728160</v>
      </c>
      <c r="Q368" s="5">
        <v>400040</v>
      </c>
      <c r="R368" s="5">
        <v>328120</v>
      </c>
      <c r="S368" s="5">
        <v>1.0202</v>
      </c>
      <c r="T368" s="5">
        <f>LOG(Table2[[#This Row],[ratio heavy to light normalized]],2)</f>
        <v>2.8852005847493426E-2</v>
      </c>
      <c r="U368" s="5">
        <v>0.60572965437181703</v>
      </c>
    </row>
    <row r="369" spans="1:21" x14ac:dyDescent="0.3">
      <c r="A369" s="5" t="s">
        <v>432</v>
      </c>
      <c r="B369" s="5" t="s">
        <v>433</v>
      </c>
      <c r="C369" s="5">
        <v>226</v>
      </c>
      <c r="D369" s="5">
        <v>226</v>
      </c>
      <c r="E369" s="5">
        <v>1</v>
      </c>
      <c r="F369" s="6">
        <v>83.728999999999999</v>
      </c>
      <c r="G369" s="7">
        <v>8.1681700000000003E-13</v>
      </c>
      <c r="H369" s="5">
        <v>83.728999999999999</v>
      </c>
      <c r="I369" s="5" t="s">
        <v>11</v>
      </c>
      <c r="J369" s="5">
        <v>1</v>
      </c>
      <c r="K369" s="5" t="s">
        <v>2</v>
      </c>
      <c r="L369" s="5" t="s">
        <v>2774</v>
      </c>
      <c r="M369" s="5" t="s">
        <v>2775</v>
      </c>
      <c r="N369" s="5" t="s">
        <v>2776</v>
      </c>
      <c r="O369" s="5">
        <v>11</v>
      </c>
      <c r="P369" s="6">
        <v>12388000</v>
      </c>
      <c r="Q369" s="5">
        <v>6336900</v>
      </c>
      <c r="R369" s="5">
        <v>6051500</v>
      </c>
      <c r="S369" s="5">
        <v>1.0195000000000001</v>
      </c>
      <c r="T369" s="5">
        <f>LOG(Table2[[#This Row],[ratio heavy to light normalized]],2)</f>
        <v>2.786177535450958E-2</v>
      </c>
      <c r="U369" s="5">
        <v>0.57644782722788102</v>
      </c>
    </row>
    <row r="370" spans="1:21" x14ac:dyDescent="0.3">
      <c r="A370" s="5" t="s">
        <v>846</v>
      </c>
      <c r="B370" s="5" t="s">
        <v>847</v>
      </c>
      <c r="C370" s="5">
        <v>75</v>
      </c>
      <c r="D370" s="5">
        <v>75</v>
      </c>
      <c r="E370" s="5">
        <v>1</v>
      </c>
      <c r="F370" s="6">
        <v>82.101699999999994</v>
      </c>
      <c r="G370" s="7">
        <v>2.60053E-12</v>
      </c>
      <c r="H370" s="5">
        <v>87.001000000000005</v>
      </c>
      <c r="I370" s="5"/>
      <c r="J370" s="5">
        <v>1</v>
      </c>
      <c r="K370" s="5" t="s">
        <v>2</v>
      </c>
      <c r="L370" s="5" t="s">
        <v>2783</v>
      </c>
      <c r="M370" s="5" t="s">
        <v>2784</v>
      </c>
      <c r="N370" s="5" t="s">
        <v>2785</v>
      </c>
      <c r="O370" s="5">
        <v>10</v>
      </c>
      <c r="P370" s="6">
        <v>6172500</v>
      </c>
      <c r="Q370" s="5">
        <v>3057800</v>
      </c>
      <c r="R370" s="5">
        <v>3114700</v>
      </c>
      <c r="S370" s="5">
        <v>1.0188999999999999</v>
      </c>
      <c r="T370" s="5">
        <f>LOG(Table2[[#This Row],[ratio heavy to light normalized]],2)</f>
        <v>2.7012465062581668E-2</v>
      </c>
      <c r="U370" s="5">
        <v>0.57903587172132598</v>
      </c>
    </row>
    <row r="371" spans="1:21" x14ac:dyDescent="0.3">
      <c r="A371" s="5" t="s">
        <v>2797</v>
      </c>
      <c r="B371" s="5" t="s">
        <v>2798</v>
      </c>
      <c r="C371" s="5">
        <v>86</v>
      </c>
      <c r="D371" s="5">
        <v>86</v>
      </c>
      <c r="E371" s="5">
        <v>0.99946699999999999</v>
      </c>
      <c r="F371" s="6">
        <v>32.7271</v>
      </c>
      <c r="G371" s="7">
        <v>4.2179299999999998E-5</v>
      </c>
      <c r="H371" s="5">
        <v>74.266999999999996</v>
      </c>
      <c r="I371" s="5" t="s">
        <v>11</v>
      </c>
      <c r="J371" s="5">
        <v>1</v>
      </c>
      <c r="K371" s="5" t="s">
        <v>2</v>
      </c>
      <c r="L371" s="5" t="s">
        <v>2799</v>
      </c>
      <c r="M371" s="5" t="s">
        <v>2800</v>
      </c>
      <c r="N371" s="5" t="s">
        <v>2801</v>
      </c>
      <c r="O371" s="5">
        <v>7</v>
      </c>
      <c r="P371" s="6">
        <v>9087500</v>
      </c>
      <c r="Q371" s="5">
        <v>4537600</v>
      </c>
      <c r="R371" s="5">
        <v>4549900</v>
      </c>
      <c r="S371" s="5">
        <v>1.0181</v>
      </c>
      <c r="T371" s="5">
        <f>LOG(Table2[[#This Row],[ratio heavy to light normalized]],2)</f>
        <v>2.5879273023258959E-2</v>
      </c>
      <c r="U371" s="5">
        <v>0.58249744189292196</v>
      </c>
    </row>
    <row r="372" spans="1:21" x14ac:dyDescent="0.3">
      <c r="A372" s="5" t="s">
        <v>2948</v>
      </c>
      <c r="B372" s="5" t="s">
        <v>2949</v>
      </c>
      <c r="C372" s="5">
        <v>151</v>
      </c>
      <c r="D372" s="5">
        <v>151</v>
      </c>
      <c r="E372" s="5">
        <v>1</v>
      </c>
      <c r="F372" s="6">
        <v>73.066699999999997</v>
      </c>
      <c r="G372" s="7">
        <v>7.2206500000000001E-5</v>
      </c>
      <c r="H372" s="5">
        <v>73.066999999999993</v>
      </c>
      <c r="I372" s="5"/>
      <c r="J372" s="5">
        <v>1</v>
      </c>
      <c r="K372" s="5" t="s">
        <v>2</v>
      </c>
      <c r="L372" s="5" t="s">
        <v>2950</v>
      </c>
      <c r="M372" s="5" t="s">
        <v>2951</v>
      </c>
      <c r="N372" s="5" t="s">
        <v>2952</v>
      </c>
      <c r="O372" s="5">
        <v>4</v>
      </c>
      <c r="P372" s="6">
        <v>2161000</v>
      </c>
      <c r="Q372" s="5">
        <v>1050700</v>
      </c>
      <c r="R372" s="5">
        <v>1110300</v>
      </c>
      <c r="S372" s="5">
        <v>1.018</v>
      </c>
      <c r="T372" s="5">
        <f>LOG(Table2[[#This Row],[ratio heavy to light normalized]],2)</f>
        <v>2.5737561413608275E-2</v>
      </c>
      <c r="U372" s="5">
        <v>0.619567174423171</v>
      </c>
    </row>
    <row r="373" spans="1:21" x14ac:dyDescent="0.3">
      <c r="A373" s="5" t="s">
        <v>1136</v>
      </c>
      <c r="B373" s="5" t="s">
        <v>1137</v>
      </c>
      <c r="C373" s="5">
        <v>356</v>
      </c>
      <c r="D373" s="5">
        <v>356</v>
      </c>
      <c r="E373" s="5">
        <v>1</v>
      </c>
      <c r="F373" s="6">
        <v>82.749399999999994</v>
      </c>
      <c r="G373" s="7">
        <v>2.4058499999999998E-7</v>
      </c>
      <c r="H373" s="5">
        <v>82.748999999999995</v>
      </c>
      <c r="I373" s="5" t="s">
        <v>11</v>
      </c>
      <c r="J373" s="5">
        <v>1</v>
      </c>
      <c r="K373" s="5" t="s">
        <v>2</v>
      </c>
      <c r="L373" s="5" t="s">
        <v>2818</v>
      </c>
      <c r="M373" s="5" t="s">
        <v>2819</v>
      </c>
      <c r="N373" s="5" t="s">
        <v>2820</v>
      </c>
      <c r="O373" s="5">
        <v>6</v>
      </c>
      <c r="P373" s="6">
        <v>5553300</v>
      </c>
      <c r="Q373" s="5">
        <v>2776500</v>
      </c>
      <c r="R373" s="5">
        <v>2776800</v>
      </c>
      <c r="S373" s="5">
        <v>1.0172000000000001</v>
      </c>
      <c r="T373" s="5">
        <f>LOG(Table2[[#This Row],[ratio heavy to light normalized]],2)</f>
        <v>2.4603367140657029E-2</v>
      </c>
      <c r="U373" s="5">
        <v>0.58640648276525797</v>
      </c>
    </row>
    <row r="374" spans="1:21" x14ac:dyDescent="0.3">
      <c r="A374" s="5" t="s">
        <v>1303</v>
      </c>
      <c r="B374" s="5" t="s">
        <v>1304</v>
      </c>
      <c r="C374" s="5">
        <v>59</v>
      </c>
      <c r="D374" s="5">
        <v>59</v>
      </c>
      <c r="E374" s="5">
        <v>1</v>
      </c>
      <c r="F374" s="6">
        <v>94.727800000000002</v>
      </c>
      <c r="G374" s="7">
        <v>2.7198899999999999E-18</v>
      </c>
      <c r="H374" s="5">
        <v>94.727999999999994</v>
      </c>
      <c r="I374" s="5" t="s">
        <v>11</v>
      </c>
      <c r="J374" s="5">
        <v>1</v>
      </c>
      <c r="K374" s="5" t="s">
        <v>2</v>
      </c>
      <c r="L374" s="5" t="s">
        <v>2966</v>
      </c>
      <c r="M374" s="5" t="s">
        <v>2967</v>
      </c>
      <c r="N374" s="5" t="s">
        <v>2968</v>
      </c>
      <c r="O374" s="5">
        <v>3</v>
      </c>
      <c r="P374" s="6">
        <v>1051300</v>
      </c>
      <c r="Q374" s="5">
        <v>571860</v>
      </c>
      <c r="R374" s="5">
        <v>479400</v>
      </c>
      <c r="S374" s="5">
        <v>1.0169999999999999</v>
      </c>
      <c r="T374" s="5">
        <f>LOG(Table2[[#This Row],[ratio heavy to light normalized]],2)</f>
        <v>2.4319679195412894E-2</v>
      </c>
      <c r="U374" s="5">
        <v>0.623009923739126</v>
      </c>
    </row>
    <row r="375" spans="1:21" x14ac:dyDescent="0.3">
      <c r="A375" s="5" t="s">
        <v>595</v>
      </c>
      <c r="B375" s="5" t="s">
        <v>596</v>
      </c>
      <c r="C375" s="5">
        <v>50</v>
      </c>
      <c r="D375" s="5">
        <v>50</v>
      </c>
      <c r="E375" s="5">
        <v>1</v>
      </c>
      <c r="F375" s="6">
        <v>25.717700000000001</v>
      </c>
      <c r="G375" s="5">
        <v>8.86376E-3</v>
      </c>
      <c r="H375" s="5">
        <v>42.209000000000003</v>
      </c>
      <c r="I375" s="5" t="s">
        <v>11</v>
      </c>
      <c r="J375" s="5">
        <v>1</v>
      </c>
      <c r="K375" s="5" t="s">
        <v>2</v>
      </c>
      <c r="L375" s="5" t="s">
        <v>2972</v>
      </c>
      <c r="M375" s="5" t="s">
        <v>2973</v>
      </c>
      <c r="N375" s="5" t="s">
        <v>2974</v>
      </c>
      <c r="O375" s="5">
        <v>3</v>
      </c>
      <c r="P375" s="6">
        <v>1888000</v>
      </c>
      <c r="Q375" s="5">
        <v>982630</v>
      </c>
      <c r="R375" s="5">
        <v>905400</v>
      </c>
      <c r="S375" s="5">
        <v>1.0166999999999999</v>
      </c>
      <c r="T375" s="5">
        <f>LOG(Table2[[#This Row],[ratio heavy to light normalized]],2)</f>
        <v>2.3894042655701022E-2</v>
      </c>
      <c r="U375" s="5">
        <v>0.62404502350453595</v>
      </c>
    </row>
    <row r="376" spans="1:21" x14ac:dyDescent="0.3">
      <c r="A376" s="5" t="s">
        <v>494</v>
      </c>
      <c r="B376" s="5" t="s">
        <v>495</v>
      </c>
      <c r="C376" s="5">
        <v>161</v>
      </c>
      <c r="D376" s="5">
        <v>161</v>
      </c>
      <c r="E376" s="5">
        <v>1</v>
      </c>
      <c r="F376" s="6">
        <v>58.078600000000002</v>
      </c>
      <c r="G376" s="7">
        <v>2.2132200000000001E-88</v>
      </c>
      <c r="H376" s="5">
        <v>178.67</v>
      </c>
      <c r="I376" s="5" t="s">
        <v>11</v>
      </c>
      <c r="J376" s="5">
        <v>1</v>
      </c>
      <c r="K376" s="5" t="s">
        <v>2</v>
      </c>
      <c r="L376" s="5" t="s">
        <v>2833</v>
      </c>
      <c r="M376" s="5" t="s">
        <v>2834</v>
      </c>
      <c r="N376" s="5" t="s">
        <v>2835</v>
      </c>
      <c r="O376" s="5">
        <v>8</v>
      </c>
      <c r="P376" s="6">
        <v>8884800</v>
      </c>
      <c r="Q376" s="5">
        <v>3992100</v>
      </c>
      <c r="R376" s="5">
        <v>4892700</v>
      </c>
      <c r="S376" s="5">
        <v>1.0165999999999999</v>
      </c>
      <c r="T376" s="5">
        <f>LOG(Table2[[#This Row],[ratio heavy to light normalized]],2)</f>
        <v>2.375213589899498E-2</v>
      </c>
      <c r="U376" s="5">
        <v>0.58902117708382296</v>
      </c>
    </row>
    <row r="377" spans="1:21" x14ac:dyDescent="0.3">
      <c r="A377" s="5" t="s">
        <v>1564</v>
      </c>
      <c r="B377" s="5" t="s">
        <v>1565</v>
      </c>
      <c r="C377" s="5">
        <v>185</v>
      </c>
      <c r="D377" s="5">
        <v>185</v>
      </c>
      <c r="E377" s="5">
        <v>1</v>
      </c>
      <c r="F377" s="6">
        <v>66.7791</v>
      </c>
      <c r="G377" s="7">
        <v>1.7929999999999999E-12</v>
      </c>
      <c r="H377" s="5">
        <v>66.778999999999996</v>
      </c>
      <c r="I377" s="5"/>
      <c r="J377" s="5">
        <v>1</v>
      </c>
      <c r="K377" s="5" t="s">
        <v>2</v>
      </c>
      <c r="L377" s="5" t="s">
        <v>2849</v>
      </c>
      <c r="M377" s="5" t="s">
        <v>2850</v>
      </c>
      <c r="N377" s="5" t="s">
        <v>2851</v>
      </c>
      <c r="O377" s="5">
        <v>10</v>
      </c>
      <c r="P377" s="6">
        <v>4916800</v>
      </c>
      <c r="Q377" s="5">
        <v>2674100</v>
      </c>
      <c r="R377" s="5">
        <v>2242700</v>
      </c>
      <c r="S377" s="5">
        <v>1.0158</v>
      </c>
      <c r="T377" s="5">
        <f>LOG(Table2[[#This Row],[ratio heavy to light normalized]],2)</f>
        <v>2.2616379067348556E-2</v>
      </c>
      <c r="U377" s="5">
        <v>0.59251819156399999</v>
      </c>
    </row>
    <row r="378" spans="1:21" x14ac:dyDescent="0.3">
      <c r="A378" s="5" t="s">
        <v>3002</v>
      </c>
      <c r="B378" s="5" t="s">
        <v>3003</v>
      </c>
      <c r="C378" s="5">
        <v>267</v>
      </c>
      <c r="D378" s="5">
        <v>267</v>
      </c>
      <c r="E378" s="5">
        <v>1</v>
      </c>
      <c r="F378" s="6">
        <v>42.788600000000002</v>
      </c>
      <c r="G378" s="5">
        <v>2.6006699999999998E-3</v>
      </c>
      <c r="H378" s="5">
        <v>42.789000000000001</v>
      </c>
      <c r="I378" s="5" t="s">
        <v>11</v>
      </c>
      <c r="J378" s="5">
        <v>1</v>
      </c>
      <c r="K378" s="5" t="s">
        <v>2</v>
      </c>
      <c r="L378" s="5" t="s">
        <v>3004</v>
      </c>
      <c r="M378" s="5" t="s">
        <v>3005</v>
      </c>
      <c r="N378" s="5" t="s">
        <v>3006</v>
      </c>
      <c r="O378" s="5">
        <v>7</v>
      </c>
      <c r="P378" s="6">
        <v>2623100</v>
      </c>
      <c r="Q378" s="5">
        <v>1233200</v>
      </c>
      <c r="R378" s="5">
        <v>1389800</v>
      </c>
      <c r="S378" s="5">
        <v>1.0155000000000001</v>
      </c>
      <c r="T378" s="5">
        <f>LOG(Table2[[#This Row],[ratio heavy to light normalized]],2)</f>
        <v>2.2190239634065988E-2</v>
      </c>
      <c r="U378" s="5">
        <v>0.62819589894698002</v>
      </c>
    </row>
    <row r="379" spans="1:21" x14ac:dyDescent="0.3">
      <c r="A379" s="5" t="s">
        <v>1649</v>
      </c>
      <c r="B379" s="5" t="s">
        <v>1650</v>
      </c>
      <c r="C379" s="5">
        <v>428</v>
      </c>
      <c r="D379" s="5">
        <v>428</v>
      </c>
      <c r="E379" s="5">
        <v>1</v>
      </c>
      <c r="F379" s="6">
        <v>24.9544</v>
      </c>
      <c r="G379" s="5">
        <v>0.137574</v>
      </c>
      <c r="H379" s="5">
        <v>24.954000000000001</v>
      </c>
      <c r="I379" s="5"/>
      <c r="J379" s="5">
        <v>1</v>
      </c>
      <c r="K379" s="5" t="s">
        <v>2</v>
      </c>
      <c r="L379" s="5" t="s">
        <v>1651</v>
      </c>
      <c r="M379" s="5" t="s">
        <v>1652</v>
      </c>
      <c r="N379" s="5" t="s">
        <v>1653</v>
      </c>
      <c r="O379" s="5">
        <v>9</v>
      </c>
      <c r="P379" s="6">
        <v>693850</v>
      </c>
      <c r="Q379" s="5">
        <v>338350</v>
      </c>
      <c r="R379" s="5">
        <v>355500</v>
      </c>
      <c r="S379" s="5">
        <v>1.18</v>
      </c>
      <c r="T379" s="5">
        <f>LOG(Table2[[#This Row],[ratio heavy to light normalized]],2)</f>
        <v>0.23878685958711648</v>
      </c>
      <c r="U379" s="5">
        <v>0.32336100009436702</v>
      </c>
    </row>
    <row r="380" spans="1:21" x14ac:dyDescent="0.3">
      <c r="A380" s="5" t="s">
        <v>2935</v>
      </c>
      <c r="B380" s="5" t="s">
        <v>2936</v>
      </c>
      <c r="C380" s="5">
        <v>462</v>
      </c>
      <c r="D380" s="5">
        <v>462</v>
      </c>
      <c r="E380" s="5">
        <v>1</v>
      </c>
      <c r="F380" s="6">
        <v>28.6755</v>
      </c>
      <c r="G380" s="5">
        <v>3.2277199999999999E-2</v>
      </c>
      <c r="H380" s="5">
        <v>28.675000000000001</v>
      </c>
      <c r="I380" s="5" t="s">
        <v>11</v>
      </c>
      <c r="J380" s="5">
        <v>1</v>
      </c>
      <c r="K380" s="5" t="s">
        <v>2</v>
      </c>
      <c r="L380" s="5" t="s">
        <v>2937</v>
      </c>
      <c r="M380" s="5" t="s">
        <v>2938</v>
      </c>
      <c r="N380" s="5" t="s">
        <v>2939</v>
      </c>
      <c r="O380" s="5">
        <v>6</v>
      </c>
      <c r="P380" s="6">
        <v>940690</v>
      </c>
      <c r="Q380" s="5">
        <v>682860</v>
      </c>
      <c r="R380" s="5">
        <v>257830</v>
      </c>
      <c r="S380" s="5">
        <v>1.0153000000000001</v>
      </c>
      <c r="T380" s="5">
        <f>LOG(Table2[[#This Row],[ratio heavy to light normalized]],2)</f>
        <v>2.1906076733622219E-2</v>
      </c>
      <c r="U380" s="5">
        <v>0.61666535724835903</v>
      </c>
    </row>
    <row r="381" spans="1:21" x14ac:dyDescent="0.3">
      <c r="A381" s="5" t="s">
        <v>2346</v>
      </c>
      <c r="B381" s="5" t="s">
        <v>2347</v>
      </c>
      <c r="C381" s="5">
        <v>13</v>
      </c>
      <c r="D381" s="5">
        <v>13</v>
      </c>
      <c r="E381" s="5">
        <v>1</v>
      </c>
      <c r="F381" s="6">
        <v>66.270200000000003</v>
      </c>
      <c r="G381" s="5">
        <v>2.11051E-4</v>
      </c>
      <c r="H381" s="5">
        <v>66.27</v>
      </c>
      <c r="I381" s="5" t="s">
        <v>11</v>
      </c>
      <c r="J381" s="5">
        <v>1</v>
      </c>
      <c r="K381" s="5" t="s">
        <v>2</v>
      </c>
      <c r="L381" s="5" t="s">
        <v>2945</v>
      </c>
      <c r="M381" s="5" t="s">
        <v>2946</v>
      </c>
      <c r="N381" s="5" t="s">
        <v>2947</v>
      </c>
      <c r="O381" s="5">
        <v>7</v>
      </c>
      <c r="P381" s="6">
        <v>735800</v>
      </c>
      <c r="Q381" s="5">
        <v>352090</v>
      </c>
      <c r="R381" s="5">
        <v>383710</v>
      </c>
      <c r="S381" s="5">
        <v>1.0144</v>
      </c>
      <c r="T381" s="5">
        <f>LOG(Table2[[#This Row],[ratio heavy to light normalized]],2)</f>
        <v>2.0626650589957819E-2</v>
      </c>
      <c r="U381" s="5">
        <v>0.61868909915140802</v>
      </c>
    </row>
    <row r="382" spans="1:21" x14ac:dyDescent="0.3">
      <c r="A382" s="5" t="s">
        <v>192</v>
      </c>
      <c r="B382" s="5" t="s">
        <v>193</v>
      </c>
      <c r="C382" s="5">
        <v>319</v>
      </c>
      <c r="D382" s="5">
        <v>319</v>
      </c>
      <c r="E382" s="5">
        <v>1</v>
      </c>
      <c r="F382" s="6">
        <v>23.226199999999999</v>
      </c>
      <c r="G382" s="5">
        <v>0.23258400000000001</v>
      </c>
      <c r="H382" s="5">
        <v>23.225999999999999</v>
      </c>
      <c r="I382" s="5"/>
      <c r="J382" s="5">
        <v>1</v>
      </c>
      <c r="K382" s="5" t="s">
        <v>2</v>
      </c>
      <c r="L382" s="5" t="s">
        <v>1660</v>
      </c>
      <c r="M382" s="5" t="s">
        <v>1661</v>
      </c>
      <c r="N382" s="5" t="s">
        <v>1662</v>
      </c>
      <c r="O382" s="5">
        <v>6</v>
      </c>
      <c r="P382" s="6">
        <v>614640</v>
      </c>
      <c r="Q382" s="5">
        <v>368640</v>
      </c>
      <c r="R382" s="5">
        <v>246000</v>
      </c>
      <c r="S382" s="5">
        <v>0.66424000000000005</v>
      </c>
      <c r="T382" s="5">
        <f>LOG(Table2[[#This Row],[ratio heavy to light normalized]],2)</f>
        <v>-0.59022349149262776</v>
      </c>
      <c r="U382" s="5">
        <v>0.32519681871289202</v>
      </c>
    </row>
    <row r="383" spans="1:21" x14ac:dyDescent="0.3">
      <c r="A383" s="5" t="s">
        <v>2953</v>
      </c>
      <c r="B383" s="5" t="s">
        <v>2954</v>
      </c>
      <c r="C383" s="5">
        <v>367</v>
      </c>
      <c r="D383" s="5">
        <v>367</v>
      </c>
      <c r="E383" s="5">
        <v>1</v>
      </c>
      <c r="F383" s="6">
        <v>51.546300000000002</v>
      </c>
      <c r="G383" s="5">
        <v>1.4099300000000001E-4</v>
      </c>
      <c r="H383" s="5">
        <v>51.545999999999999</v>
      </c>
      <c r="I383" s="5" t="s">
        <v>11</v>
      </c>
      <c r="J383" s="5">
        <v>1</v>
      </c>
      <c r="K383" s="5" t="s">
        <v>2</v>
      </c>
      <c r="L383" s="5" t="s">
        <v>2955</v>
      </c>
      <c r="M383" s="5" t="s">
        <v>2956</v>
      </c>
      <c r="N383" s="5" t="s">
        <v>2957</v>
      </c>
      <c r="O383" s="5">
        <v>8</v>
      </c>
      <c r="P383" s="6">
        <v>496540</v>
      </c>
      <c r="Q383" s="5">
        <v>254000</v>
      </c>
      <c r="R383" s="5">
        <v>242540</v>
      </c>
      <c r="S383" s="5">
        <v>1.0139</v>
      </c>
      <c r="T383" s="5">
        <f>LOG(Table2[[#This Row],[ratio heavy to light normalized]],2)</f>
        <v>1.9915367707685927E-2</v>
      </c>
      <c r="U383" s="5">
        <v>0.61981542940523005</v>
      </c>
    </row>
    <row r="384" spans="1:21" x14ac:dyDescent="0.3">
      <c r="A384" s="5" t="s">
        <v>1221</v>
      </c>
      <c r="B384" s="5" t="s">
        <v>1222</v>
      </c>
      <c r="C384" s="5">
        <v>368</v>
      </c>
      <c r="D384" s="5">
        <v>368</v>
      </c>
      <c r="E384" s="5">
        <v>1</v>
      </c>
      <c r="F384" s="6">
        <v>109.721</v>
      </c>
      <c r="G384" s="7">
        <v>7.0648499999999993E-21</v>
      </c>
      <c r="H384" s="5">
        <v>109.72</v>
      </c>
      <c r="I384" s="5"/>
      <c r="J384" s="5">
        <v>1</v>
      </c>
      <c r="K384" s="5" t="s">
        <v>2</v>
      </c>
      <c r="L384" s="5" t="s">
        <v>2890</v>
      </c>
      <c r="M384" s="5" t="s">
        <v>2891</v>
      </c>
      <c r="N384" s="5" t="s">
        <v>2892</v>
      </c>
      <c r="O384" s="5">
        <v>8</v>
      </c>
      <c r="P384" s="6">
        <v>18184000</v>
      </c>
      <c r="Q384" s="5">
        <v>8820600</v>
      </c>
      <c r="R384" s="5">
        <v>9363400</v>
      </c>
      <c r="S384" s="5">
        <v>1.0138</v>
      </c>
      <c r="T384" s="5">
        <f>LOG(Table2[[#This Row],[ratio heavy to light normalized]],2)</f>
        <v>1.9773069040027156E-2</v>
      </c>
      <c r="U384" s="5">
        <v>0.60131427336671195</v>
      </c>
    </row>
    <row r="385" spans="1:21" x14ac:dyDescent="0.3">
      <c r="A385" s="5" t="s">
        <v>2961</v>
      </c>
      <c r="B385" s="5" t="s">
        <v>2962</v>
      </c>
      <c r="C385" s="5">
        <v>27</v>
      </c>
      <c r="D385" s="5">
        <v>27</v>
      </c>
      <c r="E385" s="5">
        <v>1</v>
      </c>
      <c r="F385" s="6">
        <v>49.500500000000002</v>
      </c>
      <c r="G385" s="5">
        <v>1.2744E-2</v>
      </c>
      <c r="H385" s="5">
        <v>49.5</v>
      </c>
      <c r="I385" s="5"/>
      <c r="J385" s="5">
        <v>1</v>
      </c>
      <c r="K385" s="5" t="s">
        <v>2</v>
      </c>
      <c r="L385" s="5" t="s">
        <v>2963</v>
      </c>
      <c r="M385" s="5" t="s">
        <v>2964</v>
      </c>
      <c r="N385" s="5" t="s">
        <v>2965</v>
      </c>
      <c r="O385" s="5">
        <v>3</v>
      </c>
      <c r="P385" s="6">
        <v>401450</v>
      </c>
      <c r="Q385" s="5">
        <v>204170</v>
      </c>
      <c r="R385" s="5">
        <v>197270</v>
      </c>
      <c r="S385" s="5">
        <v>1.0126999999999999</v>
      </c>
      <c r="T385" s="5">
        <f>LOG(Table2[[#This Row],[ratio heavy to light normalized]],2)</f>
        <v>1.8206856653311863E-2</v>
      </c>
      <c r="U385" s="5">
        <v>0.62252453358376802</v>
      </c>
    </row>
    <row r="386" spans="1:21" x14ac:dyDescent="0.3">
      <c r="A386" s="5" t="s">
        <v>648</v>
      </c>
      <c r="B386" s="5" t="s">
        <v>649</v>
      </c>
      <c r="C386" s="5">
        <v>149</v>
      </c>
      <c r="D386" s="5">
        <v>149</v>
      </c>
      <c r="E386" s="5">
        <v>1</v>
      </c>
      <c r="F386" s="6">
        <v>104.824</v>
      </c>
      <c r="G386" s="7">
        <v>2.3799899999999999E-68</v>
      </c>
      <c r="H386" s="5">
        <v>174.1</v>
      </c>
      <c r="I386" s="5" t="s">
        <v>11</v>
      </c>
      <c r="J386" s="5">
        <v>1</v>
      </c>
      <c r="K386" s="5" t="s">
        <v>2</v>
      </c>
      <c r="L386" s="5" t="s">
        <v>2911</v>
      </c>
      <c r="M386" s="5" t="s">
        <v>2912</v>
      </c>
      <c r="N386" s="5" t="s">
        <v>2913</v>
      </c>
      <c r="O386" s="5">
        <v>6</v>
      </c>
      <c r="P386" s="6">
        <v>9351100</v>
      </c>
      <c r="Q386" s="5">
        <v>4527300</v>
      </c>
      <c r="R386" s="5">
        <v>4823700</v>
      </c>
      <c r="S386" s="5">
        <v>1.0119</v>
      </c>
      <c r="T386" s="5">
        <f>LOG(Table2[[#This Row],[ratio heavy to light normalized]],2)</f>
        <v>1.7066724189833377E-2</v>
      </c>
      <c r="U386" s="5">
        <v>0.60974096346456297</v>
      </c>
    </row>
    <row r="387" spans="1:21" x14ac:dyDescent="0.3">
      <c r="A387" s="5" t="s">
        <v>922</v>
      </c>
      <c r="B387" s="5" t="s">
        <v>923</v>
      </c>
      <c r="C387" s="5">
        <v>325</v>
      </c>
      <c r="D387" s="5">
        <v>325</v>
      </c>
      <c r="E387" s="5">
        <v>1</v>
      </c>
      <c r="F387" s="6">
        <v>74.266999999999996</v>
      </c>
      <c r="G387" s="7">
        <v>2.76395E-41</v>
      </c>
      <c r="H387" s="5">
        <v>144.28</v>
      </c>
      <c r="I387" s="5" t="s">
        <v>11</v>
      </c>
      <c r="J387" s="5">
        <v>1</v>
      </c>
      <c r="K387" s="5" t="s">
        <v>2</v>
      </c>
      <c r="L387" s="5" t="s">
        <v>2914</v>
      </c>
      <c r="M387" s="5" t="s">
        <v>2915</v>
      </c>
      <c r="N387" s="5" t="s">
        <v>2916</v>
      </c>
      <c r="O387" s="5">
        <v>7</v>
      </c>
      <c r="P387" s="6">
        <v>6044600</v>
      </c>
      <c r="Q387" s="5">
        <v>2845600</v>
      </c>
      <c r="R387" s="5">
        <v>3199000</v>
      </c>
      <c r="S387" s="5">
        <v>1.0118</v>
      </c>
      <c r="T387" s="5">
        <f>LOG(Table2[[#This Row],[ratio heavy to light normalized]],2)</f>
        <v>1.6924144257821412E-2</v>
      </c>
      <c r="U387" s="5">
        <v>0.61018636348333399</v>
      </c>
    </row>
    <row r="388" spans="1:21" x14ac:dyDescent="0.3">
      <c r="A388" s="5" t="s">
        <v>623</v>
      </c>
      <c r="B388" s="5" t="s">
        <v>624</v>
      </c>
      <c r="C388" s="5">
        <v>128</v>
      </c>
      <c r="D388" s="5">
        <v>128</v>
      </c>
      <c r="E388" s="5">
        <v>1</v>
      </c>
      <c r="F388" s="6">
        <v>33.875399999999999</v>
      </c>
      <c r="G388" s="5">
        <v>7.8257400000000005E-2</v>
      </c>
      <c r="H388" s="5">
        <v>33.875</v>
      </c>
      <c r="I388" s="5"/>
      <c r="J388" s="5">
        <v>1</v>
      </c>
      <c r="K388" s="5" t="s">
        <v>2</v>
      </c>
      <c r="L388" s="5" t="s">
        <v>1680</v>
      </c>
      <c r="M388" s="5" t="s">
        <v>1681</v>
      </c>
      <c r="N388" s="5" t="s">
        <v>1682</v>
      </c>
      <c r="O388" s="5">
        <v>6</v>
      </c>
      <c r="P388" s="6">
        <v>318160</v>
      </c>
      <c r="Q388" s="5">
        <v>157650</v>
      </c>
      <c r="R388" s="5">
        <v>160500</v>
      </c>
      <c r="S388" s="5">
        <v>1.1749000000000001</v>
      </c>
      <c r="T388" s="5">
        <f>LOG(Table2[[#This Row],[ratio heavy to light normalized]],2)</f>
        <v>0.23253796900851761</v>
      </c>
      <c r="U388" s="5">
        <v>0.33028342201729399</v>
      </c>
    </row>
    <row r="389" spans="1:21" x14ac:dyDescent="0.3">
      <c r="A389" s="5" t="s">
        <v>2920</v>
      </c>
      <c r="B389" s="5" t="s">
        <v>2921</v>
      </c>
      <c r="C389" s="5">
        <v>198</v>
      </c>
      <c r="D389" s="5">
        <v>198</v>
      </c>
      <c r="E389" s="5">
        <v>1</v>
      </c>
      <c r="F389" s="6">
        <v>63.185299999999998</v>
      </c>
      <c r="G389" s="7">
        <v>1.0750000000000001E-6</v>
      </c>
      <c r="H389" s="5">
        <v>63.185000000000002</v>
      </c>
      <c r="I389" s="5" t="s">
        <v>11</v>
      </c>
      <c r="J389" s="5">
        <v>1</v>
      </c>
      <c r="K389" s="5" t="s">
        <v>2</v>
      </c>
      <c r="L389" s="5" t="s">
        <v>2922</v>
      </c>
      <c r="M389" s="5" t="s">
        <v>2923</v>
      </c>
      <c r="N389" s="5" t="s">
        <v>2924</v>
      </c>
      <c r="O389" s="5">
        <v>9</v>
      </c>
      <c r="P389" s="6">
        <v>5488400</v>
      </c>
      <c r="Q389" s="5">
        <v>2716900</v>
      </c>
      <c r="R389" s="5">
        <v>2771500</v>
      </c>
      <c r="S389" s="5">
        <v>1.0108999999999999</v>
      </c>
      <c r="T389" s="5">
        <f>LOG(Table2[[#This Row],[ratio heavy to light normalized]],2)</f>
        <v>1.5640290376882238E-2</v>
      </c>
      <c r="U389" s="5">
        <v>0.61420343342981198</v>
      </c>
    </row>
    <row r="390" spans="1:21" x14ac:dyDescent="0.3">
      <c r="A390" s="5" t="s">
        <v>2752</v>
      </c>
      <c r="B390" s="5" t="s">
        <v>2753</v>
      </c>
      <c r="C390" s="5">
        <v>13</v>
      </c>
      <c r="D390" s="5">
        <v>13</v>
      </c>
      <c r="E390" s="5">
        <v>1</v>
      </c>
      <c r="F390" s="6">
        <v>52.298200000000001</v>
      </c>
      <c r="G390" s="7">
        <v>5.1281099999999997E-7</v>
      </c>
      <c r="H390" s="5">
        <v>52.298000000000002</v>
      </c>
      <c r="I390" s="5"/>
      <c r="J390" s="5">
        <v>1</v>
      </c>
      <c r="K390" s="5" t="s">
        <v>2</v>
      </c>
      <c r="L390" s="5" t="s">
        <v>2989</v>
      </c>
      <c r="M390" s="5" t="s">
        <v>2990</v>
      </c>
      <c r="N390" s="5" t="s">
        <v>2991</v>
      </c>
      <c r="O390" s="5">
        <v>10</v>
      </c>
      <c r="P390" s="6">
        <v>788130</v>
      </c>
      <c r="Q390" s="5">
        <v>316450</v>
      </c>
      <c r="R390" s="5">
        <v>471670</v>
      </c>
      <c r="S390" s="5">
        <v>1.0108999999999999</v>
      </c>
      <c r="T390" s="5">
        <f>LOG(Table2[[#This Row],[ratio heavy to light normalized]],2)</f>
        <v>1.5640290376882238E-2</v>
      </c>
      <c r="U390" s="5">
        <v>0.62660383015091103</v>
      </c>
    </row>
    <row r="391" spans="1:21" x14ac:dyDescent="0.3">
      <c r="A391" s="5" t="s">
        <v>3026</v>
      </c>
      <c r="B391" s="5" t="s">
        <v>3027</v>
      </c>
      <c r="C391" s="5">
        <v>96</v>
      </c>
      <c r="D391" s="5">
        <v>96</v>
      </c>
      <c r="E391" s="5">
        <v>1</v>
      </c>
      <c r="F391" s="6">
        <v>73.293700000000001</v>
      </c>
      <c r="G391" s="7">
        <v>5.4884200000000001E-15</v>
      </c>
      <c r="H391" s="5">
        <v>73.293999999999997</v>
      </c>
      <c r="I391" s="5"/>
      <c r="J391" s="5">
        <v>1</v>
      </c>
      <c r="K391" s="5" t="s">
        <v>2</v>
      </c>
      <c r="L391" s="5" t="s">
        <v>3028</v>
      </c>
      <c r="M391" s="5" t="s">
        <v>3029</v>
      </c>
      <c r="N391" s="5" t="s">
        <v>3030</v>
      </c>
      <c r="O391" s="5">
        <v>12</v>
      </c>
      <c r="P391" s="6">
        <v>798760</v>
      </c>
      <c r="Q391" s="5">
        <v>369110</v>
      </c>
      <c r="R391" s="5">
        <v>429650</v>
      </c>
      <c r="S391" s="5">
        <v>1.0079</v>
      </c>
      <c r="T391" s="5">
        <f>LOG(Table2[[#This Row],[ratio heavy to light normalized]],2)</f>
        <v>1.1352507229905219E-2</v>
      </c>
      <c r="U391" s="5">
        <v>0.63344432518275395</v>
      </c>
    </row>
    <row r="392" spans="1:21" x14ac:dyDescent="0.3">
      <c r="A392" s="5" t="s">
        <v>3109</v>
      </c>
      <c r="B392" s="5" t="s">
        <v>3110</v>
      </c>
      <c r="C392" s="5">
        <v>234</v>
      </c>
      <c r="D392" s="5">
        <v>234</v>
      </c>
      <c r="E392" s="5">
        <v>1</v>
      </c>
      <c r="F392" s="6">
        <v>36.637300000000003</v>
      </c>
      <c r="G392" s="7">
        <v>2.7002000000000001E-10</v>
      </c>
      <c r="H392" s="5">
        <v>54.521000000000001</v>
      </c>
      <c r="I392" s="5" t="s">
        <v>11</v>
      </c>
      <c r="J392" s="5">
        <v>1</v>
      </c>
      <c r="K392" s="5" t="s">
        <v>2</v>
      </c>
      <c r="L392" s="5" t="s">
        <v>3111</v>
      </c>
      <c r="M392" s="5" t="s">
        <v>3112</v>
      </c>
      <c r="N392" s="5" t="s">
        <v>3113</v>
      </c>
      <c r="O392" s="5">
        <v>6</v>
      </c>
      <c r="P392" s="6">
        <v>988630</v>
      </c>
      <c r="Q392" s="5">
        <v>490450</v>
      </c>
      <c r="R392" s="5">
        <v>498180</v>
      </c>
      <c r="S392" s="5">
        <v>1.0077</v>
      </c>
      <c r="T392" s="5">
        <f>LOG(Table2[[#This Row],[ratio heavy to light normalized]],2)</f>
        <v>1.106620140620535E-2</v>
      </c>
      <c r="U392" s="5">
        <v>0.65558153435833799</v>
      </c>
    </row>
    <row r="393" spans="1:21" x14ac:dyDescent="0.3">
      <c r="A393" s="5" t="s">
        <v>1602</v>
      </c>
      <c r="B393" s="5" t="s">
        <v>1603</v>
      </c>
      <c r="C393" s="5">
        <v>82</v>
      </c>
      <c r="D393" s="5">
        <v>82</v>
      </c>
      <c r="E393" s="5">
        <v>1</v>
      </c>
      <c r="F393" s="6">
        <v>60.4741</v>
      </c>
      <c r="G393" s="7">
        <v>1.10091E-11</v>
      </c>
      <c r="H393" s="5">
        <v>72.183999999999997</v>
      </c>
      <c r="I393" s="5"/>
      <c r="J393" s="5">
        <v>1</v>
      </c>
      <c r="K393" s="5" t="s">
        <v>2</v>
      </c>
      <c r="L393" s="5" t="s">
        <v>3020</v>
      </c>
      <c r="M393" s="5" t="s">
        <v>3021</v>
      </c>
      <c r="N393" s="5" t="s">
        <v>3022</v>
      </c>
      <c r="O393" s="5">
        <v>10</v>
      </c>
      <c r="P393" s="6">
        <v>9948600</v>
      </c>
      <c r="Q393" s="5">
        <v>5349100</v>
      </c>
      <c r="R393" s="5">
        <v>4599500</v>
      </c>
      <c r="S393" s="5">
        <v>1.0073000000000001</v>
      </c>
      <c r="T393" s="5">
        <f>LOG(Table2[[#This Row],[ratio heavy to light normalized]],2)</f>
        <v>1.0493419248452729E-2</v>
      </c>
      <c r="U393" s="5">
        <v>0.63042311710238297</v>
      </c>
    </row>
    <row r="394" spans="1:21" x14ac:dyDescent="0.3">
      <c r="A394" s="5" t="s">
        <v>61</v>
      </c>
      <c r="B394" s="5" t="s">
        <v>62</v>
      </c>
      <c r="C394" s="5">
        <v>18</v>
      </c>
      <c r="D394" s="5">
        <v>18</v>
      </c>
      <c r="E394" s="5">
        <v>1</v>
      </c>
      <c r="F394" s="6">
        <v>108.489</v>
      </c>
      <c r="G394" s="7">
        <v>7.5413499999999996E-31</v>
      </c>
      <c r="H394" s="5">
        <v>108.49</v>
      </c>
      <c r="I394" s="5"/>
      <c r="J394" s="5">
        <v>1</v>
      </c>
      <c r="K394" s="5" t="s">
        <v>2</v>
      </c>
      <c r="L394" s="5" t="s">
        <v>3023</v>
      </c>
      <c r="M394" s="5" t="s">
        <v>3024</v>
      </c>
      <c r="N394" s="5" t="s">
        <v>3025</v>
      </c>
      <c r="O394" s="5">
        <v>15</v>
      </c>
      <c r="P394" s="6">
        <v>6785800</v>
      </c>
      <c r="Q394" s="5">
        <v>3432200</v>
      </c>
      <c r="R394" s="5">
        <v>3353600</v>
      </c>
      <c r="S394" s="5">
        <v>1.0072000000000001</v>
      </c>
      <c r="T394" s="5">
        <f>LOG(Table2[[#This Row],[ratio heavy to light normalized]],2)</f>
        <v>1.0350188169567268E-2</v>
      </c>
      <c r="U394" s="5">
        <v>0.630877097089664</v>
      </c>
    </row>
    <row r="395" spans="1:21" x14ac:dyDescent="0.3">
      <c r="A395" s="5" t="s">
        <v>564</v>
      </c>
      <c r="B395" s="5" t="s">
        <v>565</v>
      </c>
      <c r="C395" s="5">
        <v>737</v>
      </c>
      <c r="D395" s="5">
        <v>737</v>
      </c>
      <c r="E395" s="5">
        <v>1</v>
      </c>
      <c r="F395" s="6">
        <v>109.664</v>
      </c>
      <c r="G395" s="7">
        <v>4.6941099999999998E-20</v>
      </c>
      <c r="H395" s="5">
        <v>109.66</v>
      </c>
      <c r="I395" s="5" t="s">
        <v>11</v>
      </c>
      <c r="J395" s="5">
        <v>1</v>
      </c>
      <c r="K395" s="5" t="s">
        <v>2</v>
      </c>
      <c r="L395" s="5" t="s">
        <v>3117</v>
      </c>
      <c r="M395" s="5" t="s">
        <v>3118</v>
      </c>
      <c r="N395" s="5" t="s">
        <v>3119</v>
      </c>
      <c r="O395" s="5">
        <v>7</v>
      </c>
      <c r="P395" s="6">
        <v>2493900</v>
      </c>
      <c r="Q395" s="5">
        <v>1329300</v>
      </c>
      <c r="R395" s="5">
        <v>1164700</v>
      </c>
      <c r="S395" s="5">
        <v>1.0068999999999999</v>
      </c>
      <c r="T395" s="5">
        <f>LOG(Table2[[#This Row],[ratio heavy to light normalized]],2)</f>
        <v>9.9204095930638808E-3</v>
      </c>
      <c r="U395" s="5">
        <v>0.65842960591717303</v>
      </c>
    </row>
    <row r="396" spans="1:21" x14ac:dyDescent="0.3">
      <c r="A396" s="5" t="s">
        <v>381</v>
      </c>
      <c r="B396" s="5" t="s">
        <v>382</v>
      </c>
      <c r="C396" s="5">
        <v>458</v>
      </c>
      <c r="D396" s="5">
        <v>458</v>
      </c>
      <c r="E396" s="5">
        <v>1</v>
      </c>
      <c r="F396" s="6">
        <v>79.651499999999999</v>
      </c>
      <c r="G396" s="7">
        <v>7.3967099999999995E-15</v>
      </c>
      <c r="H396" s="5">
        <v>79.652000000000001</v>
      </c>
      <c r="I396" s="5" t="s">
        <v>11</v>
      </c>
      <c r="J396" s="5">
        <v>1</v>
      </c>
      <c r="K396" s="5" t="s">
        <v>2</v>
      </c>
      <c r="L396" s="5" t="s">
        <v>3125</v>
      </c>
      <c r="M396" s="5" t="s">
        <v>3126</v>
      </c>
      <c r="N396" s="5" t="s">
        <v>3127</v>
      </c>
      <c r="O396" s="5">
        <v>5</v>
      </c>
      <c r="P396" s="6">
        <v>1420100</v>
      </c>
      <c r="Q396" s="5">
        <v>743600</v>
      </c>
      <c r="R396" s="5">
        <v>676490</v>
      </c>
      <c r="S396" s="5">
        <v>1.0063</v>
      </c>
      <c r="T396" s="5">
        <f>LOG(Table2[[#This Row],[ratio heavy to light normalized]],2)</f>
        <v>9.0604681563835974E-3</v>
      </c>
      <c r="U396" s="5">
        <v>0.66057040799411604</v>
      </c>
    </row>
    <row r="397" spans="1:21" x14ac:dyDescent="0.3">
      <c r="A397" s="5" t="s">
        <v>1908</v>
      </c>
      <c r="B397" s="5" t="s">
        <v>1909</v>
      </c>
      <c r="C397" s="5">
        <v>351</v>
      </c>
      <c r="D397" s="5">
        <v>351</v>
      </c>
      <c r="E397" s="5">
        <v>1</v>
      </c>
      <c r="F397" s="6">
        <v>95.400899999999993</v>
      </c>
      <c r="G397" s="7">
        <v>5.6906300000000002E-13</v>
      </c>
      <c r="H397" s="5">
        <v>95.400999999999996</v>
      </c>
      <c r="I397" s="5"/>
      <c r="J397" s="5">
        <v>1</v>
      </c>
      <c r="K397" s="5" t="s">
        <v>2</v>
      </c>
      <c r="L397" s="5" t="s">
        <v>3039</v>
      </c>
      <c r="M397" s="5" t="s">
        <v>3040</v>
      </c>
      <c r="N397" s="5" t="s">
        <v>3041</v>
      </c>
      <c r="O397" s="5">
        <v>5</v>
      </c>
      <c r="P397" s="6">
        <v>2966100</v>
      </c>
      <c r="Q397" s="5">
        <v>1624700</v>
      </c>
      <c r="R397" s="5">
        <v>1341400</v>
      </c>
      <c r="S397" s="5">
        <v>1.0058</v>
      </c>
      <c r="T397" s="5">
        <f>LOG(Table2[[#This Row],[ratio heavy to light normalized]],2)</f>
        <v>8.343458529334968E-3</v>
      </c>
      <c r="U397" s="5">
        <v>0.63725214088645599</v>
      </c>
    </row>
    <row r="398" spans="1:21" x14ac:dyDescent="0.3">
      <c r="A398" s="5" t="s">
        <v>595</v>
      </c>
      <c r="B398" s="5" t="s">
        <v>596</v>
      </c>
      <c r="C398" s="5">
        <v>1192</v>
      </c>
      <c r="D398" s="5">
        <v>1192</v>
      </c>
      <c r="E398" s="5">
        <v>1</v>
      </c>
      <c r="F398" s="6">
        <v>77.4679</v>
      </c>
      <c r="G398" s="7">
        <v>5.6624500000000002E-18</v>
      </c>
      <c r="H398" s="5">
        <v>85.563000000000002</v>
      </c>
      <c r="I398" s="5" t="s">
        <v>11</v>
      </c>
      <c r="J398" s="5">
        <v>1</v>
      </c>
      <c r="K398" s="5" t="s">
        <v>2</v>
      </c>
      <c r="L398" s="5" t="s">
        <v>3045</v>
      </c>
      <c r="M398" s="5" t="s">
        <v>3046</v>
      </c>
      <c r="N398" s="5" t="s">
        <v>3047</v>
      </c>
      <c r="O398" s="5">
        <v>18</v>
      </c>
      <c r="P398" s="6">
        <v>4445400</v>
      </c>
      <c r="Q398" s="5">
        <v>1882000</v>
      </c>
      <c r="R398" s="5">
        <v>2563500</v>
      </c>
      <c r="S398" s="5">
        <v>1.0055000000000001</v>
      </c>
      <c r="T398" s="5">
        <f>LOG(Table2[[#This Row],[ratio heavy to light normalized]],2)</f>
        <v>7.9130816432649298E-3</v>
      </c>
      <c r="U398" s="5">
        <v>0.63862290032806401</v>
      </c>
    </row>
    <row r="399" spans="1:21" x14ac:dyDescent="0.3">
      <c r="A399" s="5" t="s">
        <v>544</v>
      </c>
      <c r="B399" s="5" t="s">
        <v>545</v>
      </c>
      <c r="C399" s="5">
        <v>165</v>
      </c>
      <c r="D399" s="5">
        <v>165</v>
      </c>
      <c r="E399" s="5">
        <v>1</v>
      </c>
      <c r="F399" s="6">
        <v>125.74</v>
      </c>
      <c r="G399" s="7">
        <v>2.1406500000000001E-29</v>
      </c>
      <c r="H399" s="5">
        <v>125.74</v>
      </c>
      <c r="I399" s="5" t="s">
        <v>11</v>
      </c>
      <c r="J399" s="5">
        <v>1</v>
      </c>
      <c r="K399" s="5" t="s">
        <v>2</v>
      </c>
      <c r="L399" s="5" t="s">
        <v>3158</v>
      </c>
      <c r="M399" s="5" t="s">
        <v>3159</v>
      </c>
      <c r="N399" s="5" t="s">
        <v>3160</v>
      </c>
      <c r="O399" s="5">
        <v>11</v>
      </c>
      <c r="P399" s="6">
        <v>2422200</v>
      </c>
      <c r="Q399" s="5">
        <v>1382300</v>
      </c>
      <c r="R399" s="5">
        <v>1039900</v>
      </c>
      <c r="S399" s="5">
        <v>1.0037</v>
      </c>
      <c r="T399" s="5">
        <f>LOG(Table2[[#This Row],[ratio heavy to light normalized]],2)</f>
        <v>5.3281206952817016E-3</v>
      </c>
      <c r="U399" s="5">
        <v>0.66989402660669595</v>
      </c>
    </row>
    <row r="400" spans="1:21" x14ac:dyDescent="0.3">
      <c r="A400" s="5" t="s">
        <v>643</v>
      </c>
      <c r="B400" s="5" t="s">
        <v>644</v>
      </c>
      <c r="C400" s="5">
        <v>221</v>
      </c>
      <c r="D400" s="5">
        <v>221</v>
      </c>
      <c r="E400" s="5">
        <v>1</v>
      </c>
      <c r="F400" s="6">
        <v>72.332700000000003</v>
      </c>
      <c r="G400" s="7">
        <v>2.9313999999999998E-10</v>
      </c>
      <c r="H400" s="5">
        <v>74.296000000000006</v>
      </c>
      <c r="I400" s="5"/>
      <c r="J400" s="5">
        <v>1</v>
      </c>
      <c r="K400" s="5" t="s">
        <v>2</v>
      </c>
      <c r="L400" s="5" t="s">
        <v>3164</v>
      </c>
      <c r="M400" s="5" t="s">
        <v>3165</v>
      </c>
      <c r="N400" s="5" t="s">
        <v>3166</v>
      </c>
      <c r="O400" s="5">
        <v>14</v>
      </c>
      <c r="P400" s="6">
        <v>1749200</v>
      </c>
      <c r="Q400" s="5">
        <v>998530</v>
      </c>
      <c r="R400" s="5">
        <v>750690</v>
      </c>
      <c r="S400" s="5">
        <v>1.0035000000000001</v>
      </c>
      <c r="T400" s="5">
        <f>LOG(Table2[[#This Row],[ratio heavy to light normalized]],2)</f>
        <v>5.0406167005301369E-3</v>
      </c>
      <c r="U400" s="5">
        <v>0.67061436569038502</v>
      </c>
    </row>
    <row r="401" spans="1:21" x14ac:dyDescent="0.3">
      <c r="A401" s="5" t="s">
        <v>1649</v>
      </c>
      <c r="B401" s="5" t="s">
        <v>1650</v>
      </c>
      <c r="C401" s="5">
        <v>95</v>
      </c>
      <c r="D401" s="5">
        <v>95</v>
      </c>
      <c r="E401" s="5">
        <v>1</v>
      </c>
      <c r="F401" s="6">
        <v>45.863700000000001</v>
      </c>
      <c r="G401" s="5">
        <v>2.00466E-4</v>
      </c>
      <c r="H401" s="5">
        <v>45.863999999999997</v>
      </c>
      <c r="I401" s="5" t="s">
        <v>11</v>
      </c>
      <c r="J401" s="5">
        <v>1</v>
      </c>
      <c r="K401" s="5" t="s">
        <v>2</v>
      </c>
      <c r="L401" s="5" t="s">
        <v>3199</v>
      </c>
      <c r="M401" s="5" t="s">
        <v>3200</v>
      </c>
      <c r="N401" s="5" t="s">
        <v>3201</v>
      </c>
      <c r="O401" s="5">
        <v>12</v>
      </c>
      <c r="P401" s="6">
        <v>1658200</v>
      </c>
      <c r="Q401" s="5">
        <v>784400</v>
      </c>
      <c r="R401" s="5">
        <v>873830</v>
      </c>
      <c r="S401" s="5">
        <v>1.0018</v>
      </c>
      <c r="T401" s="5">
        <f>LOG(Table2[[#This Row],[ratio heavy to light normalized]],2)</f>
        <v>2.5945167084523231E-3</v>
      </c>
      <c r="U401" s="5">
        <v>0.67675524361455897</v>
      </c>
    </row>
    <row r="402" spans="1:21" x14ac:dyDescent="0.3">
      <c r="A402" s="5" t="s">
        <v>702</v>
      </c>
      <c r="B402" s="5" t="s">
        <v>703</v>
      </c>
      <c r="C402" s="5">
        <v>175</v>
      </c>
      <c r="D402" s="5">
        <v>175</v>
      </c>
      <c r="E402" s="5">
        <v>1</v>
      </c>
      <c r="F402" s="6">
        <v>79.8202</v>
      </c>
      <c r="G402" s="7">
        <v>1.79346E-8</v>
      </c>
      <c r="H402" s="5">
        <v>79.819999999999993</v>
      </c>
      <c r="I402" s="5"/>
      <c r="J402" s="5">
        <v>1</v>
      </c>
      <c r="K402" s="5" t="s">
        <v>2</v>
      </c>
      <c r="L402" s="5" t="s">
        <v>3128</v>
      </c>
      <c r="M402" s="5" t="s">
        <v>3129</v>
      </c>
      <c r="N402" s="5" t="s">
        <v>3130</v>
      </c>
      <c r="O402" s="5">
        <v>11</v>
      </c>
      <c r="P402" s="6">
        <v>10999000</v>
      </c>
      <c r="Q402" s="5">
        <v>4625100</v>
      </c>
      <c r="R402" s="5">
        <v>6374100</v>
      </c>
      <c r="S402" s="5">
        <v>1.0005999999999999</v>
      </c>
      <c r="T402" s="5">
        <f>LOG(Table2[[#This Row],[ratio heavy to light normalized]],2)</f>
        <v>8.6535744325324474E-4</v>
      </c>
      <c r="U402" s="5">
        <v>0.66124298666494596</v>
      </c>
    </row>
    <row r="403" spans="1:21" x14ac:dyDescent="0.3">
      <c r="A403" s="5" t="s">
        <v>2099</v>
      </c>
      <c r="B403" s="5" t="s">
        <v>2100</v>
      </c>
      <c r="C403" s="5">
        <v>804</v>
      </c>
      <c r="D403" s="5">
        <v>804</v>
      </c>
      <c r="E403" s="5">
        <v>1</v>
      </c>
      <c r="F403" s="6">
        <v>57.347200000000001</v>
      </c>
      <c r="G403" s="5">
        <v>4.7575300000000003E-3</v>
      </c>
      <c r="H403" s="5">
        <v>57.347000000000001</v>
      </c>
      <c r="I403" s="5" t="s">
        <v>11</v>
      </c>
      <c r="J403" s="5">
        <v>1</v>
      </c>
      <c r="K403" s="5" t="s">
        <v>2</v>
      </c>
      <c r="L403" s="5" t="s">
        <v>3235</v>
      </c>
      <c r="M403" s="5" t="s">
        <v>3236</v>
      </c>
      <c r="N403" s="5" t="s">
        <v>3237</v>
      </c>
      <c r="O403" s="5">
        <v>6</v>
      </c>
      <c r="P403" s="6">
        <v>1558200</v>
      </c>
      <c r="Q403" s="5">
        <v>796270</v>
      </c>
      <c r="R403" s="5">
        <v>761940</v>
      </c>
      <c r="S403" s="5">
        <v>0.99963999999999997</v>
      </c>
      <c r="T403" s="5">
        <f>LOG(Table2[[#This Row],[ratio heavy to light normalized]],2)</f>
        <v>-5.1946372380156833E-4</v>
      </c>
      <c r="U403" s="5">
        <v>0.684603978093688</v>
      </c>
    </row>
    <row r="404" spans="1:21" x14ac:dyDescent="0.3">
      <c r="A404" s="5" t="s">
        <v>3148</v>
      </c>
      <c r="B404" s="5" t="s">
        <v>3149</v>
      </c>
      <c r="C404" s="5">
        <v>127</v>
      </c>
      <c r="D404" s="5">
        <v>127</v>
      </c>
      <c r="E404" s="5">
        <v>1</v>
      </c>
      <c r="F404" s="6">
        <v>120.56</v>
      </c>
      <c r="G404" s="7">
        <v>2.0927999999999999E-51</v>
      </c>
      <c r="H404" s="5">
        <v>120.56</v>
      </c>
      <c r="I404" s="5" t="s">
        <v>11</v>
      </c>
      <c r="J404" s="5">
        <v>1</v>
      </c>
      <c r="K404" s="5" t="s">
        <v>2</v>
      </c>
      <c r="L404" s="5" t="s">
        <v>3150</v>
      </c>
      <c r="M404" s="5" t="s">
        <v>3151</v>
      </c>
      <c r="N404" s="5" t="s">
        <v>3152</v>
      </c>
      <c r="O404" s="5">
        <v>8</v>
      </c>
      <c r="P404" s="6">
        <v>17419000</v>
      </c>
      <c r="Q404" s="5">
        <v>6711300</v>
      </c>
      <c r="R404" s="5">
        <v>10707000</v>
      </c>
      <c r="S404" s="5">
        <v>0.99931000000000003</v>
      </c>
      <c r="T404" s="5">
        <f>LOG(Table2[[#This Row],[ratio heavy to light normalized]],2)</f>
        <v>-9.9580316982905747E-4</v>
      </c>
      <c r="U404" s="5">
        <v>0.66726958716190798</v>
      </c>
    </row>
    <row r="405" spans="1:21" x14ac:dyDescent="0.3">
      <c r="A405" s="5" t="s">
        <v>3252</v>
      </c>
      <c r="B405" s="5" t="s">
        <v>3253</v>
      </c>
      <c r="C405" s="5">
        <v>137</v>
      </c>
      <c r="D405" s="5">
        <v>137</v>
      </c>
      <c r="E405" s="5">
        <v>1</v>
      </c>
      <c r="F405" s="6">
        <v>82.416700000000006</v>
      </c>
      <c r="G405" s="7">
        <v>1.6854600000000001E-7</v>
      </c>
      <c r="H405" s="5">
        <v>82.417000000000002</v>
      </c>
      <c r="I405" s="5" t="s">
        <v>11</v>
      </c>
      <c r="J405" s="5">
        <v>1</v>
      </c>
      <c r="K405" s="5" t="s">
        <v>2</v>
      </c>
      <c r="L405" s="5" t="s">
        <v>3254</v>
      </c>
      <c r="M405" s="5" t="s">
        <v>3255</v>
      </c>
      <c r="N405" s="5" t="s">
        <v>3256</v>
      </c>
      <c r="O405" s="5">
        <v>4</v>
      </c>
      <c r="P405" s="6">
        <v>1276200</v>
      </c>
      <c r="Q405" s="5">
        <v>943850</v>
      </c>
      <c r="R405" s="5">
        <v>332340</v>
      </c>
      <c r="S405" s="5">
        <v>0.99843000000000004</v>
      </c>
      <c r="T405" s="5">
        <f>LOG(Table2[[#This Row],[ratio heavy to light normalized]],2)</f>
        <v>-2.2668111269180187E-3</v>
      </c>
      <c r="U405" s="5">
        <v>0.68902316803355701</v>
      </c>
    </row>
    <row r="406" spans="1:21" x14ac:dyDescent="0.3">
      <c r="A406" s="5" t="s">
        <v>3173</v>
      </c>
      <c r="B406" s="5" t="s">
        <v>3174</v>
      </c>
      <c r="C406" s="5">
        <v>10</v>
      </c>
      <c r="D406" s="5">
        <v>10</v>
      </c>
      <c r="E406" s="5">
        <v>1</v>
      </c>
      <c r="F406" s="6">
        <v>127.565</v>
      </c>
      <c r="G406" s="7">
        <v>7.7433099999999996E-26</v>
      </c>
      <c r="H406" s="5">
        <v>127.56</v>
      </c>
      <c r="I406" s="5" t="s">
        <v>11</v>
      </c>
      <c r="J406" s="5">
        <v>1</v>
      </c>
      <c r="K406" s="5" t="s">
        <v>2</v>
      </c>
      <c r="L406" s="5" t="s">
        <v>3175</v>
      </c>
      <c r="M406" s="5" t="s">
        <v>3176</v>
      </c>
      <c r="N406" s="5" t="s">
        <v>3177</v>
      </c>
      <c r="O406" s="5">
        <v>7</v>
      </c>
      <c r="P406" s="6">
        <v>2664400</v>
      </c>
      <c r="Q406" s="5">
        <v>1347500</v>
      </c>
      <c r="R406" s="5">
        <v>1316900</v>
      </c>
      <c r="S406" s="5">
        <v>0.99827999999999995</v>
      </c>
      <c r="T406" s="5">
        <f>LOG(Table2[[#This Row],[ratio heavy to light normalized]],2)</f>
        <v>-2.483571955020825E-3</v>
      </c>
      <c r="U406" s="5">
        <v>0.67210262033069701</v>
      </c>
    </row>
    <row r="407" spans="1:21" x14ac:dyDescent="0.3">
      <c r="A407" s="5" t="s">
        <v>3178</v>
      </c>
      <c r="B407" s="5" t="s">
        <v>3179</v>
      </c>
      <c r="C407" s="5">
        <v>108</v>
      </c>
      <c r="D407" s="5">
        <v>108</v>
      </c>
      <c r="E407" s="5">
        <v>1</v>
      </c>
      <c r="F407" s="6">
        <v>39.348199999999999</v>
      </c>
      <c r="G407" s="5">
        <v>7.0417699999999995E-4</v>
      </c>
      <c r="H407" s="5">
        <v>39.347999999999999</v>
      </c>
      <c r="I407" s="5" t="s">
        <v>11</v>
      </c>
      <c r="J407" s="5">
        <v>1</v>
      </c>
      <c r="K407" s="5" t="s">
        <v>2</v>
      </c>
      <c r="L407" s="5" t="s">
        <v>3180</v>
      </c>
      <c r="M407" s="5" t="s">
        <v>3181</v>
      </c>
      <c r="N407" s="5" t="s">
        <v>3182</v>
      </c>
      <c r="O407" s="5">
        <v>16</v>
      </c>
      <c r="P407" s="6">
        <v>2863900</v>
      </c>
      <c r="Q407" s="5">
        <v>1395600</v>
      </c>
      <c r="R407" s="5">
        <v>1468300</v>
      </c>
      <c r="S407" s="5">
        <v>0.99824999999999997</v>
      </c>
      <c r="T407" s="5">
        <f>LOG(Table2[[#This Row],[ratio heavy to light normalized]],2)</f>
        <v>-2.526928029039136E-3</v>
      </c>
      <c r="U407" s="5">
        <v>0.67224366765517396</v>
      </c>
    </row>
    <row r="408" spans="1:21" x14ac:dyDescent="0.3">
      <c r="A408" s="5" t="s">
        <v>323</v>
      </c>
      <c r="B408" s="5" t="s">
        <v>324</v>
      </c>
      <c r="C408" s="5">
        <v>198</v>
      </c>
      <c r="D408" s="5">
        <v>198</v>
      </c>
      <c r="E408" s="5">
        <v>1</v>
      </c>
      <c r="F408" s="6">
        <v>34.148200000000003</v>
      </c>
      <c r="G408" s="5">
        <v>7.9042999999999995E-4</v>
      </c>
      <c r="H408" s="5">
        <v>34.148000000000003</v>
      </c>
      <c r="I408" s="5"/>
      <c r="J408" s="5">
        <v>1</v>
      </c>
      <c r="K408" s="5" t="s">
        <v>2</v>
      </c>
      <c r="L408" s="5" t="s">
        <v>3196</v>
      </c>
      <c r="M408" s="5" t="s">
        <v>3197</v>
      </c>
      <c r="N408" s="5" t="s">
        <v>3198</v>
      </c>
      <c r="O408" s="5">
        <v>9</v>
      </c>
      <c r="P408" s="6">
        <v>8493400</v>
      </c>
      <c r="Q408" s="5">
        <v>4122500</v>
      </c>
      <c r="R408" s="5">
        <v>4370800</v>
      </c>
      <c r="S408" s="5">
        <v>0.99756999999999996</v>
      </c>
      <c r="T408" s="5">
        <f>LOG(Table2[[#This Row],[ratio heavy to light normalized]],2)</f>
        <v>-3.5100153472997866E-3</v>
      </c>
      <c r="U408" s="5">
        <v>0.67544496611942395</v>
      </c>
    </row>
    <row r="409" spans="1:21" x14ac:dyDescent="0.3">
      <c r="A409" s="5" t="s">
        <v>1201</v>
      </c>
      <c r="B409" s="5" t="s">
        <v>1202</v>
      </c>
      <c r="C409" s="5">
        <v>268</v>
      </c>
      <c r="D409" s="5">
        <v>268</v>
      </c>
      <c r="E409" s="5">
        <v>1</v>
      </c>
      <c r="F409" s="6">
        <v>92.611000000000004</v>
      </c>
      <c r="G409" s="7">
        <v>1.2437599999999999E-12</v>
      </c>
      <c r="H409" s="5">
        <v>92.611000000000004</v>
      </c>
      <c r="I409" s="5" t="s">
        <v>11</v>
      </c>
      <c r="J409" s="5">
        <v>1</v>
      </c>
      <c r="K409" s="5" t="s">
        <v>2</v>
      </c>
      <c r="L409" s="5" t="s">
        <v>3226</v>
      </c>
      <c r="M409" s="5" t="s">
        <v>3227</v>
      </c>
      <c r="N409" s="5" t="s">
        <v>3228</v>
      </c>
      <c r="O409" s="5">
        <v>4</v>
      </c>
      <c r="P409" s="6">
        <v>5124700</v>
      </c>
      <c r="Q409" s="5">
        <v>2568600</v>
      </c>
      <c r="R409" s="5">
        <v>2556100</v>
      </c>
      <c r="S409" s="5">
        <v>0.99617999999999995</v>
      </c>
      <c r="T409" s="5">
        <f>LOG(Table2[[#This Row],[ratio heavy to light normalized]],2)</f>
        <v>-5.5216481314910599E-3</v>
      </c>
      <c r="U409" s="5">
        <v>0.68201386605386305</v>
      </c>
    </row>
    <row r="410" spans="1:21" x14ac:dyDescent="0.3">
      <c r="A410" s="5" t="s">
        <v>1009</v>
      </c>
      <c r="B410" s="5" t="s">
        <v>1010</v>
      </c>
      <c r="C410" s="5">
        <v>237</v>
      </c>
      <c r="D410" s="5">
        <v>237</v>
      </c>
      <c r="E410" s="5">
        <v>1</v>
      </c>
      <c r="F410" s="6">
        <v>85.288399999999996</v>
      </c>
      <c r="G410" s="7">
        <v>1.9409599999999998E-12</v>
      </c>
      <c r="H410" s="5">
        <v>90.653000000000006</v>
      </c>
      <c r="I410" s="5"/>
      <c r="J410" s="5">
        <v>1</v>
      </c>
      <c r="K410" s="5" t="s">
        <v>2</v>
      </c>
      <c r="L410" s="5" t="s">
        <v>3232</v>
      </c>
      <c r="M410" s="5" t="s">
        <v>3233</v>
      </c>
      <c r="N410" s="5" t="s">
        <v>3234</v>
      </c>
      <c r="O410" s="5">
        <v>5</v>
      </c>
      <c r="P410" s="6">
        <v>89491000</v>
      </c>
      <c r="Q410" s="5">
        <v>41572000</v>
      </c>
      <c r="R410" s="5">
        <v>47919000</v>
      </c>
      <c r="S410" s="5">
        <v>0.99567000000000005</v>
      </c>
      <c r="T410" s="5">
        <f>LOG(Table2[[#This Row],[ratio heavy to light normalized]],2)</f>
        <v>-6.2604331674444829E-3</v>
      </c>
      <c r="U410" s="5">
        <v>0.68443243255047503</v>
      </c>
    </row>
    <row r="411" spans="1:21" x14ac:dyDescent="0.3">
      <c r="A411" s="5" t="s">
        <v>489</v>
      </c>
      <c r="B411" s="5" t="s">
        <v>490</v>
      </c>
      <c r="C411" s="5">
        <v>285</v>
      </c>
      <c r="D411" s="5">
        <v>285</v>
      </c>
      <c r="E411" s="5">
        <v>1</v>
      </c>
      <c r="F411" s="6">
        <v>69.763199999999998</v>
      </c>
      <c r="G411" s="7">
        <v>4.1131100000000001E-14</v>
      </c>
      <c r="H411" s="5">
        <v>69.763000000000005</v>
      </c>
      <c r="I411" s="5" t="s">
        <v>11</v>
      </c>
      <c r="J411" s="5">
        <v>1</v>
      </c>
      <c r="K411" s="5" t="s">
        <v>2</v>
      </c>
      <c r="L411" s="5" t="s">
        <v>3238</v>
      </c>
      <c r="M411" s="5" t="s">
        <v>3239</v>
      </c>
      <c r="N411" s="5" t="s">
        <v>3240</v>
      </c>
      <c r="O411" s="5">
        <v>3</v>
      </c>
      <c r="P411" s="6">
        <v>2811500</v>
      </c>
      <c r="Q411" s="5">
        <v>1412500</v>
      </c>
      <c r="R411" s="5">
        <v>1399000</v>
      </c>
      <c r="S411" s="5">
        <v>0.99561999999999995</v>
      </c>
      <c r="T411" s="5">
        <f>LOG(Table2[[#This Row],[ratio heavy to light normalized]],2)</f>
        <v>-6.3328834404431517E-3</v>
      </c>
      <c r="U411" s="5">
        <v>0.68466978841652404</v>
      </c>
    </row>
    <row r="412" spans="1:21" x14ac:dyDescent="0.3">
      <c r="A412" s="5" t="s">
        <v>628</v>
      </c>
      <c r="B412" s="5" t="s">
        <v>629</v>
      </c>
      <c r="C412" s="5">
        <v>363</v>
      </c>
      <c r="D412" s="5">
        <v>363</v>
      </c>
      <c r="E412" s="5">
        <v>1</v>
      </c>
      <c r="F412" s="6">
        <v>60.918399999999998</v>
      </c>
      <c r="G412" s="7">
        <v>5.4788499999999999E-7</v>
      </c>
      <c r="H412" s="5">
        <v>60.917999999999999</v>
      </c>
      <c r="I412" s="5"/>
      <c r="J412" s="5">
        <v>1</v>
      </c>
      <c r="K412" s="5" t="s">
        <v>2</v>
      </c>
      <c r="L412" s="5" t="s">
        <v>3241</v>
      </c>
      <c r="M412" s="5" t="s">
        <v>3242</v>
      </c>
      <c r="N412" s="5" t="s">
        <v>3243</v>
      </c>
      <c r="O412" s="5">
        <v>13</v>
      </c>
      <c r="P412" s="6">
        <v>4999800</v>
      </c>
      <c r="Q412" s="5">
        <v>2455100</v>
      </c>
      <c r="R412" s="5">
        <v>2544700</v>
      </c>
      <c r="S412" s="5">
        <v>0.99543000000000004</v>
      </c>
      <c r="T412" s="5">
        <f>LOG(Table2[[#This Row],[ratio heavy to light normalized]],2)</f>
        <v>-6.6082276644463932E-3</v>
      </c>
      <c r="U412" s="5">
        <v>0.68557213333984501</v>
      </c>
    </row>
    <row r="413" spans="1:21" x14ac:dyDescent="0.3">
      <c r="A413" s="5" t="s">
        <v>730</v>
      </c>
      <c r="B413" s="5" t="s">
        <v>731</v>
      </c>
      <c r="C413" s="5">
        <v>80</v>
      </c>
      <c r="D413" s="5">
        <v>80</v>
      </c>
      <c r="E413" s="5">
        <v>1</v>
      </c>
      <c r="F413" s="6">
        <v>46.352699999999999</v>
      </c>
      <c r="G413" s="7">
        <v>1.4490499999999999E-6</v>
      </c>
      <c r="H413" s="5">
        <v>46.353000000000002</v>
      </c>
      <c r="I413" s="5" t="s">
        <v>11</v>
      </c>
      <c r="J413" s="5">
        <v>1</v>
      </c>
      <c r="K413" s="5" t="s">
        <v>2</v>
      </c>
      <c r="L413" s="5" t="s">
        <v>3131</v>
      </c>
      <c r="M413" s="5" t="s">
        <v>3132</v>
      </c>
      <c r="N413" s="5" t="s">
        <v>3133</v>
      </c>
      <c r="O413" s="5">
        <v>18</v>
      </c>
      <c r="P413" s="6">
        <v>534200</v>
      </c>
      <c r="Q413" s="5">
        <v>339170</v>
      </c>
      <c r="R413" s="5">
        <v>195040</v>
      </c>
      <c r="S413" s="5">
        <v>0.99517999999999995</v>
      </c>
      <c r="T413" s="5">
        <f>LOG(Table2[[#This Row],[ratio heavy to light normalized]],2)</f>
        <v>-6.9706027777218568E-3</v>
      </c>
      <c r="U413" s="5">
        <v>0.66302456351493</v>
      </c>
    </row>
    <row r="414" spans="1:21" x14ac:dyDescent="0.3">
      <c r="A414" s="5" t="s">
        <v>323</v>
      </c>
      <c r="B414" s="5" t="s">
        <v>324</v>
      </c>
      <c r="C414" s="5">
        <v>143</v>
      </c>
      <c r="D414" s="5">
        <v>143</v>
      </c>
      <c r="E414" s="5">
        <v>1</v>
      </c>
      <c r="F414" s="6">
        <v>152.63</v>
      </c>
      <c r="G414" s="7">
        <v>2.0930899999999999E-50</v>
      </c>
      <c r="H414" s="5">
        <v>152.63</v>
      </c>
      <c r="I414" s="5" t="s">
        <v>11</v>
      </c>
      <c r="J414" s="5">
        <v>1</v>
      </c>
      <c r="K414" s="5" t="s">
        <v>2</v>
      </c>
      <c r="L414" s="5" t="s">
        <v>3249</v>
      </c>
      <c r="M414" s="5" t="s">
        <v>3250</v>
      </c>
      <c r="N414" s="5" t="s">
        <v>3251</v>
      </c>
      <c r="O414" s="5">
        <v>6</v>
      </c>
      <c r="P414" s="6">
        <v>145290000</v>
      </c>
      <c r="Q414" s="5">
        <v>62311000</v>
      </c>
      <c r="R414" s="5">
        <v>82978000</v>
      </c>
      <c r="S414" s="5">
        <v>0.99504999999999999</v>
      </c>
      <c r="T414" s="5">
        <f>LOG(Table2[[#This Row],[ratio heavy to light normalized]],2)</f>
        <v>-7.1590738143178737E-3</v>
      </c>
      <c r="U414" s="5">
        <v>0.68737868553057202</v>
      </c>
    </row>
    <row r="415" spans="1:21" x14ac:dyDescent="0.3">
      <c r="A415" s="5" t="s">
        <v>1090</v>
      </c>
      <c r="B415" s="5" t="s">
        <v>1091</v>
      </c>
      <c r="C415" s="5">
        <v>486</v>
      </c>
      <c r="D415" s="5">
        <v>486</v>
      </c>
      <c r="E415" s="5">
        <v>1</v>
      </c>
      <c r="F415" s="6">
        <v>115.327</v>
      </c>
      <c r="G415" s="7">
        <v>4.67617E-23</v>
      </c>
      <c r="H415" s="5">
        <v>115.33</v>
      </c>
      <c r="I415" s="5" t="s">
        <v>11</v>
      </c>
      <c r="J415" s="5">
        <v>1</v>
      </c>
      <c r="K415" s="5" t="s">
        <v>2</v>
      </c>
      <c r="L415" s="5" t="s">
        <v>3306</v>
      </c>
      <c r="M415" s="5" t="s">
        <v>3307</v>
      </c>
      <c r="N415" s="5" t="s">
        <v>3308</v>
      </c>
      <c r="O415" s="5">
        <v>8</v>
      </c>
      <c r="P415" s="6">
        <v>1172100</v>
      </c>
      <c r="Q415" s="5">
        <v>591520</v>
      </c>
      <c r="R415" s="5">
        <v>580630</v>
      </c>
      <c r="S415" s="5">
        <v>0.99487999999999999</v>
      </c>
      <c r="T415" s="5">
        <f>LOG(Table2[[#This Row],[ratio heavy to light normalized]],2)</f>
        <v>-7.4055730957476584E-3</v>
      </c>
      <c r="U415" s="5">
        <v>0.70208066806292202</v>
      </c>
    </row>
    <row r="416" spans="1:21" x14ac:dyDescent="0.3">
      <c r="A416" s="5" t="s">
        <v>3314</v>
      </c>
      <c r="B416" s="5" t="s">
        <v>3315</v>
      </c>
      <c r="C416" s="5">
        <v>153</v>
      </c>
      <c r="D416" s="5">
        <v>153</v>
      </c>
      <c r="E416" s="5">
        <v>1</v>
      </c>
      <c r="F416" s="6">
        <v>55.186100000000003</v>
      </c>
      <c r="G416" s="7">
        <v>1.31906E-6</v>
      </c>
      <c r="H416" s="5">
        <v>55.186</v>
      </c>
      <c r="I416" s="5"/>
      <c r="J416" s="5">
        <v>1</v>
      </c>
      <c r="K416" s="5" t="s">
        <v>2</v>
      </c>
      <c r="L416" s="5" t="s">
        <v>3316</v>
      </c>
      <c r="M416" s="5" t="s">
        <v>3317</v>
      </c>
      <c r="N416" s="5" t="s">
        <v>3318</v>
      </c>
      <c r="O416" s="5">
        <v>12</v>
      </c>
      <c r="P416" s="6">
        <v>1215100</v>
      </c>
      <c r="Q416" s="5">
        <v>637670</v>
      </c>
      <c r="R416" s="5">
        <v>577420</v>
      </c>
      <c r="S416" s="5">
        <v>0.99470000000000003</v>
      </c>
      <c r="T416" s="5">
        <f>LOG(Table2[[#This Row],[ratio heavy to light normalized]],2)</f>
        <v>-7.6666182490649076E-3</v>
      </c>
      <c r="U416" s="5">
        <v>0.70274637166056997</v>
      </c>
    </row>
    <row r="417" spans="1:21" x14ac:dyDescent="0.3">
      <c r="A417" s="5" t="s">
        <v>2930</v>
      </c>
      <c r="B417" s="5" t="s">
        <v>2931</v>
      </c>
      <c r="C417" s="5">
        <v>496</v>
      </c>
      <c r="D417" s="5">
        <v>496</v>
      </c>
      <c r="E417" s="5">
        <v>1</v>
      </c>
      <c r="F417" s="6">
        <v>63.145200000000003</v>
      </c>
      <c r="G417" s="7">
        <v>6.0468600000000004E-9</v>
      </c>
      <c r="H417" s="5">
        <v>63.145000000000003</v>
      </c>
      <c r="I417" s="5"/>
      <c r="J417" s="5">
        <v>1</v>
      </c>
      <c r="K417" s="5" t="s">
        <v>2</v>
      </c>
      <c r="L417" s="5" t="s">
        <v>3277</v>
      </c>
      <c r="M417" s="5" t="s">
        <v>3278</v>
      </c>
      <c r="N417" s="5" t="s">
        <v>3279</v>
      </c>
      <c r="O417" s="5">
        <v>11</v>
      </c>
      <c r="P417" s="6">
        <v>4239900</v>
      </c>
      <c r="Q417" s="5">
        <v>2261800</v>
      </c>
      <c r="R417" s="5">
        <v>1978200</v>
      </c>
      <c r="S417" s="5">
        <v>0.99348000000000003</v>
      </c>
      <c r="T417" s="5">
        <f>LOG(Table2[[#This Row],[ratio heavy to light normalized]],2)</f>
        <v>-9.4371703829739459E-3</v>
      </c>
      <c r="U417" s="5">
        <v>0.694868790423397</v>
      </c>
    </row>
    <row r="418" spans="1:21" x14ac:dyDescent="0.3">
      <c r="A418" s="5" t="s">
        <v>489</v>
      </c>
      <c r="B418" s="5" t="s">
        <v>490</v>
      </c>
      <c r="C418" s="5">
        <v>232</v>
      </c>
      <c r="D418" s="5">
        <v>232</v>
      </c>
      <c r="E418" s="5">
        <v>1</v>
      </c>
      <c r="F418" s="6">
        <v>71.974299999999999</v>
      </c>
      <c r="G418" s="7">
        <v>1.82346E-16</v>
      </c>
      <c r="H418" s="5">
        <v>71.974000000000004</v>
      </c>
      <c r="I418" s="5" t="s">
        <v>11</v>
      </c>
      <c r="J418" s="5">
        <v>1</v>
      </c>
      <c r="K418" s="5" t="s">
        <v>2</v>
      </c>
      <c r="L418" s="5" t="s">
        <v>3280</v>
      </c>
      <c r="M418" s="5" t="s">
        <v>3281</v>
      </c>
      <c r="N418" s="5" t="s">
        <v>3282</v>
      </c>
      <c r="O418" s="5">
        <v>23</v>
      </c>
      <c r="P418" s="6">
        <v>15552000</v>
      </c>
      <c r="Q418" s="5">
        <v>5279600</v>
      </c>
      <c r="R418" s="5">
        <v>10273000</v>
      </c>
      <c r="S418" s="5">
        <v>0.99331000000000003</v>
      </c>
      <c r="T418" s="5">
        <f>LOG(Table2[[#This Row],[ratio heavy to light normalized]],2)</f>
        <v>-9.6840592414337446E-3</v>
      </c>
      <c r="U418" s="5">
        <v>0.69568233884180197</v>
      </c>
    </row>
    <row r="419" spans="1:21" x14ac:dyDescent="0.3">
      <c r="A419" s="5" t="s">
        <v>3173</v>
      </c>
      <c r="B419" s="5" t="s">
        <v>3174</v>
      </c>
      <c r="C419" s="5">
        <v>320</v>
      </c>
      <c r="D419" s="5">
        <v>320</v>
      </c>
      <c r="E419" s="5">
        <v>1</v>
      </c>
      <c r="F419" s="6">
        <v>99.652900000000002</v>
      </c>
      <c r="G419" s="7">
        <v>9.6175300000000007E-15</v>
      </c>
      <c r="H419" s="5">
        <v>99.653000000000006</v>
      </c>
      <c r="I419" s="5" t="s">
        <v>11</v>
      </c>
      <c r="J419" s="5">
        <v>1</v>
      </c>
      <c r="K419" s="5" t="s">
        <v>2</v>
      </c>
      <c r="L419" s="5" t="s">
        <v>3322</v>
      </c>
      <c r="M419" s="5" t="s">
        <v>3323</v>
      </c>
      <c r="N419" s="5" t="s">
        <v>3324</v>
      </c>
      <c r="O419" s="5">
        <v>6</v>
      </c>
      <c r="P419" s="6">
        <v>2145800</v>
      </c>
      <c r="Q419" s="5">
        <v>1165000</v>
      </c>
      <c r="R419" s="5">
        <v>980790</v>
      </c>
      <c r="S419" s="5">
        <v>0.99307000000000001</v>
      </c>
      <c r="T419" s="5">
        <f>LOG(Table2[[#This Row],[ratio heavy to light normalized]],2)</f>
        <v>-1.0032680161396926E-2</v>
      </c>
      <c r="U419" s="5">
        <v>0.70879052248561403</v>
      </c>
    </row>
    <row r="420" spans="1:21" x14ac:dyDescent="0.3">
      <c r="A420" s="5" t="s">
        <v>1262</v>
      </c>
      <c r="B420" s="5" t="s">
        <v>1263</v>
      </c>
      <c r="C420" s="5">
        <v>177</v>
      </c>
      <c r="D420" s="5">
        <v>177</v>
      </c>
      <c r="E420" s="5">
        <v>1</v>
      </c>
      <c r="F420" s="6">
        <v>82.006600000000006</v>
      </c>
      <c r="G420" s="7">
        <v>6.4567300000000001E-22</v>
      </c>
      <c r="H420" s="5">
        <v>88.132999999999996</v>
      </c>
      <c r="I420" s="5"/>
      <c r="J420" s="5">
        <v>1</v>
      </c>
      <c r="K420" s="5" t="s">
        <v>2</v>
      </c>
      <c r="L420" s="5" t="s">
        <v>3297</v>
      </c>
      <c r="M420" s="5" t="s">
        <v>3298</v>
      </c>
      <c r="N420" s="5" t="s">
        <v>3299</v>
      </c>
      <c r="O420" s="5">
        <v>9</v>
      </c>
      <c r="P420" s="6">
        <v>3781700</v>
      </c>
      <c r="Q420" s="5">
        <v>2137400</v>
      </c>
      <c r="R420" s="5">
        <v>1644200</v>
      </c>
      <c r="S420" s="5">
        <v>0.99226999999999999</v>
      </c>
      <c r="T420" s="5">
        <f>LOG(Table2[[#This Row],[ratio heavy to light normalized]],2)</f>
        <v>-1.1195358690191604E-2</v>
      </c>
      <c r="U420" s="5">
        <v>0.70066998100989097</v>
      </c>
    </row>
    <row r="421" spans="1:21" x14ac:dyDescent="0.3">
      <c r="A421" s="5" t="s">
        <v>278</v>
      </c>
      <c r="B421" s="5" t="s">
        <v>279</v>
      </c>
      <c r="C421" s="5">
        <v>546</v>
      </c>
      <c r="D421" s="5">
        <v>546</v>
      </c>
      <c r="E421" s="5">
        <v>1</v>
      </c>
      <c r="F421" s="6">
        <v>130.41200000000001</v>
      </c>
      <c r="G421" s="7">
        <v>2.4570500000000001E-29</v>
      </c>
      <c r="H421" s="5">
        <v>130.41</v>
      </c>
      <c r="I421" s="5" t="s">
        <v>11</v>
      </c>
      <c r="J421" s="5">
        <v>1</v>
      </c>
      <c r="K421" s="5" t="s">
        <v>2</v>
      </c>
      <c r="L421" s="5" t="s">
        <v>3336</v>
      </c>
      <c r="M421" s="5" t="s">
        <v>3337</v>
      </c>
      <c r="N421" s="5" t="s">
        <v>3338</v>
      </c>
      <c r="O421" s="5">
        <v>8</v>
      </c>
      <c r="P421" s="6">
        <v>2150100</v>
      </c>
      <c r="Q421" s="5">
        <v>1048700</v>
      </c>
      <c r="R421" s="5">
        <v>1101400</v>
      </c>
      <c r="S421" s="5">
        <v>0.99214000000000002</v>
      </c>
      <c r="T421" s="5">
        <f>LOG(Table2[[#This Row],[ratio heavy to light normalized]],2)</f>
        <v>-1.1384382486265816E-2</v>
      </c>
      <c r="U421" s="5">
        <v>0.712251748810384</v>
      </c>
    </row>
    <row r="422" spans="1:21" x14ac:dyDescent="0.3">
      <c r="A422" s="5" t="s">
        <v>628</v>
      </c>
      <c r="B422" s="5" t="s">
        <v>629</v>
      </c>
      <c r="C422" s="5">
        <v>496</v>
      </c>
      <c r="D422" s="5">
        <v>496</v>
      </c>
      <c r="E422" s="5">
        <v>1</v>
      </c>
      <c r="F422" s="6">
        <v>78.691999999999993</v>
      </c>
      <c r="G422" s="7">
        <v>1.02148E-8</v>
      </c>
      <c r="H422" s="5">
        <v>78.691999999999993</v>
      </c>
      <c r="I422" s="5" t="s">
        <v>11</v>
      </c>
      <c r="J422" s="5">
        <v>1</v>
      </c>
      <c r="K422" s="5" t="s">
        <v>2</v>
      </c>
      <c r="L422" s="5" t="s">
        <v>3339</v>
      </c>
      <c r="M422" s="5" t="s">
        <v>3340</v>
      </c>
      <c r="N422" s="5" t="s">
        <v>3341</v>
      </c>
      <c r="O422" s="5">
        <v>4</v>
      </c>
      <c r="P422" s="6">
        <v>1892200</v>
      </c>
      <c r="Q422" s="5">
        <v>1106300</v>
      </c>
      <c r="R422" s="5">
        <v>785920</v>
      </c>
      <c r="S422" s="5">
        <v>0.99200999999999995</v>
      </c>
      <c r="T422" s="5">
        <f>LOG(Table2[[#This Row],[ratio heavy to light normalized]],2)</f>
        <v>-1.1573431051731172E-2</v>
      </c>
      <c r="U422" s="5">
        <v>0.71273630938022003</v>
      </c>
    </row>
    <row r="423" spans="1:21" x14ac:dyDescent="0.3">
      <c r="A423" s="5" t="s">
        <v>846</v>
      </c>
      <c r="B423" s="5" t="s">
        <v>847</v>
      </c>
      <c r="C423" s="5">
        <v>136</v>
      </c>
      <c r="D423" s="5">
        <v>136</v>
      </c>
      <c r="E423" s="5">
        <v>1</v>
      </c>
      <c r="F423" s="6">
        <v>77.191699999999997</v>
      </c>
      <c r="G423" s="7">
        <v>7.6859099999999999E-41</v>
      </c>
      <c r="H423" s="5">
        <v>131.79</v>
      </c>
      <c r="I423" s="5" t="s">
        <v>11</v>
      </c>
      <c r="J423" s="5">
        <v>1</v>
      </c>
      <c r="K423" s="5" t="s">
        <v>2</v>
      </c>
      <c r="L423" s="5" t="s">
        <v>3303</v>
      </c>
      <c r="M423" s="5" t="s">
        <v>3304</v>
      </c>
      <c r="N423" s="5" t="s">
        <v>3305</v>
      </c>
      <c r="O423" s="5">
        <v>4</v>
      </c>
      <c r="P423" s="6">
        <v>13663000</v>
      </c>
      <c r="Q423" s="5">
        <v>6649300</v>
      </c>
      <c r="R423" s="5">
        <v>7014000</v>
      </c>
      <c r="S423" s="5">
        <v>0.99197999999999997</v>
      </c>
      <c r="T423" s="5">
        <f>LOG(Table2[[#This Row],[ratio heavy to light normalized]],2)</f>
        <v>-1.1617061161993753E-2</v>
      </c>
      <c r="U423" s="5">
        <v>0.70206401497794202</v>
      </c>
    </row>
    <row r="424" spans="1:21" x14ac:dyDescent="0.3">
      <c r="A424" s="5" t="s">
        <v>3309</v>
      </c>
      <c r="B424" s="5" t="s">
        <v>3310</v>
      </c>
      <c r="C424" s="5">
        <v>208</v>
      </c>
      <c r="D424" s="5">
        <v>208</v>
      </c>
      <c r="E424" s="5">
        <v>1</v>
      </c>
      <c r="F424" s="6">
        <v>109.477</v>
      </c>
      <c r="G424" s="7">
        <v>2.9446699999999998E-32</v>
      </c>
      <c r="H424" s="5">
        <v>109.48</v>
      </c>
      <c r="I424" s="5" t="s">
        <v>11</v>
      </c>
      <c r="J424" s="5">
        <v>1</v>
      </c>
      <c r="K424" s="5" t="s">
        <v>2</v>
      </c>
      <c r="L424" s="5" t="s">
        <v>3311</v>
      </c>
      <c r="M424" s="5" t="s">
        <v>3312</v>
      </c>
      <c r="N424" s="5" t="s">
        <v>3313</v>
      </c>
      <c r="O424" s="5">
        <v>10</v>
      </c>
      <c r="P424" s="6">
        <v>25945000</v>
      </c>
      <c r="Q424" s="5">
        <v>13514000</v>
      </c>
      <c r="R424" s="5">
        <v>12431000</v>
      </c>
      <c r="S424" s="5">
        <v>0.99192000000000002</v>
      </c>
      <c r="T424" s="5">
        <f>LOG(Table2[[#This Row],[ratio heavy to light normalized]],2)</f>
        <v>-1.1704325341115339E-2</v>
      </c>
      <c r="U424" s="5">
        <v>0.70235261209009403</v>
      </c>
    </row>
    <row r="425" spans="1:21" x14ac:dyDescent="0.3">
      <c r="A425" s="5" t="s">
        <v>595</v>
      </c>
      <c r="B425" s="5" t="s">
        <v>596</v>
      </c>
      <c r="C425" s="5">
        <v>953</v>
      </c>
      <c r="D425" s="5">
        <v>953</v>
      </c>
      <c r="E425" s="5">
        <v>1</v>
      </c>
      <c r="F425" s="6">
        <v>73.156400000000005</v>
      </c>
      <c r="G425" s="7">
        <v>4.3627499999999997E-10</v>
      </c>
      <c r="H425" s="5">
        <v>73.156000000000006</v>
      </c>
      <c r="I425" s="5"/>
      <c r="J425" s="5">
        <v>1</v>
      </c>
      <c r="K425" s="5" t="s">
        <v>2</v>
      </c>
      <c r="L425" s="5" t="s">
        <v>3167</v>
      </c>
      <c r="M425" s="5" t="s">
        <v>3168</v>
      </c>
      <c r="N425" s="5" t="s">
        <v>3169</v>
      </c>
      <c r="O425" s="5">
        <v>10</v>
      </c>
      <c r="P425" s="6">
        <v>262090</v>
      </c>
      <c r="Q425" s="5">
        <v>142520</v>
      </c>
      <c r="R425" s="5">
        <v>119570</v>
      </c>
      <c r="S425" s="5">
        <v>0.99187000000000003</v>
      </c>
      <c r="T425" s="5">
        <f>LOG(Table2[[#This Row],[ratio heavy to light normalized]],2)</f>
        <v>-1.1777049522666528E-2</v>
      </c>
      <c r="U425" s="5">
        <v>0.67087418849103297</v>
      </c>
    </row>
    <row r="426" spans="1:21" x14ac:dyDescent="0.3">
      <c r="A426" s="5" t="s">
        <v>846</v>
      </c>
      <c r="B426" s="5" t="s">
        <v>847</v>
      </c>
      <c r="C426" s="5">
        <v>277</v>
      </c>
      <c r="D426" s="5">
        <v>277</v>
      </c>
      <c r="E426" s="5">
        <v>1</v>
      </c>
      <c r="F426" s="6">
        <v>87.567899999999995</v>
      </c>
      <c r="G426" s="7">
        <v>2.4633900000000001E-12</v>
      </c>
      <c r="H426" s="5">
        <v>87.567999999999998</v>
      </c>
      <c r="I426" s="5" t="s">
        <v>11</v>
      </c>
      <c r="J426" s="5">
        <v>1</v>
      </c>
      <c r="K426" s="5" t="s">
        <v>2</v>
      </c>
      <c r="L426" s="5" t="s">
        <v>3362</v>
      </c>
      <c r="M426" s="5" t="s">
        <v>3363</v>
      </c>
      <c r="N426" s="5" t="s">
        <v>3364</v>
      </c>
      <c r="O426" s="5">
        <v>5</v>
      </c>
      <c r="P426" s="6">
        <v>1532200</v>
      </c>
      <c r="Q426" s="5">
        <v>870350</v>
      </c>
      <c r="R426" s="5">
        <v>661830</v>
      </c>
      <c r="S426" s="5">
        <v>0.99061999999999995</v>
      </c>
      <c r="T426" s="5">
        <f>LOG(Table2[[#This Row],[ratio heavy to light normalized]],2)</f>
        <v>-1.359634650786317E-2</v>
      </c>
      <c r="U426" s="5">
        <v>0.71792857719564196</v>
      </c>
    </row>
    <row r="427" spans="1:21" x14ac:dyDescent="0.3">
      <c r="A427" s="5" t="s">
        <v>3314</v>
      </c>
      <c r="B427" s="5" t="s">
        <v>3315</v>
      </c>
      <c r="C427" s="5">
        <v>590</v>
      </c>
      <c r="D427" s="5">
        <v>590</v>
      </c>
      <c r="E427" s="5">
        <v>1</v>
      </c>
      <c r="F427" s="6">
        <v>78.652600000000007</v>
      </c>
      <c r="G427" s="7">
        <v>1.4770100000000001E-7</v>
      </c>
      <c r="H427" s="5">
        <v>78.653000000000006</v>
      </c>
      <c r="I427" s="5" t="s">
        <v>11</v>
      </c>
      <c r="J427" s="5">
        <v>1</v>
      </c>
      <c r="K427" s="5" t="s">
        <v>2</v>
      </c>
      <c r="L427" s="5" t="s">
        <v>3368</v>
      </c>
      <c r="M427" s="5" t="s">
        <v>3369</v>
      </c>
      <c r="N427" s="5" t="s">
        <v>3370</v>
      </c>
      <c r="O427" s="5">
        <v>8</v>
      </c>
      <c r="P427" s="6">
        <v>2148400</v>
      </c>
      <c r="Q427" s="5">
        <v>1007000</v>
      </c>
      <c r="R427" s="5">
        <v>1141400</v>
      </c>
      <c r="S427" s="5">
        <v>0.99009999999999998</v>
      </c>
      <c r="T427" s="5">
        <f>LOG(Table2[[#This Row],[ratio heavy to light normalized]],2)</f>
        <v>-1.4353850282750529E-2</v>
      </c>
      <c r="U427" s="5">
        <v>0.719876254060137</v>
      </c>
    </row>
    <row r="428" spans="1:21" x14ac:dyDescent="0.3">
      <c r="A428" s="5" t="s">
        <v>3207</v>
      </c>
      <c r="B428" s="5" t="s">
        <v>3208</v>
      </c>
      <c r="C428" s="5">
        <v>859</v>
      </c>
      <c r="D428" s="5">
        <v>859</v>
      </c>
      <c r="E428" s="5">
        <v>1</v>
      </c>
      <c r="F428" s="6">
        <v>106.61799999999999</v>
      </c>
      <c r="G428" s="7">
        <v>3.9360099999999999E-16</v>
      </c>
      <c r="H428" s="5">
        <v>106.62</v>
      </c>
      <c r="I428" s="5" t="s">
        <v>11</v>
      </c>
      <c r="J428" s="5">
        <v>1</v>
      </c>
      <c r="K428" s="5" t="s">
        <v>2</v>
      </c>
      <c r="L428" s="5" t="s">
        <v>3209</v>
      </c>
      <c r="M428" s="5" t="s">
        <v>3210</v>
      </c>
      <c r="N428" s="5" t="s">
        <v>3211</v>
      </c>
      <c r="O428" s="5">
        <v>5</v>
      </c>
      <c r="P428" s="6">
        <v>866240</v>
      </c>
      <c r="Q428" s="5">
        <v>465680</v>
      </c>
      <c r="R428" s="5">
        <v>400560</v>
      </c>
      <c r="S428" s="5">
        <v>0.98904999999999998</v>
      </c>
      <c r="T428" s="5">
        <f>LOG(Table2[[#This Row],[ratio heavy to light normalized]],2)</f>
        <v>-1.5884638686920229E-2</v>
      </c>
      <c r="U428" s="5">
        <v>0.67761110129457403</v>
      </c>
    </row>
    <row r="429" spans="1:21" x14ac:dyDescent="0.3">
      <c r="A429" s="5" t="s">
        <v>1221</v>
      </c>
      <c r="B429" s="5" t="s">
        <v>1222</v>
      </c>
      <c r="C429" s="5">
        <v>505</v>
      </c>
      <c r="D429" s="5">
        <v>505</v>
      </c>
      <c r="E429" s="5">
        <v>1</v>
      </c>
      <c r="F429" s="6">
        <v>47.531700000000001</v>
      </c>
      <c r="G429" s="5">
        <v>7.2648999999999999E-4</v>
      </c>
      <c r="H429" s="5">
        <v>47.531999999999996</v>
      </c>
      <c r="I429" s="5" t="s">
        <v>11</v>
      </c>
      <c r="J429" s="5">
        <v>1</v>
      </c>
      <c r="K429" s="5" t="s">
        <v>2</v>
      </c>
      <c r="L429" s="5" t="s">
        <v>3212</v>
      </c>
      <c r="M429" s="5" t="s">
        <v>3213</v>
      </c>
      <c r="N429" s="5" t="s">
        <v>3214</v>
      </c>
      <c r="O429" s="5">
        <v>14</v>
      </c>
      <c r="P429" s="6">
        <v>424100</v>
      </c>
      <c r="Q429" s="5">
        <v>185940</v>
      </c>
      <c r="R429" s="5">
        <v>238160</v>
      </c>
      <c r="S429" s="5">
        <v>0.98877999999999999</v>
      </c>
      <c r="T429" s="5">
        <f>LOG(Table2[[#This Row],[ratio heavy to light normalized]],2)</f>
        <v>-1.6278532665128402E-2</v>
      </c>
      <c r="U429" s="5">
        <v>0.67825849961393403</v>
      </c>
    </row>
    <row r="430" spans="1:21" x14ac:dyDescent="0.3">
      <c r="A430" s="5" t="s">
        <v>2134</v>
      </c>
      <c r="B430" s="5" t="s">
        <v>2135</v>
      </c>
      <c r="C430" s="5">
        <v>311</v>
      </c>
      <c r="D430" s="5">
        <v>311</v>
      </c>
      <c r="E430" s="5">
        <v>1</v>
      </c>
      <c r="F430" s="6">
        <v>56.729300000000002</v>
      </c>
      <c r="G430" s="5">
        <v>4.4614399999999997E-3</v>
      </c>
      <c r="H430" s="5">
        <v>56.728999999999999</v>
      </c>
      <c r="I430" s="5"/>
      <c r="J430" s="5">
        <v>1</v>
      </c>
      <c r="K430" s="5" t="s">
        <v>2</v>
      </c>
      <c r="L430" s="5" t="s">
        <v>3220</v>
      </c>
      <c r="M430" s="5" t="s">
        <v>3221</v>
      </c>
      <c r="N430" s="5" t="s">
        <v>3222</v>
      </c>
      <c r="O430" s="5">
        <v>5</v>
      </c>
      <c r="P430" s="6">
        <v>465400</v>
      </c>
      <c r="Q430" s="5">
        <v>238590</v>
      </c>
      <c r="R430" s="5">
        <v>226810</v>
      </c>
      <c r="S430" s="5">
        <v>0.98792999999999997</v>
      </c>
      <c r="T430" s="5">
        <f>LOG(Table2[[#This Row],[ratio heavy to light normalized]],2)</f>
        <v>-1.751927193425605E-2</v>
      </c>
      <c r="U430" s="5">
        <v>0.68029931120335396</v>
      </c>
    </row>
    <row r="431" spans="1:21" x14ac:dyDescent="0.3">
      <c r="A431" s="5" t="s">
        <v>407</v>
      </c>
      <c r="B431" s="5" t="s">
        <v>408</v>
      </c>
      <c r="C431" s="5">
        <v>895</v>
      </c>
      <c r="D431" s="5">
        <v>895</v>
      </c>
      <c r="E431" s="5">
        <v>1</v>
      </c>
      <c r="F431" s="6">
        <v>32.734000000000002</v>
      </c>
      <c r="G431" s="5">
        <v>1.9531699999999999E-2</v>
      </c>
      <c r="H431" s="5">
        <v>32.734000000000002</v>
      </c>
      <c r="I431" s="5"/>
      <c r="J431" s="5">
        <v>1</v>
      </c>
      <c r="K431" s="5" t="s">
        <v>2</v>
      </c>
      <c r="L431" s="5" t="s">
        <v>3223</v>
      </c>
      <c r="M431" s="5" t="s">
        <v>3224</v>
      </c>
      <c r="N431" s="5" t="s">
        <v>3225</v>
      </c>
      <c r="O431" s="5">
        <v>4</v>
      </c>
      <c r="P431" s="6">
        <v>480040</v>
      </c>
      <c r="Q431" s="5">
        <v>263300</v>
      </c>
      <c r="R431" s="5">
        <v>216740</v>
      </c>
      <c r="S431" s="5">
        <v>0.98777999999999999</v>
      </c>
      <c r="T431" s="5">
        <f>LOG(Table2[[#This Row],[ratio heavy to light normalized]],2)</f>
        <v>-1.7738336732783282E-2</v>
      </c>
      <c r="U431" s="5">
        <v>0.680659880545047</v>
      </c>
    </row>
    <row r="432" spans="1:21" x14ac:dyDescent="0.3">
      <c r="A432" s="5" t="s">
        <v>481</v>
      </c>
      <c r="B432" s="5" t="s">
        <v>482</v>
      </c>
      <c r="C432" s="5">
        <v>13</v>
      </c>
      <c r="D432" s="5">
        <v>13</v>
      </c>
      <c r="E432" s="5">
        <v>0.99223899999999998</v>
      </c>
      <c r="F432" s="6">
        <v>21.067</v>
      </c>
      <c r="G432" s="5">
        <v>0.154917</v>
      </c>
      <c r="H432" s="5">
        <v>26.361999999999998</v>
      </c>
      <c r="I432" s="5" t="s">
        <v>11</v>
      </c>
      <c r="J432" s="5">
        <v>1</v>
      </c>
      <c r="K432" s="5" t="s">
        <v>2</v>
      </c>
      <c r="L432" s="5" t="s">
        <v>1846</v>
      </c>
      <c r="M432" s="5" t="s">
        <v>1847</v>
      </c>
      <c r="N432" s="5" t="s">
        <v>1848</v>
      </c>
      <c r="O432" s="5">
        <v>11</v>
      </c>
      <c r="P432" s="6">
        <v>450610</v>
      </c>
      <c r="Q432" s="5">
        <v>314450</v>
      </c>
      <c r="R432" s="5">
        <v>136160</v>
      </c>
      <c r="S432" s="5">
        <v>0.68296999999999997</v>
      </c>
      <c r="T432" s="5">
        <f>LOG(Table2[[#This Row],[ratio heavy to light normalized]],2)</f>
        <v>-0.5501058865063827</v>
      </c>
      <c r="U432" s="5">
        <v>0.377548095755813</v>
      </c>
    </row>
    <row r="433" spans="1:21" x14ac:dyDescent="0.3">
      <c r="A433" s="5" t="s">
        <v>3391</v>
      </c>
      <c r="B433" s="5" t="s">
        <v>3392</v>
      </c>
      <c r="C433" s="5">
        <v>307</v>
      </c>
      <c r="D433" s="5">
        <v>307</v>
      </c>
      <c r="E433" s="5">
        <v>1</v>
      </c>
      <c r="F433" s="6">
        <v>81.337599999999995</v>
      </c>
      <c r="G433" s="7">
        <v>3.2376399999999999E-7</v>
      </c>
      <c r="H433" s="5">
        <v>81.337999999999994</v>
      </c>
      <c r="I433" s="5" t="s">
        <v>11</v>
      </c>
      <c r="J433" s="5">
        <v>1</v>
      </c>
      <c r="K433" s="5" t="s">
        <v>2</v>
      </c>
      <c r="L433" s="5" t="s">
        <v>3393</v>
      </c>
      <c r="M433" s="5" t="s">
        <v>3394</v>
      </c>
      <c r="N433" s="5" t="s">
        <v>3395</v>
      </c>
      <c r="O433" s="5">
        <v>4</v>
      </c>
      <c r="P433" s="6">
        <v>2959700</v>
      </c>
      <c r="Q433" s="5">
        <v>1596000</v>
      </c>
      <c r="R433" s="5">
        <v>1363700</v>
      </c>
      <c r="S433" s="5">
        <v>0.98626000000000003</v>
      </c>
      <c r="T433" s="5">
        <f>LOG(Table2[[#This Row],[ratio heavy to light normalized]],2)</f>
        <v>-1.9960071748826125E-2</v>
      </c>
      <c r="U433" s="5">
        <v>0.72984450780163801</v>
      </c>
    </row>
    <row r="434" spans="1:21" x14ac:dyDescent="0.3">
      <c r="A434" s="5" t="s">
        <v>3051</v>
      </c>
      <c r="B434" s="5" t="s">
        <v>3052</v>
      </c>
      <c r="C434" s="5">
        <v>113</v>
      </c>
      <c r="D434" s="5">
        <v>113</v>
      </c>
      <c r="E434" s="5">
        <v>1</v>
      </c>
      <c r="F434" s="6">
        <v>38.915399999999998</v>
      </c>
      <c r="G434" s="5">
        <v>5.3371600000000005E-4</v>
      </c>
      <c r="H434" s="5">
        <v>38.914999999999999</v>
      </c>
      <c r="I434" s="5"/>
      <c r="J434" s="5">
        <v>1</v>
      </c>
      <c r="K434" s="5" t="s">
        <v>2</v>
      </c>
      <c r="L434" s="5" t="s">
        <v>3407</v>
      </c>
      <c r="M434" s="5" t="s">
        <v>3408</v>
      </c>
      <c r="N434" s="5" t="s">
        <v>3409</v>
      </c>
      <c r="O434" s="5">
        <v>13</v>
      </c>
      <c r="P434" s="6">
        <v>1093400</v>
      </c>
      <c r="Q434" s="5">
        <v>629890</v>
      </c>
      <c r="R434" s="5">
        <v>463500</v>
      </c>
      <c r="S434" s="5">
        <v>0.98582000000000003</v>
      </c>
      <c r="T434" s="5">
        <f>LOG(Table2[[#This Row],[ratio heavy to light normalized]],2)</f>
        <v>-2.0603844647009147E-2</v>
      </c>
      <c r="U434" s="5">
        <v>0.73601448762424304</v>
      </c>
    </row>
    <row r="435" spans="1:21" x14ac:dyDescent="0.3">
      <c r="A435" s="5" t="s">
        <v>3410</v>
      </c>
      <c r="B435" s="5" t="s">
        <v>3411</v>
      </c>
      <c r="C435" s="5">
        <v>32</v>
      </c>
      <c r="D435" s="5">
        <v>32</v>
      </c>
      <c r="E435" s="5">
        <v>1</v>
      </c>
      <c r="F435" s="6">
        <v>60.828400000000002</v>
      </c>
      <c r="G435" s="5">
        <v>2.3632700000000002E-3</v>
      </c>
      <c r="H435" s="5">
        <v>60.828000000000003</v>
      </c>
      <c r="I435" s="5" t="s">
        <v>11</v>
      </c>
      <c r="J435" s="5">
        <v>1</v>
      </c>
      <c r="K435" s="5" t="s">
        <v>2</v>
      </c>
      <c r="L435" s="5" t="s">
        <v>3412</v>
      </c>
      <c r="M435" s="5" t="s">
        <v>3413</v>
      </c>
      <c r="N435" s="5" t="s">
        <v>3414</v>
      </c>
      <c r="O435" s="5">
        <v>6</v>
      </c>
      <c r="P435" s="6">
        <v>1717600</v>
      </c>
      <c r="Q435" s="5">
        <v>905080</v>
      </c>
      <c r="R435" s="5">
        <v>812520</v>
      </c>
      <c r="S435" s="5">
        <v>0.98558000000000001</v>
      </c>
      <c r="T435" s="5">
        <f>LOG(Table2[[#This Row],[ratio heavy to light normalized]],2)</f>
        <v>-2.0955114619134473E-2</v>
      </c>
      <c r="U435" s="5">
        <v>0.73692505322597501</v>
      </c>
    </row>
    <row r="436" spans="1:21" x14ac:dyDescent="0.3">
      <c r="A436" s="5" t="s">
        <v>3244</v>
      </c>
      <c r="B436" s="5" t="s">
        <v>3245</v>
      </c>
      <c r="C436" s="5">
        <v>23</v>
      </c>
      <c r="D436" s="5">
        <v>23</v>
      </c>
      <c r="E436" s="5">
        <v>1</v>
      </c>
      <c r="F436" s="6">
        <v>31.827200000000001</v>
      </c>
      <c r="G436" s="5">
        <v>2.2269799999999999E-2</v>
      </c>
      <c r="H436" s="5">
        <v>31.827000000000002</v>
      </c>
      <c r="I436" s="5"/>
      <c r="J436" s="5">
        <v>1</v>
      </c>
      <c r="K436" s="5" t="s">
        <v>2</v>
      </c>
      <c r="L436" s="5" t="s">
        <v>3246</v>
      </c>
      <c r="M436" s="5" t="s">
        <v>3247</v>
      </c>
      <c r="N436" s="5" t="s">
        <v>3248</v>
      </c>
      <c r="O436" s="5">
        <v>5</v>
      </c>
      <c r="P436" s="6">
        <v>621760</v>
      </c>
      <c r="Q436" s="5">
        <v>381430</v>
      </c>
      <c r="R436" s="5">
        <v>240320</v>
      </c>
      <c r="S436" s="5">
        <v>0.98541999999999996</v>
      </c>
      <c r="T436" s="5">
        <f>LOG(Table2[[#This Row],[ratio heavy to light normalized]],2)</f>
        <v>-2.1189342125019141E-2</v>
      </c>
      <c r="U436" s="5">
        <v>0.68634964356483097</v>
      </c>
    </row>
    <row r="437" spans="1:21" x14ac:dyDescent="0.3">
      <c r="A437" s="5" t="s">
        <v>368</v>
      </c>
      <c r="B437" s="5" t="s">
        <v>369</v>
      </c>
      <c r="C437" s="5">
        <v>201</v>
      </c>
      <c r="D437" s="5">
        <v>201</v>
      </c>
      <c r="E437" s="5">
        <v>1</v>
      </c>
      <c r="F437" s="6">
        <v>32.523299999999999</v>
      </c>
      <c r="G437" s="5">
        <v>8.4444599999999995E-2</v>
      </c>
      <c r="H437" s="5">
        <v>32.523000000000003</v>
      </c>
      <c r="I437" s="5"/>
      <c r="J437" s="5">
        <v>1</v>
      </c>
      <c r="K437" s="5" t="s">
        <v>2</v>
      </c>
      <c r="L437" s="5" t="s">
        <v>1865</v>
      </c>
      <c r="M437" s="5" t="s">
        <v>1866</v>
      </c>
      <c r="N437" s="5" t="s">
        <v>1867</v>
      </c>
      <c r="O437" s="5">
        <v>7</v>
      </c>
      <c r="P437" s="6">
        <v>651410</v>
      </c>
      <c r="Q437" s="5">
        <v>394590</v>
      </c>
      <c r="R437" s="5">
        <v>256820</v>
      </c>
      <c r="S437" s="5">
        <v>0.68416999999999994</v>
      </c>
      <c r="T437" s="5">
        <f>LOG(Table2[[#This Row],[ratio heavy to light normalized]],2)</f>
        <v>-0.54757324977032262</v>
      </c>
      <c r="U437" s="5">
        <v>0.38101869129140398</v>
      </c>
    </row>
    <row r="438" spans="1:21" x14ac:dyDescent="0.3">
      <c r="A438" s="5" t="s">
        <v>595</v>
      </c>
      <c r="B438" s="5" t="s">
        <v>596</v>
      </c>
      <c r="C438" s="5">
        <v>1301</v>
      </c>
      <c r="D438" s="5">
        <v>1301</v>
      </c>
      <c r="E438" s="5">
        <v>1</v>
      </c>
      <c r="F438" s="6">
        <v>126.24299999999999</v>
      </c>
      <c r="G438" s="7">
        <v>9.2665400000000003E-27</v>
      </c>
      <c r="H438" s="5">
        <v>126.24</v>
      </c>
      <c r="I438" s="5" t="s">
        <v>11</v>
      </c>
      <c r="J438" s="5">
        <v>1</v>
      </c>
      <c r="K438" s="5" t="s">
        <v>2</v>
      </c>
      <c r="L438" s="5" t="s">
        <v>3420</v>
      </c>
      <c r="M438" s="5" t="s">
        <v>3421</v>
      </c>
      <c r="N438" s="5" t="s">
        <v>3422</v>
      </c>
      <c r="O438" s="5">
        <v>4</v>
      </c>
      <c r="P438" s="6">
        <v>2036900</v>
      </c>
      <c r="Q438" s="5">
        <v>1051700</v>
      </c>
      <c r="R438" s="5">
        <v>985130</v>
      </c>
      <c r="S438" s="5">
        <v>0.98519000000000001</v>
      </c>
      <c r="T438" s="5">
        <f>LOG(Table2[[#This Row],[ratio heavy to light normalized]],2)</f>
        <v>-2.1526110801633105E-2</v>
      </c>
      <c r="U438" s="5">
        <v>0.73840598329837503</v>
      </c>
    </row>
    <row r="439" spans="1:21" x14ac:dyDescent="0.3">
      <c r="A439" s="5" t="s">
        <v>2630</v>
      </c>
      <c r="B439" s="5" t="s">
        <v>2631</v>
      </c>
      <c r="C439" s="5">
        <v>255</v>
      </c>
      <c r="D439" s="5">
        <v>255</v>
      </c>
      <c r="E439" s="5">
        <v>1</v>
      </c>
      <c r="F439" s="6">
        <v>47.545200000000001</v>
      </c>
      <c r="G439" s="5">
        <v>3.55698E-4</v>
      </c>
      <c r="H439" s="5">
        <v>47.545000000000002</v>
      </c>
      <c r="I439" s="5"/>
      <c r="J439" s="5">
        <v>1</v>
      </c>
      <c r="K439" s="5" t="s">
        <v>2</v>
      </c>
      <c r="L439" s="5" t="s">
        <v>3434</v>
      </c>
      <c r="M439" s="5" t="s">
        <v>3435</v>
      </c>
      <c r="N439" s="5" t="s">
        <v>3436</v>
      </c>
      <c r="O439" s="5">
        <v>2</v>
      </c>
      <c r="P439" s="6">
        <v>1471300</v>
      </c>
      <c r="Q439" s="5">
        <v>693330</v>
      </c>
      <c r="R439" s="5">
        <v>777950</v>
      </c>
      <c r="S439" s="5">
        <v>0.98462000000000005</v>
      </c>
      <c r="T439" s="5">
        <f>LOG(Table2[[#This Row],[ratio heavy to light normalized]],2)</f>
        <v>-2.236105041130014E-2</v>
      </c>
      <c r="U439" s="5">
        <v>0.74057322150369198</v>
      </c>
    </row>
    <row r="440" spans="1:21" x14ac:dyDescent="0.3">
      <c r="A440" s="5" t="s">
        <v>3443</v>
      </c>
      <c r="B440" s="5" t="s">
        <v>3444</v>
      </c>
      <c r="C440" s="5">
        <v>296</v>
      </c>
      <c r="D440" s="5">
        <v>296</v>
      </c>
      <c r="E440" s="5">
        <v>1</v>
      </c>
      <c r="F440" s="6">
        <v>56.569099999999999</v>
      </c>
      <c r="G440" s="7">
        <v>4.9971900000000003E-6</v>
      </c>
      <c r="H440" s="5">
        <v>56.569000000000003</v>
      </c>
      <c r="I440" s="5"/>
      <c r="J440" s="5">
        <v>1</v>
      </c>
      <c r="K440" s="5" t="s">
        <v>2</v>
      </c>
      <c r="L440" s="5" t="s">
        <v>3445</v>
      </c>
      <c r="M440" s="5" t="s">
        <v>3446</v>
      </c>
      <c r="N440" s="5" t="s">
        <v>3447</v>
      </c>
      <c r="O440" s="5">
        <v>13</v>
      </c>
      <c r="P440" s="6">
        <v>2578600</v>
      </c>
      <c r="Q440" s="5">
        <v>1222700</v>
      </c>
      <c r="R440" s="5">
        <v>1356000</v>
      </c>
      <c r="S440" s="5">
        <v>0.98419000000000001</v>
      </c>
      <c r="T440" s="5">
        <f>LOG(Table2[[#This Row],[ratio heavy to light normalized]],2)</f>
        <v>-2.2991237049367064E-2</v>
      </c>
      <c r="U440" s="5">
        <v>0.74221035157748705</v>
      </c>
    </row>
    <row r="441" spans="1:21" x14ac:dyDescent="0.3">
      <c r="A441" s="5" t="s">
        <v>981</v>
      </c>
      <c r="B441" s="5" t="s">
        <v>982</v>
      </c>
      <c r="C441" s="5">
        <v>435</v>
      </c>
      <c r="D441" s="5">
        <v>435</v>
      </c>
      <c r="E441" s="5">
        <v>1</v>
      </c>
      <c r="F441" s="6">
        <v>133.86199999999999</v>
      </c>
      <c r="G441" s="7">
        <v>3.84025E-33</v>
      </c>
      <c r="H441" s="5">
        <v>133.86000000000001</v>
      </c>
      <c r="I441" s="5" t="s">
        <v>11</v>
      </c>
      <c r="J441" s="5">
        <v>1</v>
      </c>
      <c r="K441" s="5" t="s">
        <v>2</v>
      </c>
      <c r="L441" s="5" t="s">
        <v>3428</v>
      </c>
      <c r="M441" s="5" t="s">
        <v>3429</v>
      </c>
      <c r="N441" s="5" t="s">
        <v>3430</v>
      </c>
      <c r="O441" s="5">
        <v>3</v>
      </c>
      <c r="P441" s="6">
        <v>4484100</v>
      </c>
      <c r="Q441" s="5">
        <v>2437400</v>
      </c>
      <c r="R441" s="5">
        <v>2046600</v>
      </c>
      <c r="S441" s="5">
        <v>0.98418000000000005</v>
      </c>
      <c r="T441" s="5">
        <f>LOG(Table2[[#This Row],[ratio heavy to light normalized]],2)</f>
        <v>-2.3005895828365878E-2</v>
      </c>
      <c r="U441" s="5">
        <v>0.74007777129812102</v>
      </c>
    </row>
    <row r="442" spans="1:21" x14ac:dyDescent="0.3">
      <c r="A442" s="5" t="s">
        <v>1090</v>
      </c>
      <c r="B442" s="5" t="s">
        <v>1091</v>
      </c>
      <c r="C442" s="5">
        <v>490</v>
      </c>
      <c r="D442" s="5">
        <v>490</v>
      </c>
      <c r="E442" s="5">
        <v>1</v>
      </c>
      <c r="F442" s="6">
        <v>71.691699999999997</v>
      </c>
      <c r="G442" s="7">
        <v>4.67617E-23</v>
      </c>
      <c r="H442" s="5">
        <v>115.33</v>
      </c>
      <c r="I442" s="5"/>
      <c r="J442" s="5">
        <v>1</v>
      </c>
      <c r="K442" s="5" t="s">
        <v>2</v>
      </c>
      <c r="L442" s="5" t="s">
        <v>3437</v>
      </c>
      <c r="M442" s="5" t="s">
        <v>3438</v>
      </c>
      <c r="N442" s="5" t="s">
        <v>3439</v>
      </c>
      <c r="O442" s="5">
        <v>4</v>
      </c>
      <c r="P442" s="6">
        <v>5373300</v>
      </c>
      <c r="Q442" s="5">
        <v>2538500</v>
      </c>
      <c r="R442" s="5">
        <v>2834800</v>
      </c>
      <c r="S442" s="5">
        <v>0.98407</v>
      </c>
      <c r="T442" s="5">
        <f>LOG(Table2[[#This Row],[ratio heavy to light normalized]],2)</f>
        <v>-2.3167152228379177E-2</v>
      </c>
      <c r="U442" s="5">
        <v>0.74062085837292702</v>
      </c>
    </row>
    <row r="443" spans="1:21" x14ac:dyDescent="0.3">
      <c r="A443" s="5" t="s">
        <v>2408</v>
      </c>
      <c r="B443" s="5" t="s">
        <v>2409</v>
      </c>
      <c r="C443" s="5">
        <v>163</v>
      </c>
      <c r="D443" s="5">
        <v>163</v>
      </c>
      <c r="E443" s="5">
        <v>1</v>
      </c>
      <c r="F443" s="6">
        <v>41.643799999999999</v>
      </c>
      <c r="G443" s="5">
        <v>2.04954E-2</v>
      </c>
      <c r="H443" s="5">
        <v>43.512</v>
      </c>
      <c r="I443" s="5" t="s">
        <v>11</v>
      </c>
      <c r="J443" s="5">
        <v>1</v>
      </c>
      <c r="K443" s="5" t="s">
        <v>2</v>
      </c>
      <c r="L443" s="5" t="s">
        <v>3263</v>
      </c>
      <c r="M443" s="5" t="s">
        <v>3264</v>
      </c>
      <c r="N443" s="5" t="s">
        <v>3265</v>
      </c>
      <c r="O443" s="5">
        <v>7</v>
      </c>
      <c r="P443" s="6">
        <v>768210</v>
      </c>
      <c r="Q443" s="5">
        <v>311860</v>
      </c>
      <c r="R443" s="5">
        <v>456350</v>
      </c>
      <c r="S443" s="5">
        <v>0.98326999999999998</v>
      </c>
      <c r="T443" s="5">
        <f>LOG(Table2[[#This Row],[ratio heavy to light normalized]],2)</f>
        <v>-2.4340468580740151E-2</v>
      </c>
      <c r="U443" s="5">
        <v>0.69156057060648601</v>
      </c>
    </row>
    <row r="444" spans="1:21" x14ac:dyDescent="0.3">
      <c r="A444" s="5" t="s">
        <v>233</v>
      </c>
      <c r="B444" s="5" t="s">
        <v>234</v>
      </c>
      <c r="C444" s="5">
        <v>483</v>
      </c>
      <c r="D444" s="5">
        <v>483</v>
      </c>
      <c r="E444" s="5">
        <v>1</v>
      </c>
      <c r="F444" s="6">
        <v>35.747599999999998</v>
      </c>
      <c r="G444" s="5">
        <v>7.40937E-4</v>
      </c>
      <c r="H444" s="5">
        <v>35.747999999999998</v>
      </c>
      <c r="I444" s="5"/>
      <c r="J444" s="5">
        <v>1</v>
      </c>
      <c r="K444" s="5" t="s">
        <v>2</v>
      </c>
      <c r="L444" s="5" t="s">
        <v>3492</v>
      </c>
      <c r="M444" s="5" t="s">
        <v>3493</v>
      </c>
      <c r="N444" s="5" t="s">
        <v>3494</v>
      </c>
      <c r="O444" s="5">
        <v>10</v>
      </c>
      <c r="P444" s="6">
        <v>2445400</v>
      </c>
      <c r="Q444" s="5">
        <v>1079200</v>
      </c>
      <c r="R444" s="5">
        <v>1366200</v>
      </c>
      <c r="S444" s="5">
        <v>0.98026000000000002</v>
      </c>
      <c r="T444" s="5">
        <f>LOG(Table2[[#This Row],[ratio heavy to light normalized]],2)</f>
        <v>-2.8763640597095404E-2</v>
      </c>
      <c r="U444" s="5">
        <v>0.757259624548002</v>
      </c>
    </row>
    <row r="445" spans="1:21" x14ac:dyDescent="0.3">
      <c r="A445" s="5" t="s">
        <v>2844</v>
      </c>
      <c r="B445" s="5" t="s">
        <v>2845</v>
      </c>
      <c r="C445" s="5">
        <v>319</v>
      </c>
      <c r="D445" s="5">
        <v>319</v>
      </c>
      <c r="E445" s="5">
        <v>1</v>
      </c>
      <c r="F445" s="6">
        <v>142.851</v>
      </c>
      <c r="G445" s="7">
        <v>9.0493900000000006E-54</v>
      </c>
      <c r="H445" s="5">
        <v>142.85</v>
      </c>
      <c r="I445" s="5" t="s">
        <v>11</v>
      </c>
      <c r="J445" s="5">
        <v>1</v>
      </c>
      <c r="K445" s="5" t="s">
        <v>2</v>
      </c>
      <c r="L445" s="5" t="s">
        <v>3500</v>
      </c>
      <c r="M445" s="5" t="s">
        <v>3501</v>
      </c>
      <c r="N445" s="5" t="s">
        <v>3502</v>
      </c>
      <c r="O445" s="5">
        <v>13</v>
      </c>
      <c r="P445" s="6">
        <v>16647000</v>
      </c>
      <c r="Q445" s="5">
        <v>8054500</v>
      </c>
      <c r="R445" s="5">
        <v>8592800</v>
      </c>
      <c r="S445" s="5">
        <v>0.98001000000000005</v>
      </c>
      <c r="T445" s="5">
        <f>LOG(Table2[[#This Row],[ratio heavy to light normalized]],2)</f>
        <v>-2.9131624356656716E-2</v>
      </c>
      <c r="U445" s="5">
        <v>0.76079700335469203</v>
      </c>
    </row>
    <row r="446" spans="1:21" x14ac:dyDescent="0.3">
      <c r="A446" s="5" t="s">
        <v>846</v>
      </c>
      <c r="B446" s="5" t="s">
        <v>847</v>
      </c>
      <c r="C446" s="5">
        <v>117</v>
      </c>
      <c r="D446" s="5">
        <v>117</v>
      </c>
      <c r="E446" s="5">
        <v>1</v>
      </c>
      <c r="F446" s="6">
        <v>156.50700000000001</v>
      </c>
      <c r="G446" s="7">
        <v>5.7311599999999996E-59</v>
      </c>
      <c r="H446" s="5">
        <v>156.51</v>
      </c>
      <c r="I446" s="5" t="s">
        <v>11</v>
      </c>
      <c r="J446" s="5">
        <v>1</v>
      </c>
      <c r="K446" s="5" t="s">
        <v>2</v>
      </c>
      <c r="L446" s="5" t="s">
        <v>3503</v>
      </c>
      <c r="M446" s="5" t="s">
        <v>3504</v>
      </c>
      <c r="N446" s="5" t="s">
        <v>3505</v>
      </c>
      <c r="O446" s="5">
        <v>12</v>
      </c>
      <c r="P446" s="6">
        <v>53450000</v>
      </c>
      <c r="Q446" s="5">
        <v>24405000</v>
      </c>
      <c r="R446" s="5">
        <v>29045000</v>
      </c>
      <c r="S446" s="5">
        <v>0.97963999999999996</v>
      </c>
      <c r="T446" s="5">
        <f>LOG(Table2[[#This Row],[ratio heavy to light normalized]],2)</f>
        <v>-2.9676412631575347E-2</v>
      </c>
      <c r="U446" s="5">
        <v>0.76264824138517995</v>
      </c>
    </row>
    <row r="447" spans="1:21" x14ac:dyDescent="0.3">
      <c r="A447" s="5" t="s">
        <v>937</v>
      </c>
      <c r="B447" s="5" t="s">
        <v>938</v>
      </c>
      <c r="C447" s="5">
        <v>568</v>
      </c>
      <c r="D447" s="5">
        <v>568</v>
      </c>
      <c r="E447" s="5">
        <v>1</v>
      </c>
      <c r="F447" s="6">
        <v>57.482199999999999</v>
      </c>
      <c r="G447" s="7">
        <v>5.8991E-9</v>
      </c>
      <c r="H447" s="5">
        <v>57.481999999999999</v>
      </c>
      <c r="I447" s="5" t="s">
        <v>11</v>
      </c>
      <c r="J447" s="5">
        <v>1</v>
      </c>
      <c r="K447" s="5" t="s">
        <v>2</v>
      </c>
      <c r="L447" s="5" t="s">
        <v>3511</v>
      </c>
      <c r="M447" s="5" t="s">
        <v>3512</v>
      </c>
      <c r="N447" s="5" t="s">
        <v>3513</v>
      </c>
      <c r="O447" s="5">
        <v>8</v>
      </c>
      <c r="P447" s="6">
        <v>1252700</v>
      </c>
      <c r="Q447" s="5">
        <v>610570</v>
      </c>
      <c r="R447" s="5">
        <v>642100</v>
      </c>
      <c r="S447" s="5">
        <v>0.97860000000000003</v>
      </c>
      <c r="T447" s="5">
        <f>LOG(Table2[[#This Row],[ratio heavy to light normalized]],2)</f>
        <v>-3.1208812116408833E-2</v>
      </c>
      <c r="U447" s="5">
        <v>0.76366267896802997</v>
      </c>
    </row>
    <row r="448" spans="1:21" x14ac:dyDescent="0.3">
      <c r="A448" s="5" t="s">
        <v>2529</v>
      </c>
      <c r="B448" s="5" t="s">
        <v>2530</v>
      </c>
      <c r="C448" s="5">
        <v>76</v>
      </c>
      <c r="D448" s="5">
        <v>76</v>
      </c>
      <c r="E448" s="5">
        <v>1</v>
      </c>
      <c r="F448" s="6">
        <v>87.148300000000006</v>
      </c>
      <c r="G448" s="7">
        <v>1.5423499999999999E-20</v>
      </c>
      <c r="H448" s="5">
        <v>87.147999999999996</v>
      </c>
      <c r="I448" s="5"/>
      <c r="J448" s="5">
        <v>1</v>
      </c>
      <c r="K448" s="5" t="s">
        <v>2</v>
      </c>
      <c r="L448" s="5" t="s">
        <v>3539</v>
      </c>
      <c r="M448" s="5" t="s">
        <v>3540</v>
      </c>
      <c r="N448" s="5" t="s">
        <v>3541</v>
      </c>
      <c r="O448" s="5">
        <v>17</v>
      </c>
      <c r="P448" s="6">
        <v>4533200</v>
      </c>
      <c r="Q448" s="5">
        <v>2366700</v>
      </c>
      <c r="R448" s="5">
        <v>2166500</v>
      </c>
      <c r="S448" s="5">
        <v>0.97765000000000002</v>
      </c>
      <c r="T448" s="5">
        <f>LOG(Table2[[#This Row],[ratio heavy to light normalized]],2)</f>
        <v>-3.2610024023459715E-2</v>
      </c>
      <c r="U448" s="5">
        <v>0.77264001529815896</v>
      </c>
    </row>
    <row r="449" spans="1:21" x14ac:dyDescent="0.3">
      <c r="A449" s="5" t="s">
        <v>1983</v>
      </c>
      <c r="B449" s="5" t="s">
        <v>1984</v>
      </c>
      <c r="C449" s="5">
        <v>86</v>
      </c>
      <c r="D449" s="5">
        <v>86</v>
      </c>
      <c r="E449" s="5">
        <v>1</v>
      </c>
      <c r="F449" s="6">
        <v>35.203800000000001</v>
      </c>
      <c r="G449" s="7">
        <v>4.6227200000000003E-15</v>
      </c>
      <c r="H449" s="5">
        <v>95.477000000000004</v>
      </c>
      <c r="I449" s="5"/>
      <c r="J449" s="5">
        <v>1</v>
      </c>
      <c r="K449" s="5" t="s">
        <v>2</v>
      </c>
      <c r="L449" s="5" t="s">
        <v>3564</v>
      </c>
      <c r="M449" s="5" t="s">
        <v>3565</v>
      </c>
      <c r="N449" s="5" t="s">
        <v>3566</v>
      </c>
      <c r="O449" s="5">
        <v>6</v>
      </c>
      <c r="P449" s="6">
        <v>3028800</v>
      </c>
      <c r="Q449" s="5">
        <v>1755000</v>
      </c>
      <c r="R449" s="5">
        <v>1273800</v>
      </c>
      <c r="S449" s="5">
        <v>0.97670999999999997</v>
      </c>
      <c r="T449" s="5">
        <f>LOG(Table2[[#This Row],[ratio heavy to light normalized]],2)</f>
        <v>-3.3997827133440142E-2</v>
      </c>
      <c r="U449" s="5">
        <v>0.77738010174064598</v>
      </c>
    </row>
    <row r="450" spans="1:21" x14ac:dyDescent="0.3">
      <c r="A450" s="5" t="s">
        <v>3591</v>
      </c>
      <c r="B450" s="5" t="s">
        <v>3592</v>
      </c>
      <c r="C450" s="5">
        <v>317</v>
      </c>
      <c r="D450" s="5">
        <v>317</v>
      </c>
      <c r="E450" s="5">
        <v>1</v>
      </c>
      <c r="F450" s="6">
        <v>70.372600000000006</v>
      </c>
      <c r="G450" s="7">
        <v>3.6346100000000001E-10</v>
      </c>
      <c r="H450" s="5">
        <v>73.91</v>
      </c>
      <c r="I450" s="5"/>
      <c r="J450" s="5">
        <v>1</v>
      </c>
      <c r="K450" s="5" t="s">
        <v>2</v>
      </c>
      <c r="L450" s="5" t="s">
        <v>3593</v>
      </c>
      <c r="M450" s="5" t="s">
        <v>3594</v>
      </c>
      <c r="N450" s="5" t="s">
        <v>3595</v>
      </c>
      <c r="O450" s="5">
        <v>8</v>
      </c>
      <c r="P450" s="6">
        <v>7933000</v>
      </c>
      <c r="Q450" s="5">
        <v>4278000</v>
      </c>
      <c r="R450" s="5">
        <v>3655000</v>
      </c>
      <c r="S450" s="5">
        <v>0.97506000000000004</v>
      </c>
      <c r="T450" s="5">
        <f>LOG(Table2[[#This Row],[ratio heavy to light normalized]],2)</f>
        <v>-3.643709752344667E-2</v>
      </c>
      <c r="U450" s="5">
        <v>0.78573152358415999</v>
      </c>
    </row>
    <row r="451" spans="1:21" x14ac:dyDescent="0.3">
      <c r="A451" s="5" t="s">
        <v>877</v>
      </c>
      <c r="B451" s="5" t="s">
        <v>878</v>
      </c>
      <c r="C451" s="5">
        <v>619</v>
      </c>
      <c r="D451" s="5">
        <v>619</v>
      </c>
      <c r="E451" s="5">
        <v>1</v>
      </c>
      <c r="F451" s="6">
        <v>95.499700000000004</v>
      </c>
      <c r="G451" s="7">
        <v>7.5465000000000006E-27</v>
      </c>
      <c r="H451" s="5">
        <v>95.5</v>
      </c>
      <c r="I451" s="5"/>
      <c r="J451" s="5">
        <v>1</v>
      </c>
      <c r="K451" s="5" t="s">
        <v>2</v>
      </c>
      <c r="L451" s="5" t="s">
        <v>3599</v>
      </c>
      <c r="M451" s="5" t="s">
        <v>3600</v>
      </c>
      <c r="N451" s="5" t="s">
        <v>3601</v>
      </c>
      <c r="O451" s="5">
        <v>10</v>
      </c>
      <c r="P451" s="6">
        <v>7526700</v>
      </c>
      <c r="Q451" s="5">
        <v>3593600</v>
      </c>
      <c r="R451" s="5">
        <v>3933100</v>
      </c>
      <c r="S451" s="5">
        <v>0.97460000000000002</v>
      </c>
      <c r="T451" s="5">
        <f>LOG(Table2[[#This Row],[ratio heavy to light normalized]],2)</f>
        <v>-3.7117872357133798E-2</v>
      </c>
      <c r="U451" s="5">
        <v>0.78806677176003004</v>
      </c>
    </row>
    <row r="452" spans="1:21" x14ac:dyDescent="0.3">
      <c r="A452" s="5" t="s">
        <v>2330</v>
      </c>
      <c r="B452" s="5" t="s">
        <v>2331</v>
      </c>
      <c r="C452" s="5">
        <v>15</v>
      </c>
      <c r="D452" s="5">
        <v>15</v>
      </c>
      <c r="E452" s="5">
        <v>1</v>
      </c>
      <c r="F452" s="6">
        <v>93.776200000000003</v>
      </c>
      <c r="G452" s="7">
        <v>1.1540000000000001E-51</v>
      </c>
      <c r="H452" s="5">
        <v>125.03</v>
      </c>
      <c r="I452" s="5" t="s">
        <v>11</v>
      </c>
      <c r="J452" s="5">
        <v>1</v>
      </c>
      <c r="K452" s="5" t="s">
        <v>2</v>
      </c>
      <c r="L452" s="5" t="s">
        <v>3612</v>
      </c>
      <c r="M452" s="5" t="s">
        <v>3613</v>
      </c>
      <c r="N452" s="5" t="s">
        <v>3614</v>
      </c>
      <c r="O452" s="5">
        <v>6</v>
      </c>
      <c r="P452" s="6">
        <v>52789000</v>
      </c>
      <c r="Q452" s="5">
        <v>19894000</v>
      </c>
      <c r="R452" s="5">
        <v>32895000</v>
      </c>
      <c r="S452" s="5">
        <v>0.97414999999999996</v>
      </c>
      <c r="T452" s="5">
        <f>LOG(Table2[[#This Row],[ratio heavy to light normalized]],2)</f>
        <v>-3.7784158725256332E-2</v>
      </c>
      <c r="U452" s="5">
        <v>0.79035416665484504</v>
      </c>
    </row>
    <row r="453" spans="1:21" x14ac:dyDescent="0.3">
      <c r="A453" s="5" t="s">
        <v>3345</v>
      </c>
      <c r="B453" s="5" t="s">
        <v>3346</v>
      </c>
      <c r="C453" s="5">
        <v>108</v>
      </c>
      <c r="D453" s="5">
        <v>108</v>
      </c>
      <c r="E453" s="5">
        <v>1</v>
      </c>
      <c r="F453" s="6">
        <v>96.6404</v>
      </c>
      <c r="G453" s="7">
        <v>2.2608100000000001E-15</v>
      </c>
      <c r="H453" s="5">
        <v>96.64</v>
      </c>
      <c r="I453" s="5"/>
      <c r="J453" s="5">
        <v>1</v>
      </c>
      <c r="K453" s="5" t="s">
        <v>2</v>
      </c>
      <c r="L453" s="5" t="s">
        <v>3347</v>
      </c>
      <c r="M453" s="5" t="s">
        <v>3348</v>
      </c>
      <c r="N453" s="5" t="s">
        <v>3349</v>
      </c>
      <c r="O453" s="5">
        <v>6</v>
      </c>
      <c r="P453" s="6">
        <v>769320</v>
      </c>
      <c r="Q453" s="5">
        <v>367840</v>
      </c>
      <c r="R453" s="5">
        <v>401480</v>
      </c>
      <c r="S453" s="5">
        <v>0.97353000000000001</v>
      </c>
      <c r="T453" s="5">
        <f>LOG(Table2[[#This Row],[ratio heavy to light normalized]],2)</f>
        <v>-3.8702657611689471E-2</v>
      </c>
      <c r="U453" s="5">
        <v>0.71549310021770696</v>
      </c>
    </row>
    <row r="454" spans="1:21" x14ac:dyDescent="0.3">
      <c r="A454" s="5" t="s">
        <v>1569</v>
      </c>
      <c r="B454" s="5" t="s">
        <v>1570</v>
      </c>
      <c r="C454" s="5">
        <v>103</v>
      </c>
      <c r="D454" s="5">
        <v>103</v>
      </c>
      <c r="E454" s="5">
        <v>1</v>
      </c>
      <c r="F454" s="6">
        <v>78.021100000000004</v>
      </c>
      <c r="G454" s="7">
        <v>2.0358399999999999E-16</v>
      </c>
      <c r="H454" s="5">
        <v>78.021000000000001</v>
      </c>
      <c r="I454" s="5" t="s">
        <v>11</v>
      </c>
      <c r="J454" s="5">
        <v>1</v>
      </c>
      <c r="K454" s="5" t="s">
        <v>2</v>
      </c>
      <c r="L454" s="5" t="s">
        <v>3588</v>
      </c>
      <c r="M454" s="5" t="s">
        <v>3589</v>
      </c>
      <c r="N454" s="5" t="s">
        <v>3590</v>
      </c>
      <c r="O454" s="5">
        <v>3</v>
      </c>
      <c r="P454" s="6">
        <v>1562100</v>
      </c>
      <c r="Q454" s="5">
        <v>807290</v>
      </c>
      <c r="R454" s="5">
        <v>754790</v>
      </c>
      <c r="S454" s="5">
        <v>0.97331000000000001</v>
      </c>
      <c r="T454" s="5">
        <f>LOG(Table2[[#This Row],[ratio heavy to light normalized]],2)</f>
        <v>-3.9028717185508155E-2</v>
      </c>
      <c r="U454" s="5">
        <v>0.78424703969930498</v>
      </c>
    </row>
    <row r="455" spans="1:21" x14ac:dyDescent="0.3">
      <c r="A455" s="5" t="s">
        <v>1939</v>
      </c>
      <c r="B455" s="5" t="s">
        <v>1940</v>
      </c>
      <c r="C455" s="5">
        <v>136</v>
      </c>
      <c r="D455" s="5">
        <v>136</v>
      </c>
      <c r="E455" s="5">
        <v>1</v>
      </c>
      <c r="F455" s="6">
        <v>23.635100000000001</v>
      </c>
      <c r="G455" s="5">
        <v>0.16156599999999999</v>
      </c>
      <c r="H455" s="5">
        <v>23.635000000000002</v>
      </c>
      <c r="I455" s="5"/>
      <c r="J455" s="5">
        <v>1</v>
      </c>
      <c r="K455" s="5" t="s">
        <v>2</v>
      </c>
      <c r="L455" s="5" t="s">
        <v>1941</v>
      </c>
      <c r="M455" s="5" t="s">
        <v>1942</v>
      </c>
      <c r="N455" s="5" t="s">
        <v>1943</v>
      </c>
      <c r="O455" s="5">
        <v>9</v>
      </c>
      <c r="P455" s="6">
        <v>1142200</v>
      </c>
      <c r="Q455" s="5">
        <v>644680</v>
      </c>
      <c r="R455" s="5">
        <v>497530</v>
      </c>
      <c r="S455" s="5">
        <v>1.0923</v>
      </c>
      <c r="T455" s="5">
        <f>LOG(Table2[[#This Row],[ratio heavy to light normalized]],2)</f>
        <v>0.12736914661622181</v>
      </c>
      <c r="U455" s="5">
        <v>0.397615799141815</v>
      </c>
    </row>
    <row r="456" spans="1:21" x14ac:dyDescent="0.3">
      <c r="A456" s="5" t="s">
        <v>1767</v>
      </c>
      <c r="B456" s="5" t="s">
        <v>1768</v>
      </c>
      <c r="C456" s="5">
        <v>7</v>
      </c>
      <c r="D456" s="5">
        <v>7</v>
      </c>
      <c r="E456" s="5">
        <v>1</v>
      </c>
      <c r="F456" s="6">
        <v>140.39099999999999</v>
      </c>
      <c r="G456" s="7">
        <v>3.4782500000000001E-41</v>
      </c>
      <c r="H456" s="5">
        <v>140.38999999999999</v>
      </c>
      <c r="I456" s="5" t="s">
        <v>11</v>
      </c>
      <c r="J456" s="5">
        <v>1</v>
      </c>
      <c r="K456" s="5" t="s">
        <v>2</v>
      </c>
      <c r="L456" s="5" t="s">
        <v>3643</v>
      </c>
      <c r="M456" s="5" t="s">
        <v>3644</v>
      </c>
      <c r="N456" s="5" t="s">
        <v>3645</v>
      </c>
      <c r="O456" s="5">
        <v>2</v>
      </c>
      <c r="P456" s="6">
        <v>7231700</v>
      </c>
      <c r="Q456" s="5">
        <v>3581700</v>
      </c>
      <c r="R456" s="5">
        <v>3650000</v>
      </c>
      <c r="S456" s="5">
        <v>0.97258999999999995</v>
      </c>
      <c r="T456" s="5">
        <f>LOG(Table2[[#This Row],[ratio heavy to light normalized]],2)</f>
        <v>-4.0096336772170948E-2</v>
      </c>
      <c r="U456" s="5">
        <v>0.798305890507922</v>
      </c>
    </row>
    <row r="457" spans="1:21" x14ac:dyDescent="0.3">
      <c r="A457" s="5" t="s">
        <v>3607</v>
      </c>
      <c r="B457" s="5" t="s">
        <v>3608</v>
      </c>
      <c r="C457" s="5">
        <v>216</v>
      </c>
      <c r="D457" s="5">
        <v>216</v>
      </c>
      <c r="E457" s="5">
        <v>1</v>
      </c>
      <c r="F457" s="6">
        <v>48.216299999999997</v>
      </c>
      <c r="G457" s="7">
        <v>4.2950700000000001E-7</v>
      </c>
      <c r="H457" s="5">
        <v>55.011000000000003</v>
      </c>
      <c r="I457" s="5"/>
      <c r="J457" s="5">
        <v>1</v>
      </c>
      <c r="K457" s="5" t="s">
        <v>2</v>
      </c>
      <c r="L457" s="5" t="s">
        <v>3609</v>
      </c>
      <c r="M457" s="5" t="s">
        <v>3610</v>
      </c>
      <c r="N457" s="5" t="s">
        <v>3611</v>
      </c>
      <c r="O457" s="5">
        <v>12</v>
      </c>
      <c r="P457" s="6">
        <v>1173000</v>
      </c>
      <c r="Q457" s="5">
        <v>862610</v>
      </c>
      <c r="R457" s="5">
        <v>310370</v>
      </c>
      <c r="S457" s="5">
        <v>0.97177000000000002</v>
      </c>
      <c r="T457" s="5">
        <f>LOG(Table2[[#This Row],[ratio heavy to light normalized]],2)</f>
        <v>-4.1313199908282507E-2</v>
      </c>
      <c r="U457" s="5">
        <v>0.79028980925376502</v>
      </c>
    </row>
    <row r="458" spans="1:21" x14ac:dyDescent="0.3">
      <c r="A458" s="5" t="s">
        <v>407</v>
      </c>
      <c r="B458" s="5" t="s">
        <v>408</v>
      </c>
      <c r="C458" s="5">
        <v>588</v>
      </c>
      <c r="D458" s="5">
        <v>588</v>
      </c>
      <c r="E458" s="5">
        <v>1</v>
      </c>
      <c r="F458" s="6">
        <v>143.78899999999999</v>
      </c>
      <c r="G458" s="7">
        <v>6.9924499999999998E-46</v>
      </c>
      <c r="H458" s="5">
        <v>143.79</v>
      </c>
      <c r="I458" s="5" t="s">
        <v>11</v>
      </c>
      <c r="J458" s="5">
        <v>1</v>
      </c>
      <c r="K458" s="5" t="s">
        <v>2</v>
      </c>
      <c r="L458" s="5" t="s">
        <v>3677</v>
      </c>
      <c r="M458" s="5" t="s">
        <v>3678</v>
      </c>
      <c r="N458" s="5" t="s">
        <v>3679</v>
      </c>
      <c r="O458" s="5">
        <v>3</v>
      </c>
      <c r="P458" s="6">
        <v>9930400</v>
      </c>
      <c r="Q458" s="5">
        <v>5071200</v>
      </c>
      <c r="R458" s="5">
        <v>4859200</v>
      </c>
      <c r="S458" s="5">
        <v>0.97067000000000003</v>
      </c>
      <c r="T458" s="5">
        <f>LOG(Table2[[#This Row],[ratio heavy to light normalized]],2)</f>
        <v>-4.2947190883160444E-2</v>
      </c>
      <c r="U458" s="5">
        <v>0.80813894865589397</v>
      </c>
    </row>
    <row r="459" spans="1:21" x14ac:dyDescent="0.3">
      <c r="A459" s="5" t="s">
        <v>574</v>
      </c>
      <c r="B459" s="5" t="s">
        <v>575</v>
      </c>
      <c r="C459" s="5">
        <v>502</v>
      </c>
      <c r="D459" s="5">
        <v>502</v>
      </c>
      <c r="E459" s="5">
        <v>1</v>
      </c>
      <c r="F459" s="6">
        <v>84.297300000000007</v>
      </c>
      <c r="G459" s="7">
        <v>2.1373500000000001E-11</v>
      </c>
      <c r="H459" s="5">
        <v>84.296999999999997</v>
      </c>
      <c r="I459" s="5"/>
      <c r="J459" s="5">
        <v>1</v>
      </c>
      <c r="K459" s="5" t="s">
        <v>2</v>
      </c>
      <c r="L459" s="5" t="s">
        <v>3659</v>
      </c>
      <c r="M459" s="5" t="s">
        <v>3660</v>
      </c>
      <c r="N459" s="5" t="s">
        <v>3661</v>
      </c>
      <c r="O459" s="5">
        <v>9</v>
      </c>
      <c r="P459" s="6">
        <v>1804000</v>
      </c>
      <c r="Q459" s="5">
        <v>1024800</v>
      </c>
      <c r="R459" s="5">
        <v>779250</v>
      </c>
      <c r="S459" s="5">
        <v>0.96919</v>
      </c>
      <c r="T459" s="5">
        <f>LOG(Table2[[#This Row],[ratio heavy to light normalized]],2)</f>
        <v>-4.5148575596283436E-2</v>
      </c>
      <c r="U459" s="5">
        <v>0.80046313900565402</v>
      </c>
    </row>
    <row r="460" spans="1:21" x14ac:dyDescent="0.3">
      <c r="A460" s="5" t="s">
        <v>2685</v>
      </c>
      <c r="B460" s="5" t="s">
        <v>2686</v>
      </c>
      <c r="C460" s="5">
        <v>430</v>
      </c>
      <c r="D460" s="5">
        <v>430</v>
      </c>
      <c r="E460" s="5">
        <v>1</v>
      </c>
      <c r="F460" s="6">
        <v>103.7</v>
      </c>
      <c r="G460" s="7">
        <v>5.3051300000000003E-15</v>
      </c>
      <c r="H460" s="5">
        <v>103.7</v>
      </c>
      <c r="I460" s="5" t="s">
        <v>11</v>
      </c>
      <c r="J460" s="5">
        <v>1</v>
      </c>
      <c r="K460" s="5" t="s">
        <v>2</v>
      </c>
      <c r="L460" s="5" t="s">
        <v>3736</v>
      </c>
      <c r="M460" s="5" t="s">
        <v>3737</v>
      </c>
      <c r="N460" s="5" t="s">
        <v>3738</v>
      </c>
      <c r="O460" s="5">
        <v>8</v>
      </c>
      <c r="P460" s="6">
        <v>2867100</v>
      </c>
      <c r="Q460" s="5">
        <v>1538900</v>
      </c>
      <c r="R460" s="5">
        <v>1328200</v>
      </c>
      <c r="S460" s="5">
        <v>0.96813000000000005</v>
      </c>
      <c r="T460" s="5">
        <f>LOG(Table2[[#This Row],[ratio heavy to light normalized]],2)</f>
        <v>-4.6727310029363193E-2</v>
      </c>
      <c r="U460" s="5">
        <v>0.82122382097869495</v>
      </c>
    </row>
    <row r="461" spans="1:21" x14ac:dyDescent="0.3">
      <c r="A461" s="5" t="s">
        <v>2099</v>
      </c>
      <c r="B461" s="5" t="s">
        <v>2100</v>
      </c>
      <c r="C461" s="5">
        <v>408</v>
      </c>
      <c r="D461" s="5">
        <v>408</v>
      </c>
      <c r="E461" s="5">
        <v>1</v>
      </c>
      <c r="F461" s="6">
        <v>55.400599999999997</v>
      </c>
      <c r="G461" s="5">
        <v>3.0318200000000002E-3</v>
      </c>
      <c r="H461" s="5">
        <v>55.401000000000003</v>
      </c>
      <c r="I461" s="5"/>
      <c r="J461" s="5">
        <v>1</v>
      </c>
      <c r="K461" s="5" t="s">
        <v>2</v>
      </c>
      <c r="L461" s="5" t="s">
        <v>3396</v>
      </c>
      <c r="M461" s="5" t="s">
        <v>3397</v>
      </c>
      <c r="N461" s="5" t="s">
        <v>3398</v>
      </c>
      <c r="O461" s="5">
        <v>9</v>
      </c>
      <c r="P461" s="6">
        <v>732250</v>
      </c>
      <c r="Q461" s="5">
        <v>315500</v>
      </c>
      <c r="R461" s="5">
        <v>416750</v>
      </c>
      <c r="S461" s="5">
        <v>0.96741999999999995</v>
      </c>
      <c r="T461" s="5">
        <f>LOG(Table2[[#This Row],[ratio heavy to light normalized]],2)</f>
        <v>-4.7785731175780825E-2</v>
      </c>
      <c r="U461" s="5">
        <v>0.73077618111279197</v>
      </c>
    </row>
    <row r="462" spans="1:21" x14ac:dyDescent="0.3">
      <c r="A462" s="5" t="s">
        <v>867</v>
      </c>
      <c r="B462" s="5" t="s">
        <v>868</v>
      </c>
      <c r="C462" s="5">
        <v>450</v>
      </c>
      <c r="D462" s="5">
        <v>450</v>
      </c>
      <c r="E462" s="5">
        <v>1</v>
      </c>
      <c r="F462" s="6">
        <v>96.889799999999994</v>
      </c>
      <c r="G462" s="7">
        <v>2.0636399999999999E-11</v>
      </c>
      <c r="H462" s="5">
        <v>96.89</v>
      </c>
      <c r="I462" s="5" t="s">
        <v>11</v>
      </c>
      <c r="J462" s="5">
        <v>1</v>
      </c>
      <c r="K462" s="5" t="s">
        <v>2</v>
      </c>
      <c r="L462" s="5" t="s">
        <v>3399</v>
      </c>
      <c r="M462" s="5" t="s">
        <v>3400</v>
      </c>
      <c r="N462" s="5" t="s">
        <v>3401</v>
      </c>
      <c r="O462" s="5">
        <v>7</v>
      </c>
      <c r="P462" s="6">
        <v>573460</v>
      </c>
      <c r="Q462" s="5">
        <v>309710</v>
      </c>
      <c r="R462" s="5">
        <v>263750</v>
      </c>
      <c r="S462" s="5">
        <v>0.96730000000000005</v>
      </c>
      <c r="T462" s="5">
        <f>LOG(Table2[[#This Row],[ratio heavy to light normalized]],2)</f>
        <v>-4.7964695992527992E-2</v>
      </c>
      <c r="U462" s="5">
        <v>0.73107840504254695</v>
      </c>
    </row>
    <row r="463" spans="1:21" x14ac:dyDescent="0.3">
      <c r="A463" s="5" t="s">
        <v>3402</v>
      </c>
      <c r="B463" s="5" t="s">
        <v>3403</v>
      </c>
      <c r="C463" s="5">
        <v>101</v>
      </c>
      <c r="D463" s="5">
        <v>101</v>
      </c>
      <c r="E463" s="5">
        <v>1</v>
      </c>
      <c r="F463" s="6">
        <v>59.349699999999999</v>
      </c>
      <c r="G463" s="5">
        <v>3.1201499999999999E-3</v>
      </c>
      <c r="H463" s="5">
        <v>59.35</v>
      </c>
      <c r="I463" s="5" t="s">
        <v>11</v>
      </c>
      <c r="J463" s="5">
        <v>1</v>
      </c>
      <c r="K463" s="5" t="s">
        <v>2</v>
      </c>
      <c r="L463" s="5" t="s">
        <v>3404</v>
      </c>
      <c r="M463" s="5" t="s">
        <v>3405</v>
      </c>
      <c r="N463" s="5" t="s">
        <v>3406</v>
      </c>
      <c r="O463" s="5">
        <v>7</v>
      </c>
      <c r="P463" s="6">
        <v>657650</v>
      </c>
      <c r="Q463" s="5">
        <v>332060</v>
      </c>
      <c r="R463" s="5">
        <v>325590</v>
      </c>
      <c r="S463" s="5">
        <v>0.96609999999999996</v>
      </c>
      <c r="T463" s="5">
        <f>LOG(Table2[[#This Row],[ratio heavy to light normalized]],2)</f>
        <v>-4.9755566243251247E-2</v>
      </c>
      <c r="U463" s="5">
        <v>0.73410499991545397</v>
      </c>
    </row>
    <row r="464" spans="1:21" x14ac:dyDescent="0.3">
      <c r="A464" s="5" t="s">
        <v>846</v>
      </c>
      <c r="B464" s="5" t="s">
        <v>847</v>
      </c>
      <c r="C464" s="5">
        <v>42</v>
      </c>
      <c r="D464" s="5">
        <v>42</v>
      </c>
      <c r="E464" s="5">
        <v>1</v>
      </c>
      <c r="F464" s="6">
        <v>120.136</v>
      </c>
      <c r="G464" s="7">
        <v>3.9737399999999997E-36</v>
      </c>
      <c r="H464" s="5">
        <v>120.14</v>
      </c>
      <c r="I464" s="5" t="s">
        <v>11</v>
      </c>
      <c r="J464" s="5">
        <v>1</v>
      </c>
      <c r="K464" s="5" t="s">
        <v>2</v>
      </c>
      <c r="L464" s="5" t="s">
        <v>3813</v>
      </c>
      <c r="M464" s="5" t="s">
        <v>3814</v>
      </c>
      <c r="N464" s="5" t="s">
        <v>3815</v>
      </c>
      <c r="O464" s="5">
        <v>6</v>
      </c>
      <c r="P464" s="6">
        <v>34866000</v>
      </c>
      <c r="Q464" s="5">
        <v>16237000</v>
      </c>
      <c r="R464" s="5">
        <v>18629000</v>
      </c>
      <c r="S464" s="5">
        <v>0.96553999999999995</v>
      </c>
      <c r="T464" s="5">
        <f>LOG(Table2[[#This Row],[ratio heavy to light normalized]],2)</f>
        <v>-5.0592067087644625E-2</v>
      </c>
      <c r="U464" s="5">
        <v>0.834653264413455</v>
      </c>
    </row>
    <row r="465" spans="1:21" x14ac:dyDescent="0.3">
      <c r="A465" s="5" t="s">
        <v>628</v>
      </c>
      <c r="B465" s="5" t="s">
        <v>629</v>
      </c>
      <c r="C465" s="5">
        <v>247</v>
      </c>
      <c r="D465" s="5">
        <v>247</v>
      </c>
      <c r="E465" s="5">
        <v>1</v>
      </c>
      <c r="F465" s="6">
        <v>127.462</v>
      </c>
      <c r="G465" s="7">
        <v>4.5115700000000003E-26</v>
      </c>
      <c r="H465" s="5">
        <v>127.46</v>
      </c>
      <c r="I465" s="5" t="s">
        <v>11</v>
      </c>
      <c r="J465" s="5">
        <v>1</v>
      </c>
      <c r="K465" s="5" t="s">
        <v>2</v>
      </c>
      <c r="L465" s="5" t="s">
        <v>3833</v>
      </c>
      <c r="M465" s="5" t="s">
        <v>3834</v>
      </c>
      <c r="N465" s="5" t="s">
        <v>3835</v>
      </c>
      <c r="O465" s="5">
        <v>3</v>
      </c>
      <c r="P465" s="6">
        <v>21513000</v>
      </c>
      <c r="Q465" s="5">
        <v>10739000</v>
      </c>
      <c r="R465" s="5">
        <v>10774000</v>
      </c>
      <c r="S465" s="5">
        <v>0.96460999999999997</v>
      </c>
      <c r="T465" s="5">
        <f>LOG(Table2[[#This Row],[ratio heavy to light normalized]],2)</f>
        <v>-5.1982328457855297E-2</v>
      </c>
      <c r="U465" s="5">
        <v>0.83949624712140003</v>
      </c>
    </row>
    <row r="466" spans="1:21" x14ac:dyDescent="0.3">
      <c r="A466" s="5" t="s">
        <v>1988</v>
      </c>
      <c r="B466" s="5" t="s">
        <v>1989</v>
      </c>
      <c r="C466" s="5">
        <v>487</v>
      </c>
      <c r="D466" s="5">
        <v>487</v>
      </c>
      <c r="E466" s="5">
        <v>1</v>
      </c>
      <c r="F466" s="6">
        <v>31.478200000000001</v>
      </c>
      <c r="G466" s="5">
        <v>0.122298</v>
      </c>
      <c r="H466" s="5">
        <v>31.478000000000002</v>
      </c>
      <c r="I466" s="5"/>
      <c r="J466" s="5">
        <v>1</v>
      </c>
      <c r="K466" s="5" t="s">
        <v>2</v>
      </c>
      <c r="L466" s="5" t="s">
        <v>1990</v>
      </c>
      <c r="M466" s="5" t="s">
        <v>1991</v>
      </c>
      <c r="N466" s="5" t="s">
        <v>1992</v>
      </c>
      <c r="O466" s="5">
        <v>4</v>
      </c>
      <c r="P466" s="6">
        <v>1259100</v>
      </c>
      <c r="Q466" s="5">
        <v>544920</v>
      </c>
      <c r="R466" s="5">
        <v>714150</v>
      </c>
      <c r="S466" s="5">
        <v>1.0889</v>
      </c>
      <c r="T466" s="5">
        <f>LOG(Table2[[#This Row],[ratio heavy to light normalized]],2)</f>
        <v>0.12287146908839318</v>
      </c>
      <c r="U466" s="5">
        <v>0.406299466709864</v>
      </c>
    </row>
    <row r="467" spans="1:21" x14ac:dyDescent="0.3">
      <c r="A467" s="5" t="s">
        <v>3836</v>
      </c>
      <c r="B467" s="5" t="s">
        <v>3837</v>
      </c>
      <c r="C467" s="5">
        <v>76</v>
      </c>
      <c r="D467" s="5">
        <v>76</v>
      </c>
      <c r="E467" s="5">
        <v>1</v>
      </c>
      <c r="F467" s="6">
        <v>86.881600000000006</v>
      </c>
      <c r="G467" s="7">
        <v>2.5956900000000001E-10</v>
      </c>
      <c r="H467" s="5">
        <v>86.882000000000005</v>
      </c>
      <c r="I467" s="5" t="s">
        <v>11</v>
      </c>
      <c r="J467" s="5">
        <v>1</v>
      </c>
      <c r="K467" s="5" t="s">
        <v>2</v>
      </c>
      <c r="L467" s="5" t="s">
        <v>3838</v>
      </c>
      <c r="M467" s="5" t="s">
        <v>3839</v>
      </c>
      <c r="N467" s="5" t="s">
        <v>3840</v>
      </c>
      <c r="O467" s="5">
        <v>6</v>
      </c>
      <c r="P467" s="6">
        <v>3664500</v>
      </c>
      <c r="Q467" s="5">
        <v>1936200</v>
      </c>
      <c r="R467" s="5">
        <v>1728300</v>
      </c>
      <c r="S467" s="5">
        <v>0.96458999999999995</v>
      </c>
      <c r="T467" s="5">
        <f>LOG(Table2[[#This Row],[ratio heavy to light normalized]],2)</f>
        <v>-5.2012241272305672E-2</v>
      </c>
      <c r="U467" s="5">
        <v>0.83960051607483399</v>
      </c>
    </row>
    <row r="468" spans="1:21" x14ac:dyDescent="0.3">
      <c r="A468" s="5" t="s">
        <v>3856</v>
      </c>
      <c r="B468" s="5" t="s">
        <v>3857</v>
      </c>
      <c r="C468" s="5">
        <v>85</v>
      </c>
      <c r="D468" s="5">
        <v>85</v>
      </c>
      <c r="E468" s="5">
        <v>0.99632900000000002</v>
      </c>
      <c r="F468" s="6">
        <v>24.335599999999999</v>
      </c>
      <c r="G468" s="5">
        <v>2.3384600000000001E-4</v>
      </c>
      <c r="H468" s="5">
        <v>65.224000000000004</v>
      </c>
      <c r="I468" s="5"/>
      <c r="J468" s="5">
        <v>1</v>
      </c>
      <c r="K468" s="5" t="s">
        <v>2</v>
      </c>
      <c r="L468" s="5" t="s">
        <v>3858</v>
      </c>
      <c r="M468" s="5" t="s">
        <v>3859</v>
      </c>
      <c r="N468" s="5" t="s">
        <v>3860</v>
      </c>
      <c r="O468" s="5">
        <v>4</v>
      </c>
      <c r="P468" s="6">
        <v>2677900</v>
      </c>
      <c r="Q468" s="5">
        <v>1410100</v>
      </c>
      <c r="R468" s="5">
        <v>1267800</v>
      </c>
      <c r="S468" s="5">
        <v>0.96436999999999995</v>
      </c>
      <c r="T468" s="5">
        <f>LOG(Table2[[#This Row],[ratio heavy to light normalized]],2)</f>
        <v>-5.234132317174553E-2</v>
      </c>
      <c r="U468" s="5">
        <v>0.84074780272235705</v>
      </c>
    </row>
    <row r="469" spans="1:21" x14ac:dyDescent="0.3">
      <c r="A469" s="5" t="s">
        <v>846</v>
      </c>
      <c r="B469" s="5" t="s">
        <v>847</v>
      </c>
      <c r="C469" s="5">
        <v>364</v>
      </c>
      <c r="D469" s="5">
        <v>364</v>
      </c>
      <c r="E469" s="5">
        <v>1</v>
      </c>
      <c r="F469" s="6">
        <v>161.75700000000001</v>
      </c>
      <c r="G469" s="7">
        <v>9.7240699999999999E-70</v>
      </c>
      <c r="H469" s="5">
        <v>161.76</v>
      </c>
      <c r="I469" s="5"/>
      <c r="J469" s="5">
        <v>1</v>
      </c>
      <c r="K469" s="5" t="s">
        <v>2</v>
      </c>
      <c r="L469" s="5" t="s">
        <v>3864</v>
      </c>
      <c r="M469" s="5" t="s">
        <v>3865</v>
      </c>
      <c r="N469" s="5" t="s">
        <v>3866</v>
      </c>
      <c r="O469" s="5">
        <v>13</v>
      </c>
      <c r="P469" s="6">
        <v>130140000</v>
      </c>
      <c r="Q469" s="5">
        <v>55016000</v>
      </c>
      <c r="R469" s="5">
        <v>75126000</v>
      </c>
      <c r="S469" s="5">
        <v>0.96382999999999996</v>
      </c>
      <c r="T469" s="5">
        <f>LOG(Table2[[#This Row],[ratio heavy to light normalized]],2)</f>
        <v>-5.314938804307337E-2</v>
      </c>
      <c r="U469" s="5">
        <v>0.84356641051613401</v>
      </c>
    </row>
    <row r="470" spans="1:21" x14ac:dyDescent="0.3">
      <c r="A470" s="5" t="s">
        <v>313</v>
      </c>
      <c r="B470" s="5" t="s">
        <v>314</v>
      </c>
      <c r="C470" s="5">
        <v>240</v>
      </c>
      <c r="D470" s="5">
        <v>240</v>
      </c>
      <c r="E470" s="5">
        <v>1</v>
      </c>
      <c r="F470" s="6">
        <v>99.652900000000002</v>
      </c>
      <c r="G470" s="7">
        <v>9.6175300000000007E-15</v>
      </c>
      <c r="H470" s="5">
        <v>99.653000000000006</v>
      </c>
      <c r="I470" s="5" t="s">
        <v>11</v>
      </c>
      <c r="J470" s="5">
        <v>1</v>
      </c>
      <c r="K470" s="5" t="s">
        <v>2</v>
      </c>
      <c r="L470" s="5" t="s">
        <v>3440</v>
      </c>
      <c r="M470" s="5" t="s">
        <v>3441</v>
      </c>
      <c r="N470" s="5" t="s">
        <v>3442</v>
      </c>
      <c r="O470" s="5">
        <v>8</v>
      </c>
      <c r="P470" s="6">
        <v>558580</v>
      </c>
      <c r="Q470" s="5">
        <v>288820</v>
      </c>
      <c r="R470" s="5">
        <v>269760</v>
      </c>
      <c r="S470" s="5">
        <v>0.96345000000000003</v>
      </c>
      <c r="T470" s="5">
        <f>LOG(Table2[[#This Row],[ratio heavy to light normalized]],2)</f>
        <v>-5.3718297721627506E-2</v>
      </c>
      <c r="U470" s="5">
        <v>0.74081671161204199</v>
      </c>
    </row>
    <row r="471" spans="1:21" x14ac:dyDescent="0.3">
      <c r="A471" s="5" t="s">
        <v>2447</v>
      </c>
      <c r="B471" s="5" t="s">
        <v>2448</v>
      </c>
      <c r="C471" s="5">
        <v>219</v>
      </c>
      <c r="D471" s="5">
        <v>219</v>
      </c>
      <c r="E471" s="5">
        <v>1</v>
      </c>
      <c r="F471" s="6">
        <v>74.162000000000006</v>
      </c>
      <c r="G471" s="7">
        <v>3.2491199999999998E-5</v>
      </c>
      <c r="H471" s="5">
        <v>74.162000000000006</v>
      </c>
      <c r="I471" s="5" t="s">
        <v>11</v>
      </c>
      <c r="J471" s="5">
        <v>1</v>
      </c>
      <c r="K471" s="5" t="s">
        <v>2</v>
      </c>
      <c r="L471" s="5" t="s">
        <v>3749</v>
      </c>
      <c r="M471" s="5" t="s">
        <v>3750</v>
      </c>
      <c r="N471" s="5" t="s">
        <v>3751</v>
      </c>
      <c r="O471" s="5">
        <v>3</v>
      </c>
      <c r="P471" s="6">
        <v>2523700</v>
      </c>
      <c r="Q471" s="5">
        <v>1324400</v>
      </c>
      <c r="R471" s="5">
        <v>1199300</v>
      </c>
      <c r="S471" s="5">
        <v>0.96338000000000001</v>
      </c>
      <c r="T471" s="5">
        <f>LOG(Table2[[#This Row],[ratio heavy to light normalized]],2)</f>
        <v>-5.3823121346863435E-2</v>
      </c>
      <c r="U471" s="5">
        <v>0.823595045968608</v>
      </c>
    </row>
    <row r="472" spans="1:21" x14ac:dyDescent="0.3">
      <c r="A472" s="5" t="s">
        <v>1236</v>
      </c>
      <c r="B472" s="5" t="s">
        <v>1237</v>
      </c>
      <c r="C472" s="5">
        <v>119</v>
      </c>
      <c r="D472" s="5">
        <v>119</v>
      </c>
      <c r="E472" s="5">
        <v>1</v>
      </c>
      <c r="F472" s="6">
        <v>74.919899999999998</v>
      </c>
      <c r="G472" s="7">
        <v>1.7642799999999999E-15</v>
      </c>
      <c r="H472" s="5">
        <v>94.688000000000002</v>
      </c>
      <c r="I472" s="5" t="s">
        <v>11</v>
      </c>
      <c r="J472" s="5">
        <v>1</v>
      </c>
      <c r="K472" s="5" t="s">
        <v>2</v>
      </c>
      <c r="L472" s="5" t="s">
        <v>3878</v>
      </c>
      <c r="M472" s="5" t="s">
        <v>3879</v>
      </c>
      <c r="N472" s="5" t="s">
        <v>3880</v>
      </c>
      <c r="O472" s="5">
        <v>6</v>
      </c>
      <c r="P472" s="6">
        <v>12840000</v>
      </c>
      <c r="Q472" s="5">
        <v>7094300</v>
      </c>
      <c r="R472" s="5">
        <v>5745500</v>
      </c>
      <c r="S472" s="5">
        <v>0.96319999999999995</v>
      </c>
      <c r="T472" s="5">
        <f>LOG(Table2[[#This Row],[ratio heavy to light normalized]],2)</f>
        <v>-5.4092702789747427E-2</v>
      </c>
      <c r="U472" s="5">
        <v>0.84685931672076398</v>
      </c>
    </row>
    <row r="473" spans="1:21" x14ac:dyDescent="0.3">
      <c r="A473" s="5" t="s">
        <v>3776</v>
      </c>
      <c r="B473" s="5" t="s">
        <v>3777</v>
      </c>
      <c r="C473" s="5">
        <v>333</v>
      </c>
      <c r="D473" s="5">
        <v>333</v>
      </c>
      <c r="E473" s="5">
        <v>1</v>
      </c>
      <c r="F473" s="6">
        <v>72.325100000000006</v>
      </c>
      <c r="G473" s="7">
        <v>1.3451600000000001E-7</v>
      </c>
      <c r="H473" s="5">
        <v>72.325000000000003</v>
      </c>
      <c r="I473" s="5" t="s">
        <v>11</v>
      </c>
      <c r="J473" s="5">
        <v>1</v>
      </c>
      <c r="K473" s="5" t="s">
        <v>2</v>
      </c>
      <c r="L473" s="5" t="s">
        <v>3778</v>
      </c>
      <c r="M473" s="5" t="s">
        <v>3779</v>
      </c>
      <c r="N473" s="5" t="s">
        <v>3780</v>
      </c>
      <c r="O473" s="5">
        <v>5</v>
      </c>
      <c r="P473" s="6">
        <v>1324000</v>
      </c>
      <c r="Q473" s="5">
        <v>635460</v>
      </c>
      <c r="R473" s="5">
        <v>688570</v>
      </c>
      <c r="S473" s="5">
        <v>0.96279999999999999</v>
      </c>
      <c r="T473" s="5">
        <f>LOG(Table2[[#This Row],[ratio heavy to light normalized]],2)</f>
        <v>-5.4691953074952525E-2</v>
      </c>
      <c r="U473" s="5">
        <v>0.82592073428662705</v>
      </c>
    </row>
    <row r="474" spans="1:21" x14ac:dyDescent="0.3">
      <c r="A474" s="5" t="s">
        <v>1058</v>
      </c>
      <c r="B474" s="5" t="s">
        <v>1059</v>
      </c>
      <c r="C474" s="5">
        <v>576</v>
      </c>
      <c r="D474" s="5">
        <v>576</v>
      </c>
      <c r="E474" s="5">
        <v>1</v>
      </c>
      <c r="F474" s="6">
        <v>65.395200000000003</v>
      </c>
      <c r="G474" s="7">
        <v>8.6196899999999995E-5</v>
      </c>
      <c r="H474" s="5">
        <v>65.394999999999996</v>
      </c>
      <c r="I474" s="5" t="s">
        <v>11</v>
      </c>
      <c r="J474" s="5">
        <v>1</v>
      </c>
      <c r="K474" s="5" t="s">
        <v>2</v>
      </c>
      <c r="L474" s="5" t="s">
        <v>3887</v>
      </c>
      <c r="M474" s="5" t="s">
        <v>3888</v>
      </c>
      <c r="N474" s="5" t="s">
        <v>3889</v>
      </c>
      <c r="O474" s="5">
        <v>7</v>
      </c>
      <c r="P474" s="6">
        <v>3583500</v>
      </c>
      <c r="Q474" s="5">
        <v>2032900</v>
      </c>
      <c r="R474" s="5">
        <v>1550600</v>
      </c>
      <c r="S474" s="5">
        <v>0.96277000000000001</v>
      </c>
      <c r="T474" s="5">
        <f>LOG(Table2[[#This Row],[ratio heavy to light normalized]],2)</f>
        <v>-5.4736906882116264E-2</v>
      </c>
      <c r="U474" s="5">
        <v>0.84910963407588902</v>
      </c>
    </row>
    <row r="475" spans="1:21" x14ac:dyDescent="0.3">
      <c r="A475" s="5" t="s">
        <v>2844</v>
      </c>
      <c r="B475" s="5" t="s">
        <v>2845</v>
      </c>
      <c r="C475" s="5">
        <v>142</v>
      </c>
      <c r="D475" s="5">
        <v>142</v>
      </c>
      <c r="E475" s="5">
        <v>1</v>
      </c>
      <c r="F475" s="6">
        <v>40.011699999999998</v>
      </c>
      <c r="G475" s="7">
        <v>5.5714400000000002E-20</v>
      </c>
      <c r="H475" s="5">
        <v>77.045000000000002</v>
      </c>
      <c r="I475" s="5" t="s">
        <v>11</v>
      </c>
      <c r="J475" s="5">
        <v>1</v>
      </c>
      <c r="K475" s="5" t="s">
        <v>2</v>
      </c>
      <c r="L475" s="5" t="s">
        <v>3786</v>
      </c>
      <c r="M475" s="5" t="s">
        <v>3787</v>
      </c>
      <c r="N475" s="5" t="s">
        <v>3788</v>
      </c>
      <c r="O475" s="5">
        <v>5</v>
      </c>
      <c r="P475" s="6">
        <v>2276100</v>
      </c>
      <c r="Q475" s="5">
        <v>1229100</v>
      </c>
      <c r="R475" s="5">
        <v>1047000</v>
      </c>
      <c r="S475" s="5">
        <v>0.96211000000000002</v>
      </c>
      <c r="T475" s="5">
        <f>LOG(Table2[[#This Row],[ratio heavy to light normalized]],2)</f>
        <v>-5.5726245193388889E-2</v>
      </c>
      <c r="U475" s="5">
        <v>0.82869131803097695</v>
      </c>
    </row>
    <row r="476" spans="1:21" x14ac:dyDescent="0.3">
      <c r="A476" s="5" t="s">
        <v>1201</v>
      </c>
      <c r="B476" s="5" t="s">
        <v>1202</v>
      </c>
      <c r="C476" s="5">
        <v>12</v>
      </c>
      <c r="D476" s="5">
        <v>12</v>
      </c>
      <c r="E476" s="5">
        <v>1</v>
      </c>
      <c r="F476" s="6">
        <v>98.299300000000002</v>
      </c>
      <c r="G476" s="7">
        <v>1.8746799999999999E-15</v>
      </c>
      <c r="H476" s="5">
        <v>98.299000000000007</v>
      </c>
      <c r="I476" s="5" t="s">
        <v>11</v>
      </c>
      <c r="J476" s="5">
        <v>1</v>
      </c>
      <c r="K476" s="5" t="s">
        <v>2</v>
      </c>
      <c r="L476" s="5" t="s">
        <v>3456</v>
      </c>
      <c r="M476" s="5" t="s">
        <v>3457</v>
      </c>
      <c r="N476" s="5" t="s">
        <v>3458</v>
      </c>
      <c r="O476" s="5">
        <v>2</v>
      </c>
      <c r="P476" s="6">
        <v>798960</v>
      </c>
      <c r="Q476" s="5">
        <v>456730</v>
      </c>
      <c r="R476" s="5">
        <v>342230</v>
      </c>
      <c r="S476" s="5">
        <v>0.96094999999999997</v>
      </c>
      <c r="T476" s="5">
        <f>LOG(Table2[[#This Row],[ratio heavy to light normalized]],2)</f>
        <v>-5.746672801805984E-2</v>
      </c>
      <c r="U476" s="5">
        <v>0.74718367472485003</v>
      </c>
    </row>
    <row r="477" spans="1:21" x14ac:dyDescent="0.3">
      <c r="A477" s="5" t="s">
        <v>986</v>
      </c>
      <c r="B477" s="5" t="s">
        <v>987</v>
      </c>
      <c r="C477" s="5">
        <v>65</v>
      </c>
      <c r="D477" s="5">
        <v>65</v>
      </c>
      <c r="E477" s="5">
        <v>1</v>
      </c>
      <c r="F477" s="6">
        <v>41.876100000000001</v>
      </c>
      <c r="G477" s="5">
        <v>1.18735E-2</v>
      </c>
      <c r="H477" s="5">
        <v>41.875999999999998</v>
      </c>
      <c r="I477" s="5"/>
      <c r="J477" s="5">
        <v>1</v>
      </c>
      <c r="K477" s="5" t="s">
        <v>2</v>
      </c>
      <c r="L477" s="5" t="s">
        <v>3467</v>
      </c>
      <c r="M477" s="5" t="s">
        <v>3468</v>
      </c>
      <c r="N477" s="5" t="s">
        <v>3469</v>
      </c>
      <c r="O477" s="5">
        <v>2</v>
      </c>
      <c r="P477" s="6">
        <v>480660</v>
      </c>
      <c r="Q477" s="5">
        <v>245650</v>
      </c>
      <c r="R477" s="5">
        <v>235010</v>
      </c>
      <c r="S477" s="5">
        <v>0.96064000000000005</v>
      </c>
      <c r="T477" s="5">
        <f>LOG(Table2[[#This Row],[ratio heavy to light normalized]],2)</f>
        <v>-5.7932212816123249E-2</v>
      </c>
      <c r="U477" s="5">
        <v>0.74797554792152399</v>
      </c>
    </row>
    <row r="478" spans="1:21" x14ac:dyDescent="0.3">
      <c r="A478" s="5" t="s">
        <v>794</v>
      </c>
      <c r="B478" s="5" t="s">
        <v>795</v>
      </c>
      <c r="C478" s="5">
        <v>31</v>
      </c>
      <c r="D478" s="5">
        <v>31</v>
      </c>
      <c r="E478" s="5">
        <v>1</v>
      </c>
      <c r="F478" s="6">
        <v>90.653099999999995</v>
      </c>
      <c r="G478" s="7">
        <v>1.7172600000000001E-12</v>
      </c>
      <c r="H478" s="5">
        <v>90.653000000000006</v>
      </c>
      <c r="I478" s="5" t="s">
        <v>11</v>
      </c>
      <c r="J478" s="5">
        <v>1</v>
      </c>
      <c r="K478" s="5" t="s">
        <v>2</v>
      </c>
      <c r="L478" s="5" t="s">
        <v>3822</v>
      </c>
      <c r="M478" s="5" t="s">
        <v>3823</v>
      </c>
      <c r="N478" s="5" t="s">
        <v>3824</v>
      </c>
      <c r="O478" s="5">
        <v>6</v>
      </c>
      <c r="P478" s="6">
        <v>1685900</v>
      </c>
      <c r="Q478" s="5">
        <v>879560</v>
      </c>
      <c r="R478" s="5">
        <v>806350</v>
      </c>
      <c r="S478" s="5">
        <v>0.96004</v>
      </c>
      <c r="T478" s="5">
        <f>LOG(Table2[[#This Row],[ratio heavy to light normalized]],2)</f>
        <v>-5.8833578012502795E-2</v>
      </c>
      <c r="U478" s="5">
        <v>0.83702770055599995</v>
      </c>
    </row>
    <row r="479" spans="1:21" x14ac:dyDescent="0.3">
      <c r="A479" s="5" t="s">
        <v>3825</v>
      </c>
      <c r="B479" s="5" t="s">
        <v>3826</v>
      </c>
      <c r="C479" s="5">
        <v>249</v>
      </c>
      <c r="D479" s="5">
        <v>249</v>
      </c>
      <c r="E479" s="5">
        <v>1</v>
      </c>
      <c r="F479" s="6">
        <v>125.747</v>
      </c>
      <c r="G479" s="7">
        <v>1.00479E-27</v>
      </c>
      <c r="H479" s="5">
        <v>125.75</v>
      </c>
      <c r="I479" s="5" t="s">
        <v>11</v>
      </c>
      <c r="J479" s="5">
        <v>1</v>
      </c>
      <c r="K479" s="5" t="s">
        <v>2</v>
      </c>
      <c r="L479" s="5" t="s">
        <v>3827</v>
      </c>
      <c r="M479" s="5" t="s">
        <v>3828</v>
      </c>
      <c r="N479" s="5" t="s">
        <v>3829</v>
      </c>
      <c r="O479" s="5">
        <v>3</v>
      </c>
      <c r="P479" s="6">
        <v>2017800</v>
      </c>
      <c r="Q479" s="5">
        <v>1149400</v>
      </c>
      <c r="R479" s="5">
        <v>868400</v>
      </c>
      <c r="S479" s="5">
        <v>0.96001999999999998</v>
      </c>
      <c r="T479" s="5">
        <f>LOG(Table2[[#This Row],[ratio heavy to light normalized]],2)</f>
        <v>-5.8863633219963865E-2</v>
      </c>
      <c r="U479" s="5">
        <v>0.83710842397879603</v>
      </c>
    </row>
    <row r="480" spans="1:21" x14ac:dyDescent="0.3">
      <c r="A480" s="5" t="s">
        <v>1399</v>
      </c>
      <c r="B480" s="5" t="s">
        <v>1400</v>
      </c>
      <c r="C480" s="5">
        <v>10</v>
      </c>
      <c r="D480" s="5">
        <v>10</v>
      </c>
      <c r="E480" s="5">
        <v>1</v>
      </c>
      <c r="F480" s="6">
        <v>56.225099999999998</v>
      </c>
      <c r="G480" s="5">
        <v>2.7775399999999998E-3</v>
      </c>
      <c r="H480" s="5">
        <v>56.225000000000001</v>
      </c>
      <c r="I480" s="5"/>
      <c r="J480" s="5">
        <v>1</v>
      </c>
      <c r="K480" s="5" t="s">
        <v>2</v>
      </c>
      <c r="L480" s="5" t="s">
        <v>3830</v>
      </c>
      <c r="M480" s="5" t="s">
        <v>3831</v>
      </c>
      <c r="N480" s="5" t="s">
        <v>3832</v>
      </c>
      <c r="O480" s="5">
        <v>6</v>
      </c>
      <c r="P480" s="6">
        <v>1720800</v>
      </c>
      <c r="Q480" s="5">
        <v>802150</v>
      </c>
      <c r="R480" s="5">
        <v>918660</v>
      </c>
      <c r="S480" s="5">
        <v>0.95945000000000003</v>
      </c>
      <c r="T480" s="5">
        <f>LOG(Table2[[#This Row],[ratio heavy to light normalized]],2)</f>
        <v>-5.9720469948309499E-2</v>
      </c>
      <c r="U480" s="5">
        <v>0.83941046693222598</v>
      </c>
    </row>
    <row r="481" spans="1:21" x14ac:dyDescent="0.3">
      <c r="A481" s="5" t="s">
        <v>1201</v>
      </c>
      <c r="B481" s="5" t="s">
        <v>1202</v>
      </c>
      <c r="C481" s="5">
        <v>329</v>
      </c>
      <c r="D481" s="5">
        <v>329</v>
      </c>
      <c r="E481" s="5">
        <v>0.99509700000000001</v>
      </c>
      <c r="F481" s="6">
        <v>23.073799999999999</v>
      </c>
      <c r="G481" s="7">
        <v>7.94366E-26</v>
      </c>
      <c r="H481" s="5">
        <v>122.33</v>
      </c>
      <c r="I481" s="5" t="s">
        <v>11</v>
      </c>
      <c r="J481" s="5">
        <v>1</v>
      </c>
      <c r="K481" s="5" t="s">
        <v>2</v>
      </c>
      <c r="L481" s="5" t="s">
        <v>3963</v>
      </c>
      <c r="M481" s="5" t="s">
        <v>3964</v>
      </c>
      <c r="N481" s="5" t="s">
        <v>3965</v>
      </c>
      <c r="O481" s="5">
        <v>4</v>
      </c>
      <c r="P481" s="6">
        <v>6258800</v>
      </c>
      <c r="Q481" s="5">
        <v>3378000</v>
      </c>
      <c r="R481" s="5">
        <v>2880900</v>
      </c>
      <c r="S481" s="5">
        <v>0.95901000000000003</v>
      </c>
      <c r="T481" s="5">
        <f>LOG(Table2[[#This Row],[ratio heavy to light normalized]],2)</f>
        <v>-6.0382235978481004E-2</v>
      </c>
      <c r="U481" s="5">
        <v>0.86888039246003701</v>
      </c>
    </row>
    <row r="482" spans="1:21" x14ac:dyDescent="0.3">
      <c r="A482" s="5" t="s">
        <v>253</v>
      </c>
      <c r="B482" s="5" t="s">
        <v>254</v>
      </c>
      <c r="C482" s="5">
        <v>860</v>
      </c>
      <c r="D482" s="5">
        <v>860</v>
      </c>
      <c r="E482" s="5">
        <v>1</v>
      </c>
      <c r="F482" s="6">
        <v>39.657200000000003</v>
      </c>
      <c r="G482" s="7">
        <v>2.06836E-44</v>
      </c>
      <c r="H482" s="5">
        <v>124.68</v>
      </c>
      <c r="I482" s="5"/>
      <c r="J482" s="5">
        <v>1</v>
      </c>
      <c r="K482" s="5" t="s">
        <v>2</v>
      </c>
      <c r="L482" s="5" t="s">
        <v>3972</v>
      </c>
      <c r="M482" s="5" t="s">
        <v>3973</v>
      </c>
      <c r="N482" s="5" t="s">
        <v>3974</v>
      </c>
      <c r="O482" s="5">
        <v>14</v>
      </c>
      <c r="P482" s="6">
        <v>31576000</v>
      </c>
      <c r="Q482" s="5">
        <v>16056000</v>
      </c>
      <c r="R482" s="5">
        <v>15519000</v>
      </c>
      <c r="S482" s="5">
        <v>0.95882999999999996</v>
      </c>
      <c r="T482" s="5">
        <f>LOG(Table2[[#This Row],[ratio heavy to light normalized]],2)</f>
        <v>-6.0653045960672038E-2</v>
      </c>
      <c r="U482" s="5">
        <v>0.86983097498496298</v>
      </c>
    </row>
    <row r="483" spans="1:21" x14ac:dyDescent="0.3">
      <c r="A483" s="5" t="s">
        <v>3482</v>
      </c>
      <c r="B483" s="5" t="s">
        <v>3483</v>
      </c>
      <c r="C483" s="5">
        <v>640</v>
      </c>
      <c r="D483" s="5">
        <v>640</v>
      </c>
      <c r="E483" s="5">
        <v>1</v>
      </c>
      <c r="F483" s="6">
        <v>58.676499999999997</v>
      </c>
      <c r="G483" s="5">
        <v>2.0215099999999998E-3</v>
      </c>
      <c r="H483" s="5">
        <v>58.676000000000002</v>
      </c>
      <c r="I483" s="5" t="s">
        <v>11</v>
      </c>
      <c r="J483" s="5">
        <v>1</v>
      </c>
      <c r="K483" s="5" t="s">
        <v>2</v>
      </c>
      <c r="L483" s="5" t="s">
        <v>3484</v>
      </c>
      <c r="M483" s="5" t="s">
        <v>3485</v>
      </c>
      <c r="N483" s="5" t="s">
        <v>3486</v>
      </c>
      <c r="O483" s="5">
        <v>5</v>
      </c>
      <c r="P483" s="6">
        <v>636120</v>
      </c>
      <c r="Q483" s="5">
        <v>331820</v>
      </c>
      <c r="R483" s="5">
        <v>304310</v>
      </c>
      <c r="S483" s="5">
        <v>0.95848</v>
      </c>
      <c r="T483" s="5">
        <f>LOG(Table2[[#This Row],[ratio heavy to light normalized]],2)</f>
        <v>-6.1179766490914847E-2</v>
      </c>
      <c r="U483" s="5">
        <v>0.75350757780529598</v>
      </c>
    </row>
    <row r="484" spans="1:21" x14ac:dyDescent="0.3">
      <c r="A484" s="5" t="s">
        <v>854</v>
      </c>
      <c r="B484" s="5" t="s">
        <v>855</v>
      </c>
      <c r="C484" s="5">
        <v>92</v>
      </c>
      <c r="D484" s="5">
        <v>92</v>
      </c>
      <c r="E484" s="5">
        <v>1</v>
      </c>
      <c r="F484" s="6">
        <v>73.722200000000001</v>
      </c>
      <c r="G484" s="7">
        <v>1.17149E-41</v>
      </c>
      <c r="H484" s="5">
        <v>127.78</v>
      </c>
      <c r="I484" s="5"/>
      <c r="J484" s="5">
        <v>1</v>
      </c>
      <c r="K484" s="5" t="s">
        <v>2</v>
      </c>
      <c r="L484" s="5" t="s">
        <v>3975</v>
      </c>
      <c r="M484" s="5" t="s">
        <v>3976</v>
      </c>
      <c r="N484" s="5" t="s">
        <v>3977</v>
      </c>
      <c r="O484" s="5">
        <v>14</v>
      </c>
      <c r="P484" s="6">
        <v>7056500</v>
      </c>
      <c r="Q484" s="5">
        <v>3556900</v>
      </c>
      <c r="R484" s="5">
        <v>3499700</v>
      </c>
      <c r="S484" s="5">
        <v>0.95840999999999998</v>
      </c>
      <c r="T484" s="5">
        <f>LOG(Table2[[#This Row],[ratio heavy to light normalized]],2)</f>
        <v>-6.1285133677250143E-2</v>
      </c>
      <c r="U484" s="5">
        <v>0.87205042471856198</v>
      </c>
    </row>
    <row r="485" spans="1:21" x14ac:dyDescent="0.3">
      <c r="A485" s="5" t="s">
        <v>25</v>
      </c>
      <c r="B485" s="5" t="s">
        <v>26</v>
      </c>
      <c r="C485" s="5">
        <v>310</v>
      </c>
      <c r="D485" s="5">
        <v>310</v>
      </c>
      <c r="E485" s="5">
        <v>1</v>
      </c>
      <c r="F485" s="6">
        <v>58.829799999999999</v>
      </c>
      <c r="G485" s="7">
        <v>4.9699099999999999E-8</v>
      </c>
      <c r="H485" s="5">
        <v>58.83</v>
      </c>
      <c r="I485" s="5"/>
      <c r="J485" s="5">
        <v>1</v>
      </c>
      <c r="K485" s="5" t="s">
        <v>2</v>
      </c>
      <c r="L485" s="5" t="s">
        <v>3870</v>
      </c>
      <c r="M485" s="5" t="s">
        <v>3871</v>
      </c>
      <c r="N485" s="5" t="s">
        <v>3872</v>
      </c>
      <c r="O485" s="5">
        <v>12</v>
      </c>
      <c r="P485" s="6">
        <v>2123900</v>
      </c>
      <c r="Q485" s="5">
        <v>1056600</v>
      </c>
      <c r="R485" s="5">
        <v>1067300</v>
      </c>
      <c r="S485" s="5">
        <v>0.95811999999999997</v>
      </c>
      <c r="T485" s="5">
        <f>LOG(Table2[[#This Row],[ratio heavy to light normalized]],2)</f>
        <v>-6.1721736876835798E-2</v>
      </c>
      <c r="U485" s="5">
        <v>0.84479254517292202</v>
      </c>
    </row>
    <row r="486" spans="1:21" x14ac:dyDescent="0.3">
      <c r="A486" s="5" t="s">
        <v>603</v>
      </c>
      <c r="B486" s="5" t="s">
        <v>604</v>
      </c>
      <c r="C486" s="5">
        <v>123</v>
      </c>
      <c r="D486" s="5">
        <v>123</v>
      </c>
      <c r="E486" s="5">
        <v>1</v>
      </c>
      <c r="F486" s="6">
        <v>74.952799999999996</v>
      </c>
      <c r="G486" s="7">
        <v>6.3674099999999999E-15</v>
      </c>
      <c r="H486" s="5">
        <v>74.953000000000003</v>
      </c>
      <c r="I486" s="5" t="s">
        <v>11</v>
      </c>
      <c r="J486" s="5">
        <v>1</v>
      </c>
      <c r="K486" s="5" t="s">
        <v>2</v>
      </c>
      <c r="L486" s="5" t="s">
        <v>3995</v>
      </c>
      <c r="M486" s="5" t="s">
        <v>3996</v>
      </c>
      <c r="N486" s="5" t="s">
        <v>3997</v>
      </c>
      <c r="O486" s="5">
        <v>13</v>
      </c>
      <c r="P486" s="6">
        <v>3078700</v>
      </c>
      <c r="Q486" s="5">
        <v>1703000</v>
      </c>
      <c r="R486" s="5">
        <v>1375700</v>
      </c>
      <c r="S486" s="5">
        <v>0.95772000000000002</v>
      </c>
      <c r="T486" s="5">
        <f>LOG(Table2[[#This Row],[ratio heavy to light normalized]],2)</f>
        <v>-6.2324165080381758E-2</v>
      </c>
      <c r="U486" s="5">
        <v>0.87570095769198997</v>
      </c>
    </row>
    <row r="487" spans="1:21" x14ac:dyDescent="0.3">
      <c r="A487" s="5" t="s">
        <v>559</v>
      </c>
      <c r="B487" s="5" t="s">
        <v>560</v>
      </c>
      <c r="C487" s="5">
        <v>27</v>
      </c>
      <c r="D487" s="5">
        <v>27</v>
      </c>
      <c r="E487" s="5">
        <v>1</v>
      </c>
      <c r="F487" s="6">
        <v>93.509799999999998</v>
      </c>
      <c r="G487" s="7">
        <v>4.08684E-20</v>
      </c>
      <c r="H487" s="5">
        <v>93.51</v>
      </c>
      <c r="I487" s="5" t="s">
        <v>11</v>
      </c>
      <c r="J487" s="5">
        <v>1</v>
      </c>
      <c r="K487" s="5" t="s">
        <v>2</v>
      </c>
      <c r="L487" s="5" t="s">
        <v>3881</v>
      </c>
      <c r="M487" s="5" t="s">
        <v>3882</v>
      </c>
      <c r="N487" s="5" t="s">
        <v>3883</v>
      </c>
      <c r="O487" s="5">
        <v>8</v>
      </c>
      <c r="P487" s="6">
        <v>1564700</v>
      </c>
      <c r="Q487" s="5">
        <v>776570</v>
      </c>
      <c r="R487" s="5">
        <v>788170</v>
      </c>
      <c r="S487" s="5">
        <v>0.95742000000000005</v>
      </c>
      <c r="T487" s="5">
        <f>LOG(Table2[[#This Row],[ratio heavy to light normalized]],2)</f>
        <v>-6.277615137465449E-2</v>
      </c>
      <c r="U487" s="5">
        <v>0.84763115311630099</v>
      </c>
    </row>
    <row r="488" spans="1:21" x14ac:dyDescent="0.3">
      <c r="A488" s="5" t="s">
        <v>4012</v>
      </c>
      <c r="B488" s="5" t="s">
        <v>4013</v>
      </c>
      <c r="C488" s="5">
        <v>27</v>
      </c>
      <c r="D488" s="5">
        <v>27</v>
      </c>
      <c r="E488" s="5">
        <v>1</v>
      </c>
      <c r="F488" s="6">
        <v>62.076999999999998</v>
      </c>
      <c r="G488" s="7">
        <v>1.7320399999999999E-6</v>
      </c>
      <c r="H488" s="5">
        <v>62.076999999999998</v>
      </c>
      <c r="I488" s="5"/>
      <c r="J488" s="5">
        <v>1</v>
      </c>
      <c r="K488" s="5" t="s">
        <v>2</v>
      </c>
      <c r="L488" s="5" t="s">
        <v>4014</v>
      </c>
      <c r="M488" s="5" t="s">
        <v>4015</v>
      </c>
      <c r="N488" s="5" t="s">
        <v>4016</v>
      </c>
      <c r="O488" s="5">
        <v>11</v>
      </c>
      <c r="P488" s="6">
        <v>3944100</v>
      </c>
      <c r="Q488" s="5">
        <v>2130700</v>
      </c>
      <c r="R488" s="5">
        <v>1813300</v>
      </c>
      <c r="S488" s="5">
        <v>0.95709999999999995</v>
      </c>
      <c r="T488" s="5">
        <f>LOG(Table2[[#This Row],[ratio heavy to light normalized]],2)</f>
        <v>-6.3258426218880476E-2</v>
      </c>
      <c r="U488" s="5">
        <v>0.87898565280602603</v>
      </c>
    </row>
    <row r="489" spans="1:21" x14ac:dyDescent="0.3">
      <c r="A489" s="5" t="s">
        <v>2134</v>
      </c>
      <c r="B489" s="5" t="s">
        <v>2135</v>
      </c>
      <c r="C489" s="5">
        <v>282</v>
      </c>
      <c r="D489" s="5">
        <v>282</v>
      </c>
      <c r="E489" s="5">
        <v>1</v>
      </c>
      <c r="F489" s="6">
        <v>46.158099999999997</v>
      </c>
      <c r="G489" s="5">
        <v>1.68144E-2</v>
      </c>
      <c r="H489" s="5">
        <v>46.158000000000001</v>
      </c>
      <c r="I489" s="5" t="s">
        <v>11</v>
      </c>
      <c r="J489" s="5">
        <v>1</v>
      </c>
      <c r="K489" s="5" t="s">
        <v>2</v>
      </c>
      <c r="L489" s="5" t="s">
        <v>3900</v>
      </c>
      <c r="M489" s="5" t="s">
        <v>3901</v>
      </c>
      <c r="N489" s="5" t="s">
        <v>3902</v>
      </c>
      <c r="O489" s="5">
        <v>6</v>
      </c>
      <c r="P489" s="6">
        <v>2097000</v>
      </c>
      <c r="Q489" s="5">
        <v>1001500</v>
      </c>
      <c r="R489" s="5">
        <v>1095500</v>
      </c>
      <c r="S489" s="5">
        <v>0.95664000000000005</v>
      </c>
      <c r="T489" s="5">
        <f>LOG(Table2[[#This Row],[ratio heavy to light normalized]],2)</f>
        <v>-6.3951978876597496E-2</v>
      </c>
      <c r="U489" s="5">
        <v>0.85079895021042196</v>
      </c>
    </row>
    <row r="490" spans="1:21" x14ac:dyDescent="0.3">
      <c r="A490" s="5" t="s">
        <v>846</v>
      </c>
      <c r="B490" s="5" t="s">
        <v>847</v>
      </c>
      <c r="C490" s="5">
        <v>390</v>
      </c>
      <c r="D490" s="5">
        <v>390</v>
      </c>
      <c r="E490" s="5">
        <v>1</v>
      </c>
      <c r="F490" s="6">
        <v>71.555099999999996</v>
      </c>
      <c r="G490" s="7">
        <v>3.81097E-6</v>
      </c>
      <c r="H490" s="5">
        <v>71.555000000000007</v>
      </c>
      <c r="I490" s="5" t="s">
        <v>11</v>
      </c>
      <c r="J490" s="5">
        <v>1</v>
      </c>
      <c r="K490" s="5" t="s">
        <v>2</v>
      </c>
      <c r="L490" s="5" t="s">
        <v>4033</v>
      </c>
      <c r="M490" s="5" t="s">
        <v>4034</v>
      </c>
      <c r="N490" s="5" t="s">
        <v>4035</v>
      </c>
      <c r="O490" s="5">
        <v>10</v>
      </c>
      <c r="P490" s="6">
        <v>4944400</v>
      </c>
      <c r="Q490" s="5">
        <v>2376600</v>
      </c>
      <c r="R490" s="5">
        <v>2567800</v>
      </c>
      <c r="S490" s="5">
        <v>0.95628999999999997</v>
      </c>
      <c r="T490" s="5">
        <f>LOG(Table2[[#This Row],[ratio heavy to light normalized]],2)</f>
        <v>-6.4479905429002213E-2</v>
      </c>
      <c r="U490" s="5">
        <v>0.88328329043908005</v>
      </c>
    </row>
    <row r="491" spans="1:21" x14ac:dyDescent="0.3">
      <c r="A491" s="5" t="s">
        <v>937</v>
      </c>
      <c r="B491" s="5" t="s">
        <v>938</v>
      </c>
      <c r="C491" s="5">
        <v>226</v>
      </c>
      <c r="D491" s="5">
        <v>226</v>
      </c>
      <c r="E491" s="5">
        <v>1</v>
      </c>
      <c r="F491" s="6">
        <v>63.426499999999997</v>
      </c>
      <c r="G491" s="7">
        <v>5.0278900000000001E-20</v>
      </c>
      <c r="H491" s="5">
        <v>99.531000000000006</v>
      </c>
      <c r="I491" s="5" t="s">
        <v>11</v>
      </c>
      <c r="J491" s="5">
        <v>1</v>
      </c>
      <c r="K491" s="5" t="s">
        <v>2</v>
      </c>
      <c r="L491" s="5" t="s">
        <v>4036</v>
      </c>
      <c r="M491" s="5" t="s">
        <v>4037</v>
      </c>
      <c r="N491" s="5" t="s">
        <v>4038</v>
      </c>
      <c r="O491" s="5">
        <v>5</v>
      </c>
      <c r="P491" s="6">
        <v>3202100</v>
      </c>
      <c r="Q491" s="5">
        <v>1636100</v>
      </c>
      <c r="R491" s="5">
        <v>1566000</v>
      </c>
      <c r="S491" s="5">
        <v>0.95615000000000006</v>
      </c>
      <c r="T491" s="5">
        <f>LOG(Table2[[#This Row],[ratio heavy to light normalized]],2)</f>
        <v>-6.4691130153527052E-2</v>
      </c>
      <c r="U491" s="5">
        <v>0.88402681309345699</v>
      </c>
    </row>
    <row r="492" spans="1:21" x14ac:dyDescent="0.3">
      <c r="A492" s="5" t="s">
        <v>1126</v>
      </c>
      <c r="B492" s="5" t="s">
        <v>1127</v>
      </c>
      <c r="C492" s="5">
        <v>59</v>
      </c>
      <c r="D492" s="5">
        <v>59</v>
      </c>
      <c r="E492" s="5">
        <v>1</v>
      </c>
      <c r="F492" s="6">
        <v>54.597900000000003</v>
      </c>
      <c r="G492" s="7">
        <v>1.3981899999999999E-6</v>
      </c>
      <c r="H492" s="5">
        <v>54.597999999999999</v>
      </c>
      <c r="I492" s="5" t="s">
        <v>11</v>
      </c>
      <c r="J492" s="5">
        <v>1</v>
      </c>
      <c r="K492" s="5" t="s">
        <v>2</v>
      </c>
      <c r="L492" s="5" t="s">
        <v>3934</v>
      </c>
      <c r="M492" s="5" t="s">
        <v>3935</v>
      </c>
      <c r="N492" s="5" t="s">
        <v>3936</v>
      </c>
      <c r="O492" s="5">
        <v>11</v>
      </c>
      <c r="P492" s="6">
        <v>1964100</v>
      </c>
      <c r="Q492" s="5">
        <v>871340</v>
      </c>
      <c r="R492" s="5">
        <v>1092800</v>
      </c>
      <c r="S492" s="5">
        <v>0.95472999999999997</v>
      </c>
      <c r="T492" s="5">
        <f>LOG(Table2[[#This Row],[ratio heavy to light normalized]],2)</f>
        <v>-6.6835301776191153E-2</v>
      </c>
      <c r="U492" s="5">
        <v>0.85857700815095905</v>
      </c>
    </row>
    <row r="493" spans="1:21" x14ac:dyDescent="0.3">
      <c r="A493" s="5" t="s">
        <v>4066</v>
      </c>
      <c r="B493" s="5" t="s">
        <v>4067</v>
      </c>
      <c r="C493" s="5">
        <v>156</v>
      </c>
      <c r="D493" s="5">
        <v>156</v>
      </c>
      <c r="E493" s="5">
        <v>1</v>
      </c>
      <c r="F493" s="6">
        <v>71.558199999999999</v>
      </c>
      <c r="G493" s="7">
        <v>5.33751E-18</v>
      </c>
      <c r="H493" s="5">
        <v>85.635999999999996</v>
      </c>
      <c r="I493" s="5" t="s">
        <v>11</v>
      </c>
      <c r="J493" s="5">
        <v>1</v>
      </c>
      <c r="K493" s="5" t="s">
        <v>2</v>
      </c>
      <c r="L493" s="5" t="s">
        <v>4068</v>
      </c>
      <c r="M493" s="5" t="s">
        <v>4069</v>
      </c>
      <c r="N493" s="5" t="s">
        <v>4070</v>
      </c>
      <c r="O493" s="5">
        <v>12</v>
      </c>
      <c r="P493" s="6">
        <v>7559600</v>
      </c>
      <c r="Q493" s="5">
        <v>3814100</v>
      </c>
      <c r="R493" s="5">
        <v>3745500</v>
      </c>
      <c r="S493" s="5">
        <v>0.95433999999999997</v>
      </c>
      <c r="T493" s="5">
        <f>LOG(Table2[[#This Row],[ratio heavy to light normalized]],2)</f>
        <v>-6.7424752214125694E-2</v>
      </c>
      <c r="U493" s="5">
        <v>0.89365829750290304</v>
      </c>
    </row>
    <row r="494" spans="1:21" x14ac:dyDescent="0.3">
      <c r="A494" s="5" t="s">
        <v>3621</v>
      </c>
      <c r="B494" s="5" t="s">
        <v>3622</v>
      </c>
      <c r="C494" s="5">
        <v>73</v>
      </c>
      <c r="D494" s="5">
        <v>73</v>
      </c>
      <c r="E494" s="5">
        <v>1</v>
      </c>
      <c r="F494" s="6">
        <v>34.497799999999998</v>
      </c>
      <c r="G494" s="7">
        <v>1.04894E-7</v>
      </c>
      <c r="H494" s="5">
        <v>62.860999999999997</v>
      </c>
      <c r="I494" s="5" t="s">
        <v>11</v>
      </c>
      <c r="J494" s="5">
        <v>1</v>
      </c>
      <c r="K494" s="5" t="s">
        <v>2</v>
      </c>
      <c r="L494" s="5" t="s">
        <v>4109</v>
      </c>
      <c r="M494" s="5" t="s">
        <v>4110</v>
      </c>
      <c r="N494" s="5" t="s">
        <v>4111</v>
      </c>
      <c r="O494" s="5">
        <v>16</v>
      </c>
      <c r="P494" s="6">
        <v>4848700</v>
      </c>
      <c r="Q494" s="5">
        <v>2393000</v>
      </c>
      <c r="R494" s="5">
        <v>2455700</v>
      </c>
      <c r="S494" s="5">
        <v>0.95245000000000002</v>
      </c>
      <c r="T494" s="5">
        <f>LOG(Table2[[#This Row],[ratio heavy to light normalized]],2)</f>
        <v>-7.0284736292333116E-2</v>
      </c>
      <c r="U494" s="5">
        <v>0.90375178818149604</v>
      </c>
    </row>
    <row r="495" spans="1:21" x14ac:dyDescent="0.3">
      <c r="A495" s="5" t="s">
        <v>1221</v>
      </c>
      <c r="B495" s="5" t="s">
        <v>1222</v>
      </c>
      <c r="C495" s="5">
        <v>248</v>
      </c>
      <c r="D495" s="5">
        <v>248</v>
      </c>
      <c r="E495" s="5">
        <v>1</v>
      </c>
      <c r="F495" s="6">
        <v>60.6282</v>
      </c>
      <c r="G495" s="7">
        <v>6.1822099999999999E-5</v>
      </c>
      <c r="H495" s="5">
        <v>60.628</v>
      </c>
      <c r="I495" s="5" t="s">
        <v>11</v>
      </c>
      <c r="J495" s="5">
        <v>1</v>
      </c>
      <c r="K495" s="5" t="s">
        <v>2</v>
      </c>
      <c r="L495" s="5" t="s">
        <v>4123</v>
      </c>
      <c r="M495" s="5" t="s">
        <v>4124</v>
      </c>
      <c r="N495" s="5" t="s">
        <v>4125</v>
      </c>
      <c r="O495" s="5">
        <v>4</v>
      </c>
      <c r="P495" s="6">
        <v>2923600</v>
      </c>
      <c r="Q495" s="5">
        <v>1521400</v>
      </c>
      <c r="R495" s="5">
        <v>1402200</v>
      </c>
      <c r="S495" s="5">
        <v>0.95147000000000004</v>
      </c>
      <c r="T495" s="5">
        <f>LOG(Table2[[#This Row],[ratio heavy to light normalized]],2)</f>
        <v>-7.1769926074397777E-2</v>
      </c>
      <c r="U495" s="5">
        <v>0.90899958565333605</v>
      </c>
    </row>
    <row r="496" spans="1:21" x14ac:dyDescent="0.3">
      <c r="A496" s="5" t="s">
        <v>653</v>
      </c>
      <c r="B496" s="5" t="s">
        <v>654</v>
      </c>
      <c r="C496" s="5">
        <v>30</v>
      </c>
      <c r="D496" s="5">
        <v>30</v>
      </c>
      <c r="E496" s="5">
        <v>1</v>
      </c>
      <c r="F496" s="6">
        <v>21.987200000000001</v>
      </c>
      <c r="G496" s="5">
        <v>0.13250300000000001</v>
      </c>
      <c r="H496" s="5">
        <v>21.986999999999998</v>
      </c>
      <c r="I496" s="5" t="s">
        <v>11</v>
      </c>
      <c r="J496" s="5">
        <v>1</v>
      </c>
      <c r="K496" s="5" t="s">
        <v>2</v>
      </c>
      <c r="L496" s="5" t="s">
        <v>2110</v>
      </c>
      <c r="M496" s="5" t="s">
        <v>2111</v>
      </c>
      <c r="N496" s="5" t="s">
        <v>2112</v>
      </c>
      <c r="O496" s="5">
        <v>3</v>
      </c>
      <c r="P496" s="6">
        <v>321880</v>
      </c>
      <c r="Q496" s="5">
        <v>216800</v>
      </c>
      <c r="R496" s="5">
        <v>105080</v>
      </c>
      <c r="S496" s="5">
        <v>0.70254000000000005</v>
      </c>
      <c r="T496" s="5">
        <f>LOG(Table2[[#This Row],[ratio heavy to light normalized]],2)</f>
        <v>-0.50934772555554764</v>
      </c>
      <c r="U496" s="5">
        <v>0.43574875354696602</v>
      </c>
    </row>
    <row r="497" spans="1:21" x14ac:dyDescent="0.3">
      <c r="A497" s="5" t="s">
        <v>2330</v>
      </c>
      <c r="B497" s="5" t="s">
        <v>2331</v>
      </c>
      <c r="C497" s="5">
        <v>41</v>
      </c>
      <c r="D497" s="5">
        <v>41</v>
      </c>
      <c r="E497" s="5">
        <v>1</v>
      </c>
      <c r="F497" s="6">
        <v>65.805000000000007</v>
      </c>
      <c r="G497" s="7">
        <v>1.13294E-8</v>
      </c>
      <c r="H497" s="5">
        <v>65.805000000000007</v>
      </c>
      <c r="I497" s="5" t="s">
        <v>11</v>
      </c>
      <c r="J497" s="5">
        <v>1</v>
      </c>
      <c r="K497" s="5" t="s">
        <v>2</v>
      </c>
      <c r="L497" s="5" t="s">
        <v>3978</v>
      </c>
      <c r="M497" s="5" t="s">
        <v>3979</v>
      </c>
      <c r="N497" s="5" t="s">
        <v>3980</v>
      </c>
      <c r="O497" s="5">
        <v>8</v>
      </c>
      <c r="P497" s="6">
        <v>2595500</v>
      </c>
      <c r="Q497" s="5">
        <v>1351800</v>
      </c>
      <c r="R497" s="5">
        <v>1243800</v>
      </c>
      <c r="S497" s="5">
        <v>0.95128999999999997</v>
      </c>
      <c r="T497" s="5">
        <f>LOG(Table2[[#This Row],[ratio heavy to light normalized]],2)</f>
        <v>-7.2042882314948098E-2</v>
      </c>
      <c r="U497" s="5">
        <v>0.872659329150128</v>
      </c>
    </row>
    <row r="498" spans="1:21" x14ac:dyDescent="0.3">
      <c r="A498" s="5" t="s">
        <v>4136</v>
      </c>
      <c r="B498" s="5" t="s">
        <v>4137</v>
      </c>
      <c r="C498" s="5">
        <v>310</v>
      </c>
      <c r="D498" s="5">
        <v>310</v>
      </c>
      <c r="E498" s="5">
        <v>1</v>
      </c>
      <c r="F498" s="6">
        <v>49.448099999999997</v>
      </c>
      <c r="G498" s="7">
        <v>1.1721500000000001E-19</v>
      </c>
      <c r="H498" s="5">
        <v>87.147999999999996</v>
      </c>
      <c r="I498" s="5" t="s">
        <v>11</v>
      </c>
      <c r="J498" s="5">
        <v>1</v>
      </c>
      <c r="K498" s="5" t="s">
        <v>2</v>
      </c>
      <c r="L498" s="5" t="s">
        <v>4138</v>
      </c>
      <c r="M498" s="5" t="s">
        <v>4139</v>
      </c>
      <c r="N498" s="5" t="s">
        <v>4140</v>
      </c>
      <c r="O498" s="5">
        <v>3</v>
      </c>
      <c r="P498" s="6">
        <v>16120000</v>
      </c>
      <c r="Q498" s="5">
        <v>8031300</v>
      </c>
      <c r="R498" s="5">
        <v>8088200</v>
      </c>
      <c r="S498" s="5">
        <v>0.95103000000000004</v>
      </c>
      <c r="T498" s="5">
        <f>LOG(Table2[[#This Row],[ratio heavy to light normalized]],2)</f>
        <v>-7.243724363477512E-2</v>
      </c>
      <c r="U498" s="5">
        <v>0.91135880557712201</v>
      </c>
    </row>
    <row r="499" spans="1:21" x14ac:dyDescent="0.3">
      <c r="A499" s="5" t="s">
        <v>4144</v>
      </c>
      <c r="B499" s="5" t="s">
        <v>4145</v>
      </c>
      <c r="C499" s="5">
        <v>39</v>
      </c>
      <c r="D499" s="5">
        <v>39</v>
      </c>
      <c r="E499" s="5">
        <v>1</v>
      </c>
      <c r="F499" s="6">
        <v>53.088999999999999</v>
      </c>
      <c r="G499" s="5">
        <v>7.1723799999999999E-3</v>
      </c>
      <c r="H499" s="5">
        <v>53.088999999999999</v>
      </c>
      <c r="I499" s="5" t="s">
        <v>11</v>
      </c>
      <c r="J499" s="5">
        <v>1</v>
      </c>
      <c r="K499" s="5" t="s">
        <v>2</v>
      </c>
      <c r="L499" s="5" t="s">
        <v>4146</v>
      </c>
      <c r="M499" s="5" t="s">
        <v>4147</v>
      </c>
      <c r="N499" s="5" t="s">
        <v>4148</v>
      </c>
      <c r="O499" s="5">
        <v>6</v>
      </c>
      <c r="P499" s="6">
        <v>8051300</v>
      </c>
      <c r="Q499" s="5">
        <v>4328000</v>
      </c>
      <c r="R499" s="5">
        <v>3723300</v>
      </c>
      <c r="S499" s="5">
        <v>0.95059000000000005</v>
      </c>
      <c r="T499" s="5">
        <f>LOG(Table2[[#This Row],[ratio heavy to light normalized]],2)</f>
        <v>-7.3104870005258615E-2</v>
      </c>
      <c r="U499" s="5">
        <v>0.91371989947186705</v>
      </c>
    </row>
    <row r="500" spans="1:21" x14ac:dyDescent="0.3">
      <c r="A500" s="5" t="s">
        <v>603</v>
      </c>
      <c r="B500" s="5" t="s">
        <v>604</v>
      </c>
      <c r="C500" s="5">
        <v>60</v>
      </c>
      <c r="D500" s="5">
        <v>60</v>
      </c>
      <c r="E500" s="5">
        <v>1</v>
      </c>
      <c r="F500" s="6">
        <v>40.881900000000002</v>
      </c>
      <c r="G500" s="5">
        <v>1.5755399999999999E-2</v>
      </c>
      <c r="H500" s="5">
        <v>40.881999999999998</v>
      </c>
      <c r="I500" s="5"/>
      <c r="J500" s="5">
        <v>1</v>
      </c>
      <c r="K500" s="5" t="s">
        <v>2</v>
      </c>
      <c r="L500" s="5" t="s">
        <v>3550</v>
      </c>
      <c r="M500" s="5" t="s">
        <v>3551</v>
      </c>
      <c r="N500" s="5" t="s">
        <v>3552</v>
      </c>
      <c r="O500" s="5">
        <v>2</v>
      </c>
      <c r="P500" s="6">
        <v>830480</v>
      </c>
      <c r="Q500" s="5">
        <v>446960</v>
      </c>
      <c r="R500" s="5">
        <v>383520</v>
      </c>
      <c r="S500" s="5">
        <v>0.95038</v>
      </c>
      <c r="T500" s="5">
        <f>LOG(Table2[[#This Row],[ratio heavy to light normalized]],2)</f>
        <v>-7.3423618812256272E-2</v>
      </c>
      <c r="U500" s="5">
        <v>0.77447613075667598</v>
      </c>
    </row>
    <row r="501" spans="1:21" x14ac:dyDescent="0.3">
      <c r="A501" s="5" t="s">
        <v>2752</v>
      </c>
      <c r="B501" s="5" t="s">
        <v>2753</v>
      </c>
      <c r="C501" s="5">
        <v>27</v>
      </c>
      <c r="D501" s="5">
        <v>27</v>
      </c>
      <c r="E501" s="5">
        <v>1</v>
      </c>
      <c r="F501" s="6">
        <v>52.554900000000004</v>
      </c>
      <c r="G501" s="5">
        <v>8.4827600000000002E-4</v>
      </c>
      <c r="H501" s="5">
        <v>52.555</v>
      </c>
      <c r="I501" s="5"/>
      <c r="J501" s="5">
        <v>1</v>
      </c>
      <c r="K501" s="5" t="s">
        <v>2</v>
      </c>
      <c r="L501" s="5" t="s">
        <v>4009</v>
      </c>
      <c r="M501" s="5" t="s">
        <v>4010</v>
      </c>
      <c r="N501" s="5" t="s">
        <v>4011</v>
      </c>
      <c r="O501" s="5">
        <v>3</v>
      </c>
      <c r="P501" s="6">
        <v>1369700</v>
      </c>
      <c r="Q501" s="5">
        <v>763180</v>
      </c>
      <c r="R501" s="5">
        <v>606480</v>
      </c>
      <c r="S501" s="5">
        <v>0.94977</v>
      </c>
      <c r="T501" s="5">
        <f>LOG(Table2[[#This Row],[ratio heavy to light normalized]],2)</f>
        <v>-7.4349907794888467E-2</v>
      </c>
      <c r="U501" s="5">
        <v>0.87891117654293505</v>
      </c>
    </row>
    <row r="502" spans="1:21" x14ac:dyDescent="0.3">
      <c r="A502" s="5" t="s">
        <v>1709</v>
      </c>
      <c r="B502" s="5" t="s">
        <v>1710</v>
      </c>
      <c r="C502" s="5">
        <v>152</v>
      </c>
      <c r="D502" s="5">
        <v>152</v>
      </c>
      <c r="E502" s="5">
        <v>1</v>
      </c>
      <c r="F502" s="6">
        <v>81.864999999999995</v>
      </c>
      <c r="G502" s="7">
        <v>1.8281799999999999E-7</v>
      </c>
      <c r="H502" s="5">
        <v>81.864999999999995</v>
      </c>
      <c r="I502" s="5"/>
      <c r="J502" s="5">
        <v>1</v>
      </c>
      <c r="K502" s="5" t="s">
        <v>2</v>
      </c>
      <c r="L502" s="5" t="s">
        <v>3556</v>
      </c>
      <c r="M502" s="5" t="s">
        <v>3557</v>
      </c>
      <c r="N502" s="5" t="s">
        <v>3558</v>
      </c>
      <c r="O502" s="5">
        <v>10</v>
      </c>
      <c r="P502" s="6">
        <v>831340</v>
      </c>
      <c r="Q502" s="5">
        <v>385420</v>
      </c>
      <c r="R502" s="5">
        <v>445920</v>
      </c>
      <c r="S502" s="5">
        <v>0.94948999999999995</v>
      </c>
      <c r="T502" s="5">
        <f>LOG(Table2[[#This Row],[ratio heavy to light normalized]],2)</f>
        <v>-7.4775288853169655E-2</v>
      </c>
      <c r="U502" s="5">
        <v>0.77680140017101695</v>
      </c>
    </row>
    <row r="503" spans="1:21" x14ac:dyDescent="0.3">
      <c r="A503" s="5" t="s">
        <v>86</v>
      </c>
      <c r="B503" s="5" t="s">
        <v>87</v>
      </c>
      <c r="C503" s="5">
        <v>504</v>
      </c>
      <c r="D503" s="5">
        <v>504</v>
      </c>
      <c r="E503" s="5">
        <v>1</v>
      </c>
      <c r="F503" s="6">
        <v>119.44799999999999</v>
      </c>
      <c r="G503" s="7">
        <v>3.5574999999999998E-27</v>
      </c>
      <c r="H503" s="5">
        <v>119.45</v>
      </c>
      <c r="I503" s="5" t="s">
        <v>11</v>
      </c>
      <c r="J503" s="5">
        <v>1</v>
      </c>
      <c r="K503" s="5" t="s">
        <v>2</v>
      </c>
      <c r="L503" s="5" t="s">
        <v>4025</v>
      </c>
      <c r="M503" s="5" t="s">
        <v>4026</v>
      </c>
      <c r="N503" s="5" t="s">
        <v>4027</v>
      </c>
      <c r="O503" s="5">
        <v>4</v>
      </c>
      <c r="P503" s="6">
        <v>1450100</v>
      </c>
      <c r="Q503" s="5">
        <v>799140</v>
      </c>
      <c r="R503" s="5">
        <v>651000</v>
      </c>
      <c r="S503" s="5">
        <v>0.94921</v>
      </c>
      <c r="T503" s="5">
        <f>LOG(Table2[[#This Row],[ratio heavy to light normalized]],2)</f>
        <v>-7.5200795372764237E-2</v>
      </c>
      <c r="U503" s="5">
        <v>0.88121893981001798</v>
      </c>
    </row>
    <row r="504" spans="1:21" x14ac:dyDescent="0.3">
      <c r="A504" s="5" t="s">
        <v>4180</v>
      </c>
      <c r="B504" s="5" t="s">
        <v>4181</v>
      </c>
      <c r="C504" s="5">
        <v>29</v>
      </c>
      <c r="D504" s="5">
        <v>29</v>
      </c>
      <c r="E504" s="5">
        <v>1</v>
      </c>
      <c r="F504" s="6">
        <v>111.607</v>
      </c>
      <c r="G504" s="7">
        <v>4.9812E-21</v>
      </c>
      <c r="H504" s="5">
        <v>111.61</v>
      </c>
      <c r="I504" s="5" t="s">
        <v>11</v>
      </c>
      <c r="J504" s="5">
        <v>1</v>
      </c>
      <c r="K504" s="5" t="s">
        <v>2</v>
      </c>
      <c r="L504" s="5" t="s">
        <v>4182</v>
      </c>
      <c r="M504" s="5" t="s">
        <v>4183</v>
      </c>
      <c r="N504" s="5" t="s">
        <v>4184</v>
      </c>
      <c r="O504" s="5">
        <v>5</v>
      </c>
      <c r="P504" s="6">
        <v>2752000</v>
      </c>
      <c r="Q504" s="5">
        <v>1487200</v>
      </c>
      <c r="R504" s="5">
        <v>1264700</v>
      </c>
      <c r="S504" s="5">
        <v>0.94913999999999998</v>
      </c>
      <c r="T504" s="5">
        <f>LOG(Table2[[#This Row],[ratio heavy to light normalized]],2)</f>
        <v>-7.5307191614666966E-2</v>
      </c>
      <c r="U504" s="5">
        <v>0.92151380775788805</v>
      </c>
    </row>
    <row r="505" spans="1:21" x14ac:dyDescent="0.3">
      <c r="A505" s="5" t="s">
        <v>4195</v>
      </c>
      <c r="B505" s="5" t="s">
        <v>4196</v>
      </c>
      <c r="C505" s="5">
        <v>18</v>
      </c>
      <c r="D505" s="5">
        <v>18</v>
      </c>
      <c r="E505" s="5">
        <v>1</v>
      </c>
      <c r="F505" s="6">
        <v>66.9649</v>
      </c>
      <c r="G505" s="7">
        <v>2.3048799999999999E-11</v>
      </c>
      <c r="H505" s="5">
        <v>66.965000000000003</v>
      </c>
      <c r="I505" s="5" t="s">
        <v>11</v>
      </c>
      <c r="J505" s="5">
        <v>1</v>
      </c>
      <c r="K505" s="5" t="s">
        <v>2</v>
      </c>
      <c r="L505" s="5" t="s">
        <v>4197</v>
      </c>
      <c r="M505" s="5" t="s">
        <v>4198</v>
      </c>
      <c r="N505" s="5" t="s">
        <v>4199</v>
      </c>
      <c r="O505" s="5">
        <v>10</v>
      </c>
      <c r="P505" s="6">
        <v>7135600</v>
      </c>
      <c r="Q505" s="5">
        <v>3844900</v>
      </c>
      <c r="R505" s="5">
        <v>3290700</v>
      </c>
      <c r="S505" s="5">
        <v>0.94867999999999997</v>
      </c>
      <c r="T505" s="5">
        <f>LOG(Table2[[#This Row],[ratio heavy to light normalized]],2)</f>
        <v>-7.6006562189120982E-2</v>
      </c>
      <c r="U505" s="5">
        <v>0.92399045983787997</v>
      </c>
    </row>
    <row r="506" spans="1:21" x14ac:dyDescent="0.3">
      <c r="A506" s="5" t="s">
        <v>569</v>
      </c>
      <c r="B506" s="5" t="s">
        <v>570</v>
      </c>
      <c r="C506" s="5">
        <v>147</v>
      </c>
      <c r="D506" s="5">
        <v>147</v>
      </c>
      <c r="E506" s="5">
        <v>1</v>
      </c>
      <c r="F506" s="6">
        <v>20.252400000000002</v>
      </c>
      <c r="G506" s="5">
        <v>0.39061899999999999</v>
      </c>
      <c r="H506" s="5">
        <v>20.251999999999999</v>
      </c>
      <c r="I506" s="5" t="s">
        <v>11</v>
      </c>
      <c r="J506" s="5">
        <v>1</v>
      </c>
      <c r="K506" s="5" t="s">
        <v>2</v>
      </c>
      <c r="L506" s="5" t="s">
        <v>2149</v>
      </c>
      <c r="M506" s="5" t="s">
        <v>2150</v>
      </c>
      <c r="N506" s="5" t="s">
        <v>2151</v>
      </c>
      <c r="O506" s="5">
        <v>14</v>
      </c>
      <c r="P506" s="6">
        <v>976740</v>
      </c>
      <c r="Q506" s="5">
        <v>623380</v>
      </c>
      <c r="R506" s="5">
        <v>353360</v>
      </c>
      <c r="S506" s="5">
        <v>0.70542000000000005</v>
      </c>
      <c r="T506" s="5">
        <f>LOG(Table2[[#This Row],[ratio heavy to light normalized]],2)</f>
        <v>-0.50344561539228971</v>
      </c>
      <c r="U506" s="5">
        <v>0.44458575587792498</v>
      </c>
    </row>
    <row r="507" spans="1:21" x14ac:dyDescent="0.3">
      <c r="A507" s="5" t="s">
        <v>730</v>
      </c>
      <c r="B507" s="5" t="s">
        <v>731</v>
      </c>
      <c r="C507" s="5">
        <v>420</v>
      </c>
      <c r="D507" s="5">
        <v>420</v>
      </c>
      <c r="E507" s="5">
        <v>1</v>
      </c>
      <c r="F507" s="6">
        <v>85.812700000000007</v>
      </c>
      <c r="G507" s="7">
        <v>1.27755E-9</v>
      </c>
      <c r="H507" s="5">
        <v>85.813000000000002</v>
      </c>
      <c r="I507" s="5" t="s">
        <v>11</v>
      </c>
      <c r="J507" s="5">
        <v>1</v>
      </c>
      <c r="K507" s="5" t="s">
        <v>2</v>
      </c>
      <c r="L507" s="5" t="s">
        <v>4208</v>
      </c>
      <c r="M507" s="5" t="s">
        <v>4209</v>
      </c>
      <c r="N507" s="5" t="s">
        <v>4210</v>
      </c>
      <c r="O507" s="5">
        <v>5</v>
      </c>
      <c r="P507" s="6">
        <v>17765000</v>
      </c>
      <c r="Q507" s="5">
        <v>10346000</v>
      </c>
      <c r="R507" s="5">
        <v>7419400</v>
      </c>
      <c r="S507" s="5">
        <v>0.94825999999999999</v>
      </c>
      <c r="T507" s="5">
        <f>LOG(Table2[[#This Row],[ratio heavy to light normalized]],2)</f>
        <v>-7.6645414158160244E-2</v>
      </c>
      <c r="U507" s="5">
        <v>0.92625344460592995</v>
      </c>
    </row>
    <row r="508" spans="1:21" x14ac:dyDescent="0.3">
      <c r="A508" s="5" t="s">
        <v>407</v>
      </c>
      <c r="B508" s="5" t="s">
        <v>408</v>
      </c>
      <c r="C508" s="5">
        <v>284</v>
      </c>
      <c r="D508" s="5">
        <v>284</v>
      </c>
      <c r="E508" s="5">
        <v>1</v>
      </c>
      <c r="F508" s="6">
        <v>104.95099999999999</v>
      </c>
      <c r="G508" s="7">
        <v>4.5977699999999997E-34</v>
      </c>
      <c r="H508" s="5">
        <v>104.95</v>
      </c>
      <c r="I508" s="5"/>
      <c r="J508" s="5">
        <v>1</v>
      </c>
      <c r="K508" s="5" t="s">
        <v>2</v>
      </c>
      <c r="L508" s="5" t="s">
        <v>4211</v>
      </c>
      <c r="M508" s="5" t="s">
        <v>4212</v>
      </c>
      <c r="N508" s="5" t="s">
        <v>4213</v>
      </c>
      <c r="O508" s="5">
        <v>7</v>
      </c>
      <c r="P508" s="6">
        <v>5003200</v>
      </c>
      <c r="Q508" s="5">
        <v>2203500</v>
      </c>
      <c r="R508" s="5">
        <v>2799700</v>
      </c>
      <c r="S508" s="5">
        <v>0.94823000000000002</v>
      </c>
      <c r="T508" s="5">
        <f>LOG(Table2[[#This Row],[ratio heavy to light normalized]],2)</f>
        <v>-7.6691057268569729E-2</v>
      </c>
      <c r="U508" s="5">
        <v>0.92641514778466005</v>
      </c>
    </row>
    <row r="509" spans="1:21" x14ac:dyDescent="0.3">
      <c r="A509" s="5" t="s">
        <v>3577</v>
      </c>
      <c r="B509" s="5" t="s">
        <v>3578</v>
      </c>
      <c r="C509" s="5">
        <v>426</v>
      </c>
      <c r="D509" s="5">
        <v>426</v>
      </c>
      <c r="E509" s="5">
        <v>1</v>
      </c>
      <c r="F509" s="6">
        <v>74.162000000000006</v>
      </c>
      <c r="G509" s="7">
        <v>3.2491199999999998E-5</v>
      </c>
      <c r="H509" s="5">
        <v>74.162000000000006</v>
      </c>
      <c r="I509" s="5" t="s">
        <v>11</v>
      </c>
      <c r="J509" s="5">
        <v>1</v>
      </c>
      <c r="K509" s="5" t="s">
        <v>2</v>
      </c>
      <c r="L509" s="5" t="s">
        <v>3579</v>
      </c>
      <c r="M509" s="5" t="s">
        <v>3580</v>
      </c>
      <c r="N509" s="5" t="s">
        <v>3581</v>
      </c>
      <c r="O509" s="5">
        <v>6</v>
      </c>
      <c r="P509" s="6">
        <v>571420</v>
      </c>
      <c r="Q509" s="5">
        <v>302620</v>
      </c>
      <c r="R509" s="5">
        <v>268810</v>
      </c>
      <c r="S509" s="5">
        <v>0.94794</v>
      </c>
      <c r="T509" s="5">
        <f>LOG(Table2[[#This Row],[ratio heavy to light normalized]],2)</f>
        <v>-7.7132348466215389E-2</v>
      </c>
      <c r="U509" s="5">
        <v>0.780861011634152</v>
      </c>
    </row>
    <row r="510" spans="1:21" x14ac:dyDescent="0.3">
      <c r="A510" s="5" t="s">
        <v>243</v>
      </c>
      <c r="B510" s="5" t="s">
        <v>244</v>
      </c>
      <c r="C510" s="5">
        <v>170</v>
      </c>
      <c r="D510" s="5">
        <v>170</v>
      </c>
      <c r="E510" s="5">
        <v>1</v>
      </c>
      <c r="F510" s="6">
        <v>70.563299999999998</v>
      </c>
      <c r="G510" s="7">
        <v>9.3340699999999999E-8</v>
      </c>
      <c r="H510" s="5">
        <v>70.563000000000002</v>
      </c>
      <c r="I510" s="5"/>
      <c r="J510" s="5">
        <v>1</v>
      </c>
      <c r="K510" s="5" t="s">
        <v>2</v>
      </c>
      <c r="L510" s="5" t="s">
        <v>4055</v>
      </c>
      <c r="M510" s="5" t="s">
        <v>4056</v>
      </c>
      <c r="N510" s="5" t="s">
        <v>4057</v>
      </c>
      <c r="O510" s="5">
        <v>9</v>
      </c>
      <c r="P510" s="6">
        <v>2202400</v>
      </c>
      <c r="Q510" s="5">
        <v>1256900</v>
      </c>
      <c r="R510" s="5">
        <v>945520</v>
      </c>
      <c r="S510" s="5">
        <v>0.94771000000000005</v>
      </c>
      <c r="T510" s="5">
        <f>LOG(Table2[[#This Row],[ratio heavy to light normalized]],2)</f>
        <v>-7.7482434042173656E-2</v>
      </c>
      <c r="U510" s="5">
        <v>0.88741208958593398</v>
      </c>
    </row>
    <row r="511" spans="1:21" x14ac:dyDescent="0.3">
      <c r="A511" s="5" t="s">
        <v>2797</v>
      </c>
      <c r="B511" s="5" t="s">
        <v>2798</v>
      </c>
      <c r="C511" s="5">
        <v>46</v>
      </c>
      <c r="D511" s="5">
        <v>46</v>
      </c>
      <c r="E511" s="5">
        <v>1</v>
      </c>
      <c r="F511" s="6">
        <v>82.416700000000006</v>
      </c>
      <c r="G511" s="7">
        <v>6.5271500000000004E-15</v>
      </c>
      <c r="H511" s="5">
        <v>103.34</v>
      </c>
      <c r="I511" s="5" t="s">
        <v>11</v>
      </c>
      <c r="J511" s="5">
        <v>1</v>
      </c>
      <c r="K511" s="5" t="s">
        <v>2</v>
      </c>
      <c r="L511" s="5" t="s">
        <v>4231</v>
      </c>
      <c r="M511" s="5" t="s">
        <v>4232</v>
      </c>
      <c r="N511" s="5" t="s">
        <v>4233</v>
      </c>
      <c r="O511" s="5">
        <v>8</v>
      </c>
      <c r="P511" s="6">
        <v>12759000</v>
      </c>
      <c r="Q511" s="5">
        <v>6230100</v>
      </c>
      <c r="R511" s="5">
        <v>6529100</v>
      </c>
      <c r="S511" s="5">
        <v>0.94752999999999998</v>
      </c>
      <c r="T511" s="5">
        <f>LOG(Table2[[#This Row],[ratio heavy to light normalized]],2)</f>
        <v>-7.7756473328112016E-2</v>
      </c>
      <c r="U511" s="5">
        <v>0.93019052453862205</v>
      </c>
    </row>
    <row r="512" spans="1:21" x14ac:dyDescent="0.3">
      <c r="A512" s="5" t="s">
        <v>4061</v>
      </c>
      <c r="B512" s="5" t="s">
        <v>4062</v>
      </c>
      <c r="C512" s="5">
        <v>274</v>
      </c>
      <c r="D512" s="5">
        <v>274</v>
      </c>
      <c r="E512" s="5">
        <v>1</v>
      </c>
      <c r="F512" s="6">
        <v>57.103200000000001</v>
      </c>
      <c r="G512" s="7">
        <v>2.4950500000000001E-5</v>
      </c>
      <c r="H512" s="5">
        <v>57.103000000000002</v>
      </c>
      <c r="I512" s="5" t="s">
        <v>11</v>
      </c>
      <c r="J512" s="5">
        <v>1</v>
      </c>
      <c r="K512" s="5" t="s">
        <v>2</v>
      </c>
      <c r="L512" s="5" t="s">
        <v>4063</v>
      </c>
      <c r="M512" s="5" t="s">
        <v>4064</v>
      </c>
      <c r="N512" s="5" t="s">
        <v>4065</v>
      </c>
      <c r="O512" s="5">
        <v>6</v>
      </c>
      <c r="P512" s="6">
        <v>1070100</v>
      </c>
      <c r="Q512" s="5">
        <v>573510</v>
      </c>
      <c r="R512" s="5">
        <v>496580</v>
      </c>
      <c r="S512" s="5">
        <v>0.94625999999999999</v>
      </c>
      <c r="T512" s="5">
        <f>LOG(Table2[[#This Row],[ratio heavy to light normalized]],2)</f>
        <v>-7.9691453422623501E-2</v>
      </c>
      <c r="U512" s="5">
        <v>0.89341468651293598</v>
      </c>
    </row>
    <row r="513" spans="1:21" x14ac:dyDescent="0.3">
      <c r="A513" s="5" t="s">
        <v>3109</v>
      </c>
      <c r="B513" s="5" t="s">
        <v>3110</v>
      </c>
      <c r="C513" s="5">
        <v>610</v>
      </c>
      <c r="D513" s="5">
        <v>610</v>
      </c>
      <c r="E513" s="5">
        <v>1</v>
      </c>
      <c r="F513" s="6">
        <v>107.693</v>
      </c>
      <c r="G513" s="7">
        <v>2.9732400000000002E-15</v>
      </c>
      <c r="H513" s="5">
        <v>107.69</v>
      </c>
      <c r="I513" s="5"/>
      <c r="J513" s="5">
        <v>1</v>
      </c>
      <c r="K513" s="5" t="s">
        <v>2</v>
      </c>
      <c r="L513" s="5" t="s">
        <v>4272</v>
      </c>
      <c r="M513" s="5" t="s">
        <v>4273</v>
      </c>
      <c r="N513" s="5" t="s">
        <v>4274</v>
      </c>
      <c r="O513" s="5">
        <v>7</v>
      </c>
      <c r="P513" s="6">
        <v>5192700</v>
      </c>
      <c r="Q513" s="5">
        <v>2234500</v>
      </c>
      <c r="R513" s="5">
        <v>2958300</v>
      </c>
      <c r="S513" s="5">
        <v>0.94601000000000002</v>
      </c>
      <c r="T513" s="5">
        <f>LOG(Table2[[#This Row],[ratio heavy to light normalized]],2)</f>
        <v>-8.0072660927176978E-2</v>
      </c>
      <c r="U513" s="5">
        <v>0.93840340629512697</v>
      </c>
    </row>
    <row r="514" spans="1:21" x14ac:dyDescent="0.3">
      <c r="A514" s="5" t="s">
        <v>2920</v>
      </c>
      <c r="B514" s="5" t="s">
        <v>2921</v>
      </c>
      <c r="C514" s="5">
        <v>204</v>
      </c>
      <c r="D514" s="5">
        <v>204</v>
      </c>
      <c r="E514" s="5">
        <v>1</v>
      </c>
      <c r="F514" s="6">
        <v>93.095600000000005</v>
      </c>
      <c r="G514" s="7">
        <v>2.5844299999999999E-11</v>
      </c>
      <c r="H514" s="5">
        <v>93.096000000000004</v>
      </c>
      <c r="I514" s="5" t="s">
        <v>11</v>
      </c>
      <c r="J514" s="5">
        <v>1</v>
      </c>
      <c r="K514" s="5" t="s">
        <v>2</v>
      </c>
      <c r="L514" s="5" t="s">
        <v>4095</v>
      </c>
      <c r="M514" s="5" t="s">
        <v>4096</v>
      </c>
      <c r="N514" s="5" t="s">
        <v>4097</v>
      </c>
      <c r="O514" s="5">
        <v>6</v>
      </c>
      <c r="P514" s="6">
        <v>1101700</v>
      </c>
      <c r="Q514" s="5">
        <v>545180</v>
      </c>
      <c r="R514" s="5">
        <v>556550</v>
      </c>
      <c r="S514" s="5">
        <v>0.94459000000000004</v>
      </c>
      <c r="T514" s="5">
        <f>LOG(Table2[[#This Row],[ratio heavy to light normalized]],2)</f>
        <v>-8.2239832558713477E-2</v>
      </c>
      <c r="U514" s="5">
        <v>0.90034700015232305</v>
      </c>
    </row>
    <row r="515" spans="1:21" x14ac:dyDescent="0.3">
      <c r="A515" s="5" t="s">
        <v>2630</v>
      </c>
      <c r="B515" s="5" t="s">
        <v>2631</v>
      </c>
      <c r="C515" s="5">
        <v>415</v>
      </c>
      <c r="D515" s="5">
        <v>415</v>
      </c>
      <c r="E515" s="5">
        <v>1</v>
      </c>
      <c r="F515" s="6">
        <v>45.996499999999997</v>
      </c>
      <c r="G515" s="7">
        <v>1.2739099999999999E-23</v>
      </c>
      <c r="H515" s="5">
        <v>108.17</v>
      </c>
      <c r="I515" s="5"/>
      <c r="J515" s="5">
        <v>1</v>
      </c>
      <c r="K515" s="5" t="s">
        <v>2</v>
      </c>
      <c r="L515" s="5" t="s">
        <v>3615</v>
      </c>
      <c r="M515" s="5" t="s">
        <v>3616</v>
      </c>
      <c r="N515" s="5" t="s">
        <v>3617</v>
      </c>
      <c r="O515" s="5">
        <v>7</v>
      </c>
      <c r="P515" s="6">
        <v>328650</v>
      </c>
      <c r="Q515" s="5">
        <v>148290</v>
      </c>
      <c r="R515" s="5">
        <v>180370</v>
      </c>
      <c r="S515" s="5">
        <v>0.94347999999999999</v>
      </c>
      <c r="T515" s="5">
        <f>LOG(Table2[[#This Row],[ratio heavy to light normalized]],2)</f>
        <v>-8.393615915664944E-2</v>
      </c>
      <c r="U515" s="5">
        <v>0.79261253495584105</v>
      </c>
    </row>
    <row r="516" spans="1:21" x14ac:dyDescent="0.3">
      <c r="A516" s="5" t="s">
        <v>1131</v>
      </c>
      <c r="B516" s="5" t="s">
        <v>1132</v>
      </c>
      <c r="C516" s="5">
        <v>28</v>
      </c>
      <c r="D516" s="5">
        <v>28</v>
      </c>
      <c r="E516" s="5">
        <v>1</v>
      </c>
      <c r="F516" s="6">
        <v>83.005200000000002</v>
      </c>
      <c r="G516" s="7">
        <v>3.79986E-7</v>
      </c>
      <c r="H516" s="5">
        <v>83.004999999999995</v>
      </c>
      <c r="I516" s="5" t="s">
        <v>11</v>
      </c>
      <c r="J516" s="5">
        <v>1</v>
      </c>
      <c r="K516" s="5" t="s">
        <v>2</v>
      </c>
      <c r="L516" s="5" t="s">
        <v>4316</v>
      </c>
      <c r="M516" s="5" t="s">
        <v>4317</v>
      </c>
      <c r="N516" s="5" t="s">
        <v>4318</v>
      </c>
      <c r="O516" s="5">
        <v>7</v>
      </c>
      <c r="P516" s="6">
        <v>10569000</v>
      </c>
      <c r="Q516" s="5">
        <v>5213300</v>
      </c>
      <c r="R516" s="5">
        <v>5356200</v>
      </c>
      <c r="S516" s="5">
        <v>0.94320000000000004</v>
      </c>
      <c r="T516" s="5">
        <f>LOG(Table2[[#This Row],[ratio heavy to light normalized]],2)</f>
        <v>-8.4364376569686692E-2</v>
      </c>
      <c r="U516" s="5">
        <v>0.95363791523852304</v>
      </c>
    </row>
    <row r="517" spans="1:21" x14ac:dyDescent="0.3">
      <c r="A517" s="5" t="s">
        <v>323</v>
      </c>
      <c r="B517" s="5" t="s">
        <v>324</v>
      </c>
      <c r="C517" s="5">
        <v>212</v>
      </c>
      <c r="D517" s="5">
        <v>212</v>
      </c>
      <c r="E517" s="5">
        <v>1</v>
      </c>
      <c r="F517" s="6">
        <v>58.4895</v>
      </c>
      <c r="G517" s="7">
        <v>1.3911700000000001E-9</v>
      </c>
      <c r="H517" s="5">
        <v>58.49</v>
      </c>
      <c r="I517" s="5"/>
      <c r="J517" s="5">
        <v>1</v>
      </c>
      <c r="K517" s="5" t="s">
        <v>2</v>
      </c>
      <c r="L517" s="5" t="s">
        <v>4112</v>
      </c>
      <c r="M517" s="5" t="s">
        <v>4113</v>
      </c>
      <c r="N517" s="5" t="s">
        <v>4114</v>
      </c>
      <c r="O517" s="5">
        <v>14</v>
      </c>
      <c r="P517" s="6">
        <v>1394600</v>
      </c>
      <c r="Q517" s="5">
        <v>891310</v>
      </c>
      <c r="R517" s="5">
        <v>503320</v>
      </c>
      <c r="S517" s="5">
        <v>0.94303000000000003</v>
      </c>
      <c r="T517" s="5">
        <f>LOG(Table2[[#This Row],[ratio heavy to light normalized]],2)</f>
        <v>-8.4624427738012084E-2</v>
      </c>
      <c r="U517" s="5">
        <v>0.90684067725705497</v>
      </c>
    </row>
    <row r="518" spans="1:21" x14ac:dyDescent="0.3">
      <c r="A518" s="5" t="s">
        <v>2705</v>
      </c>
      <c r="B518" s="5" t="s">
        <v>2706</v>
      </c>
      <c r="C518" s="5">
        <v>239</v>
      </c>
      <c r="D518" s="5">
        <v>239</v>
      </c>
      <c r="E518" s="5">
        <v>1</v>
      </c>
      <c r="F518" s="6">
        <v>60.4741</v>
      </c>
      <c r="G518" s="7">
        <v>1.94193E-7</v>
      </c>
      <c r="H518" s="5">
        <v>60.473999999999997</v>
      </c>
      <c r="I518" s="5" t="s">
        <v>11</v>
      </c>
      <c r="J518" s="5">
        <v>1</v>
      </c>
      <c r="K518" s="5" t="s">
        <v>2</v>
      </c>
      <c r="L518" s="5" t="s">
        <v>3626</v>
      </c>
      <c r="M518" s="5" t="s">
        <v>3627</v>
      </c>
      <c r="N518" s="5" t="s">
        <v>3628</v>
      </c>
      <c r="O518" s="5">
        <v>5</v>
      </c>
      <c r="P518" s="6">
        <v>892700</v>
      </c>
      <c r="Q518" s="5">
        <v>524260</v>
      </c>
      <c r="R518" s="5">
        <v>368430</v>
      </c>
      <c r="S518" s="5">
        <v>0.94286999999999999</v>
      </c>
      <c r="T518" s="5">
        <f>LOG(Table2[[#This Row],[ratio heavy to light normalized]],2)</f>
        <v>-8.4869224606452742E-2</v>
      </c>
      <c r="U518" s="5">
        <v>0.79422786835550996</v>
      </c>
    </row>
    <row r="519" spans="1:21" x14ac:dyDescent="0.3">
      <c r="A519" s="5" t="s">
        <v>4115</v>
      </c>
      <c r="B519" s="5" t="s">
        <v>4116</v>
      </c>
      <c r="C519" s="5">
        <v>200</v>
      </c>
      <c r="D519" s="5">
        <v>200</v>
      </c>
      <c r="E519" s="5">
        <v>1</v>
      </c>
      <c r="F519" s="6">
        <v>83.206100000000006</v>
      </c>
      <c r="G519" s="7">
        <v>1.09293E-7</v>
      </c>
      <c r="H519" s="5">
        <v>83.206000000000003</v>
      </c>
      <c r="I519" s="5" t="s">
        <v>11</v>
      </c>
      <c r="J519" s="5">
        <v>1</v>
      </c>
      <c r="K519" s="5" t="s">
        <v>2</v>
      </c>
      <c r="L519" s="5" t="s">
        <v>4117</v>
      </c>
      <c r="M519" s="5" t="s">
        <v>4118</v>
      </c>
      <c r="N519" s="5" t="s">
        <v>4119</v>
      </c>
      <c r="O519" s="5">
        <v>4</v>
      </c>
      <c r="P519" s="6">
        <v>1019400</v>
      </c>
      <c r="Q519" s="5">
        <v>571760</v>
      </c>
      <c r="R519" s="5">
        <v>447600</v>
      </c>
      <c r="S519" s="5">
        <v>0.94269999999999998</v>
      </c>
      <c r="T519" s="5">
        <f>LOG(Table2[[#This Row],[ratio heavy to light normalized]],2)</f>
        <v>-8.5129366799652328E-2</v>
      </c>
      <c r="U519" s="5">
        <v>0.90821653040047101</v>
      </c>
    </row>
    <row r="520" spans="1:21" x14ac:dyDescent="0.3">
      <c r="A520" s="5" t="s">
        <v>508</v>
      </c>
      <c r="B520" s="5" t="s">
        <v>509</v>
      </c>
      <c r="C520" s="5">
        <v>328</v>
      </c>
      <c r="D520" s="5">
        <v>328</v>
      </c>
      <c r="E520" s="5">
        <v>1</v>
      </c>
      <c r="F520" s="6">
        <v>68.034000000000006</v>
      </c>
      <c r="G520" s="7">
        <v>7.2722900000000004E-54</v>
      </c>
      <c r="H520" s="5">
        <v>145.71</v>
      </c>
      <c r="I520" s="5" t="s">
        <v>11</v>
      </c>
      <c r="J520" s="5">
        <v>1</v>
      </c>
      <c r="K520" s="5" t="s">
        <v>2</v>
      </c>
      <c r="L520" s="5" t="s">
        <v>4333</v>
      </c>
      <c r="M520" s="5" t="s">
        <v>4334</v>
      </c>
      <c r="N520" s="5" t="s">
        <v>4335</v>
      </c>
      <c r="O520" s="5">
        <v>6</v>
      </c>
      <c r="P520" s="6">
        <v>32214000</v>
      </c>
      <c r="Q520" s="5">
        <v>16061000</v>
      </c>
      <c r="R520" s="5">
        <v>16153000</v>
      </c>
      <c r="S520" s="5">
        <v>0.94245999999999996</v>
      </c>
      <c r="T520" s="5">
        <f>LOG(Table2[[#This Row],[ratio heavy to light normalized]],2)</f>
        <v>-8.5496706242123008E-2</v>
      </c>
      <c r="U520" s="5">
        <v>0.95766045550015499</v>
      </c>
    </row>
    <row r="521" spans="1:21" x14ac:dyDescent="0.3">
      <c r="A521" s="5" t="s">
        <v>1719</v>
      </c>
      <c r="B521" s="5" t="s">
        <v>1720</v>
      </c>
      <c r="C521" s="5">
        <v>157</v>
      </c>
      <c r="D521" s="5">
        <v>157</v>
      </c>
      <c r="E521" s="5">
        <v>1</v>
      </c>
      <c r="F521" s="6">
        <v>31.989000000000001</v>
      </c>
      <c r="G521" s="5">
        <v>6.4044199999999996E-2</v>
      </c>
      <c r="H521" s="5">
        <v>31.989000000000001</v>
      </c>
      <c r="I521" s="5" t="s">
        <v>11</v>
      </c>
      <c r="J521" s="5">
        <v>1</v>
      </c>
      <c r="K521" s="5" t="s">
        <v>2</v>
      </c>
      <c r="L521" s="5" t="s">
        <v>2198</v>
      </c>
      <c r="M521" s="5" t="s">
        <v>2199</v>
      </c>
      <c r="N521" s="5" t="s">
        <v>2200</v>
      </c>
      <c r="O521" s="5">
        <v>5</v>
      </c>
      <c r="P521" s="6">
        <v>895230</v>
      </c>
      <c r="Q521" s="5">
        <v>513620</v>
      </c>
      <c r="R521" s="5">
        <v>381610</v>
      </c>
      <c r="S521" s="5">
        <v>1.0940000000000001</v>
      </c>
      <c r="T521" s="5">
        <f>LOG(Table2[[#This Row],[ratio heavy to light normalized]],2)</f>
        <v>0.12961273813046964</v>
      </c>
      <c r="U521" s="5">
        <v>0.45782638367475698</v>
      </c>
    </row>
    <row r="522" spans="1:21" x14ac:dyDescent="0.3">
      <c r="A522" s="5" t="s">
        <v>1090</v>
      </c>
      <c r="B522" s="5" t="s">
        <v>1091</v>
      </c>
      <c r="C522" s="5">
        <v>19</v>
      </c>
      <c r="D522" s="5">
        <v>19</v>
      </c>
      <c r="E522" s="5">
        <v>1</v>
      </c>
      <c r="F522" s="6">
        <v>216.34299999999999</v>
      </c>
      <c r="G522" s="7">
        <v>9.0694400000000005E-125</v>
      </c>
      <c r="H522" s="5">
        <v>216.34</v>
      </c>
      <c r="I522" s="5" t="s">
        <v>11</v>
      </c>
      <c r="J522" s="5">
        <v>1</v>
      </c>
      <c r="K522" s="5" t="s">
        <v>2</v>
      </c>
      <c r="L522" s="5" t="s">
        <v>4365</v>
      </c>
      <c r="M522" s="5" t="s">
        <v>4366</v>
      </c>
      <c r="N522" s="5" t="s">
        <v>4367</v>
      </c>
      <c r="O522" s="5">
        <v>5</v>
      </c>
      <c r="P522" s="6">
        <v>8207300</v>
      </c>
      <c r="Q522" s="5">
        <v>4194200</v>
      </c>
      <c r="R522" s="5">
        <v>4013100</v>
      </c>
      <c r="S522" s="5">
        <v>0.94137999999999999</v>
      </c>
      <c r="T522" s="5">
        <f>LOG(Table2[[#This Row],[ratio heavy to light normalized]],2)</f>
        <v>-8.7150892176025299E-2</v>
      </c>
      <c r="U522" s="5">
        <v>0.96353877233162899</v>
      </c>
    </row>
    <row r="523" spans="1:21" x14ac:dyDescent="0.3">
      <c r="A523" s="5" t="s">
        <v>3649</v>
      </c>
      <c r="B523" s="5" t="s">
        <v>3650</v>
      </c>
      <c r="C523" s="5">
        <v>124</v>
      </c>
      <c r="D523" s="5">
        <v>124</v>
      </c>
      <c r="E523" s="5">
        <v>1</v>
      </c>
      <c r="F523" s="6">
        <v>68.893100000000004</v>
      </c>
      <c r="G523" s="5">
        <v>1.28861E-4</v>
      </c>
      <c r="H523" s="5">
        <v>68.893000000000001</v>
      </c>
      <c r="I523" s="5" t="s">
        <v>11</v>
      </c>
      <c r="J523" s="5">
        <v>1</v>
      </c>
      <c r="K523" s="5" t="s">
        <v>2</v>
      </c>
      <c r="L523" s="5" t="s">
        <v>3651</v>
      </c>
      <c r="M523" s="5" t="s">
        <v>3652</v>
      </c>
      <c r="N523" s="5" t="s">
        <v>3653</v>
      </c>
      <c r="O523" s="5">
        <v>6</v>
      </c>
      <c r="P523" s="6">
        <v>872450</v>
      </c>
      <c r="Q523" s="5">
        <v>475600</v>
      </c>
      <c r="R523" s="5">
        <v>396850</v>
      </c>
      <c r="S523" s="5">
        <v>0.94064999999999999</v>
      </c>
      <c r="T523" s="5">
        <f>LOG(Table2[[#This Row],[ratio heavy to light normalized]],2)</f>
        <v>-8.8270074582963931E-2</v>
      </c>
      <c r="U523" s="5">
        <v>0.80012288272798104</v>
      </c>
    </row>
    <row r="524" spans="1:21" x14ac:dyDescent="0.3">
      <c r="A524" s="5" t="s">
        <v>4170</v>
      </c>
      <c r="B524" s="5" t="s">
        <v>4171</v>
      </c>
      <c r="C524" s="5">
        <v>197</v>
      </c>
      <c r="D524" s="5">
        <v>197</v>
      </c>
      <c r="E524" s="5">
        <v>1</v>
      </c>
      <c r="F524" s="6">
        <v>73.279399999999995</v>
      </c>
      <c r="G524" s="7">
        <v>2.2051100000000001E-12</v>
      </c>
      <c r="H524" s="5">
        <v>73.278999999999996</v>
      </c>
      <c r="I524" s="5" t="s">
        <v>11</v>
      </c>
      <c r="J524" s="5">
        <v>1</v>
      </c>
      <c r="K524" s="5" t="s">
        <v>2</v>
      </c>
      <c r="L524" s="5" t="s">
        <v>4172</v>
      </c>
      <c r="M524" s="5" t="s">
        <v>4173</v>
      </c>
      <c r="N524" s="5" t="s">
        <v>4174</v>
      </c>
      <c r="O524" s="5">
        <v>12</v>
      </c>
      <c r="P524" s="6">
        <v>1877400</v>
      </c>
      <c r="Q524" s="5">
        <v>998780</v>
      </c>
      <c r="R524" s="5">
        <v>878640</v>
      </c>
      <c r="S524" s="5">
        <v>0.93979999999999997</v>
      </c>
      <c r="T524" s="5">
        <f>LOG(Table2[[#This Row],[ratio heavy to light normalized]],2)</f>
        <v>-8.9574327148333799E-2</v>
      </c>
      <c r="U524" s="5">
        <v>0.92033953899578003</v>
      </c>
    </row>
    <row r="525" spans="1:21" x14ac:dyDescent="0.3">
      <c r="A525" s="5" t="s">
        <v>4104</v>
      </c>
      <c r="B525" s="5" t="s">
        <v>4105</v>
      </c>
      <c r="C525" s="5">
        <v>247</v>
      </c>
      <c r="D525" s="5">
        <v>247</v>
      </c>
      <c r="E525" s="5">
        <v>1</v>
      </c>
      <c r="F525" s="6">
        <v>73.466300000000004</v>
      </c>
      <c r="G525" s="7">
        <v>1.4192099999999999E-7</v>
      </c>
      <c r="H525" s="5">
        <v>73.465999999999994</v>
      </c>
      <c r="I525" s="5" t="s">
        <v>11</v>
      </c>
      <c r="J525" s="5">
        <v>1</v>
      </c>
      <c r="K525" s="5" t="s">
        <v>2</v>
      </c>
      <c r="L525" s="5" t="s">
        <v>4442</v>
      </c>
      <c r="M525" s="5" t="s">
        <v>4443</v>
      </c>
      <c r="N525" s="5" t="s">
        <v>4444</v>
      </c>
      <c r="O525" s="5">
        <v>11</v>
      </c>
      <c r="P525" s="6">
        <v>8764400</v>
      </c>
      <c r="Q525" s="5">
        <v>4426300</v>
      </c>
      <c r="R525" s="5">
        <v>4338000</v>
      </c>
      <c r="S525" s="5">
        <v>0.93813999999999997</v>
      </c>
      <c r="T525" s="5">
        <f>LOG(Table2[[#This Row],[ratio heavy to light normalized]],2)</f>
        <v>-9.2124860596293892E-2</v>
      </c>
      <c r="U525" s="5">
        <v>0.98122492707420295</v>
      </c>
    </row>
    <row r="526" spans="1:21" x14ac:dyDescent="0.3">
      <c r="A526" s="5" t="s">
        <v>1191</v>
      </c>
      <c r="B526" s="5" t="s">
        <v>1192</v>
      </c>
      <c r="C526" s="5">
        <v>52</v>
      </c>
      <c r="D526" s="5">
        <v>52</v>
      </c>
      <c r="E526" s="5">
        <v>1</v>
      </c>
      <c r="F526" s="6">
        <v>46.015700000000002</v>
      </c>
      <c r="G526" s="5">
        <v>2.8532200000000001E-3</v>
      </c>
      <c r="H526" s="5">
        <v>46.015999999999998</v>
      </c>
      <c r="I526" s="5"/>
      <c r="J526" s="5">
        <v>1</v>
      </c>
      <c r="K526" s="5" t="s">
        <v>2</v>
      </c>
      <c r="L526" s="5" t="s">
        <v>4217</v>
      </c>
      <c r="M526" s="5" t="s">
        <v>4218</v>
      </c>
      <c r="N526" s="5" t="s">
        <v>4219</v>
      </c>
      <c r="O526" s="5">
        <v>6</v>
      </c>
      <c r="P526" s="6">
        <v>1623800</v>
      </c>
      <c r="Q526" s="5">
        <v>802740</v>
      </c>
      <c r="R526" s="5">
        <v>821020</v>
      </c>
      <c r="S526" s="5">
        <v>0.93803999999999998</v>
      </c>
      <c r="T526" s="5">
        <f>LOG(Table2[[#This Row],[ratio heavy to light normalized]],2)</f>
        <v>-9.2278651281862981E-2</v>
      </c>
      <c r="U526" s="5">
        <v>0.92772445675203996</v>
      </c>
    </row>
    <row r="527" spans="1:21" x14ac:dyDescent="0.3">
      <c r="A527" s="5" t="s">
        <v>453</v>
      </c>
      <c r="B527" s="5" t="s">
        <v>454</v>
      </c>
      <c r="C527" s="5">
        <v>258</v>
      </c>
      <c r="D527" s="5">
        <v>258</v>
      </c>
      <c r="E527" s="5">
        <v>1</v>
      </c>
      <c r="F527" s="6">
        <v>63.893700000000003</v>
      </c>
      <c r="G527" s="7">
        <v>1.4761499999999999E-7</v>
      </c>
      <c r="H527" s="5">
        <v>63.893999999999998</v>
      </c>
      <c r="I527" s="5" t="s">
        <v>11</v>
      </c>
      <c r="J527" s="5">
        <v>1</v>
      </c>
      <c r="K527" s="5" t="s">
        <v>2</v>
      </c>
      <c r="L527" s="5" t="s">
        <v>4220</v>
      </c>
      <c r="M527" s="5" t="s">
        <v>4221</v>
      </c>
      <c r="N527" s="5" t="s">
        <v>4222</v>
      </c>
      <c r="O527" s="5">
        <v>10</v>
      </c>
      <c r="P527" s="6">
        <v>1202600</v>
      </c>
      <c r="Q527" s="5">
        <v>680450</v>
      </c>
      <c r="R527" s="5">
        <v>522150</v>
      </c>
      <c r="S527" s="5">
        <v>0.93793000000000004</v>
      </c>
      <c r="T527" s="5">
        <f>LOG(Table2[[#This Row],[ratio heavy to light normalized]],2)</f>
        <v>-9.2447839973238188E-2</v>
      </c>
      <c r="U527" s="5">
        <v>0.92818668775002</v>
      </c>
    </row>
    <row r="528" spans="1:21" x14ac:dyDescent="0.3">
      <c r="A528" s="5" t="s">
        <v>2935</v>
      </c>
      <c r="B528" s="5" t="s">
        <v>2936</v>
      </c>
      <c r="C528" s="5">
        <v>72</v>
      </c>
      <c r="D528" s="5">
        <v>72</v>
      </c>
      <c r="E528" s="5">
        <v>1</v>
      </c>
      <c r="F528" s="6">
        <v>119.386</v>
      </c>
      <c r="G528" s="7">
        <v>2.0160199999999998E-30</v>
      </c>
      <c r="H528" s="5">
        <v>119.39</v>
      </c>
      <c r="I528" s="5" t="s">
        <v>11</v>
      </c>
      <c r="J528" s="5">
        <v>1</v>
      </c>
      <c r="K528" s="5" t="s">
        <v>2</v>
      </c>
      <c r="L528" s="5" t="s">
        <v>4469</v>
      </c>
      <c r="M528" s="5" t="s">
        <v>4470</v>
      </c>
      <c r="N528" s="5" t="s">
        <v>4471</v>
      </c>
      <c r="O528" s="5">
        <v>6</v>
      </c>
      <c r="P528" s="6">
        <v>8539300</v>
      </c>
      <c r="Q528" s="5">
        <v>4416900</v>
      </c>
      <c r="R528" s="5">
        <v>4122400</v>
      </c>
      <c r="S528" s="5">
        <v>0.93730999999999998</v>
      </c>
      <c r="T528" s="5">
        <f>LOG(Table2[[#This Row],[ratio heavy to light normalized]],2)</f>
        <v>-9.3401820218906501E-2</v>
      </c>
      <c r="U528" s="5">
        <v>0.98576730490973696</v>
      </c>
    </row>
    <row r="529" spans="1:21" x14ac:dyDescent="0.3">
      <c r="A529" s="5" t="s">
        <v>2930</v>
      </c>
      <c r="B529" s="5" t="s">
        <v>2931</v>
      </c>
      <c r="C529" s="5">
        <v>465</v>
      </c>
      <c r="D529" s="5">
        <v>465</v>
      </c>
      <c r="E529" s="5">
        <v>1</v>
      </c>
      <c r="F529" s="6">
        <v>113.649</v>
      </c>
      <c r="G529" s="7">
        <v>3.8060999999999997E-26</v>
      </c>
      <c r="H529" s="5">
        <v>113.65</v>
      </c>
      <c r="I529" s="5" t="s">
        <v>11</v>
      </c>
      <c r="J529" s="5">
        <v>1</v>
      </c>
      <c r="K529" s="5" t="s">
        <v>2</v>
      </c>
      <c r="L529" s="5" t="s">
        <v>4472</v>
      </c>
      <c r="M529" s="5" t="s">
        <v>4473</v>
      </c>
      <c r="N529" s="5" t="s">
        <v>4474</v>
      </c>
      <c r="O529" s="5">
        <v>10</v>
      </c>
      <c r="P529" s="6">
        <v>3125300</v>
      </c>
      <c r="Q529" s="5">
        <v>1596000</v>
      </c>
      <c r="R529" s="5">
        <v>1529300</v>
      </c>
      <c r="S529" s="5">
        <v>0.93718000000000001</v>
      </c>
      <c r="T529" s="5">
        <f>LOG(Table2[[#This Row],[ratio heavy to light normalized]],2)</f>
        <v>-9.3601928360978442E-2</v>
      </c>
      <c r="U529" s="5">
        <v>0.98647917157086995</v>
      </c>
    </row>
    <row r="530" spans="1:21" x14ac:dyDescent="0.3">
      <c r="A530" s="5" t="s">
        <v>2285</v>
      </c>
      <c r="B530" s="5" t="s">
        <v>2286</v>
      </c>
      <c r="C530" s="5">
        <v>128</v>
      </c>
      <c r="D530" s="5">
        <v>128</v>
      </c>
      <c r="E530" s="5">
        <v>1</v>
      </c>
      <c r="F530" s="6">
        <v>63.037199999999999</v>
      </c>
      <c r="G530" s="7">
        <v>1.16285E-6</v>
      </c>
      <c r="H530" s="5">
        <v>63.036999999999999</v>
      </c>
      <c r="I530" s="5" t="s">
        <v>11</v>
      </c>
      <c r="J530" s="5">
        <v>1</v>
      </c>
      <c r="K530" s="5" t="s">
        <v>2</v>
      </c>
      <c r="L530" s="5" t="s">
        <v>3696</v>
      </c>
      <c r="M530" s="5" t="s">
        <v>3697</v>
      </c>
      <c r="N530" s="5" t="s">
        <v>3698</v>
      </c>
      <c r="O530" s="5">
        <v>13</v>
      </c>
      <c r="P530" s="6">
        <v>801960</v>
      </c>
      <c r="Q530" s="5">
        <v>409990</v>
      </c>
      <c r="R530" s="5">
        <v>391970</v>
      </c>
      <c r="S530" s="5">
        <v>0.93647000000000002</v>
      </c>
      <c r="T530" s="5">
        <f>LOG(Table2[[#This Row],[ratio heavy to light normalized]],2)</f>
        <v>-9.4695316697177803E-2</v>
      </c>
      <c r="U530" s="5">
        <v>0.81129123893449595</v>
      </c>
    </row>
    <row r="531" spans="1:21" x14ac:dyDescent="0.3">
      <c r="A531" s="5" t="s">
        <v>4258</v>
      </c>
      <c r="B531" s="5" t="s">
        <v>4259</v>
      </c>
      <c r="C531" s="5">
        <v>116</v>
      </c>
      <c r="D531" s="5">
        <v>116</v>
      </c>
      <c r="E531" s="5">
        <v>1</v>
      </c>
      <c r="F531" s="6">
        <v>105.17</v>
      </c>
      <c r="G531" s="7">
        <v>6.8726400000000004E-20</v>
      </c>
      <c r="H531" s="5">
        <v>105.17</v>
      </c>
      <c r="I531" s="5" t="s">
        <v>11</v>
      </c>
      <c r="J531" s="5">
        <v>1</v>
      </c>
      <c r="K531" s="5" t="s">
        <v>2</v>
      </c>
      <c r="L531" s="5" t="s">
        <v>4260</v>
      </c>
      <c r="M531" s="5" t="s">
        <v>4261</v>
      </c>
      <c r="N531" s="5" t="s">
        <v>4262</v>
      </c>
      <c r="O531" s="5">
        <v>5</v>
      </c>
      <c r="P531" s="6">
        <v>1083700</v>
      </c>
      <c r="Q531" s="5">
        <v>473280</v>
      </c>
      <c r="R531" s="5">
        <v>610430</v>
      </c>
      <c r="S531" s="5">
        <v>0.93618999999999997</v>
      </c>
      <c r="T531" s="5">
        <f>LOG(Table2[[#This Row],[ratio heavy to light normalized]],2)</f>
        <v>-9.5126740035594057E-2</v>
      </c>
      <c r="U531" s="5">
        <v>0.93550868871445803</v>
      </c>
    </row>
    <row r="532" spans="1:21" x14ac:dyDescent="0.3">
      <c r="A532" s="5" t="s">
        <v>2586</v>
      </c>
      <c r="B532" s="5" t="s">
        <v>2587</v>
      </c>
      <c r="C532" s="5">
        <v>339</v>
      </c>
      <c r="D532" s="5">
        <v>339</v>
      </c>
      <c r="E532" s="5">
        <v>1</v>
      </c>
      <c r="F532" s="6">
        <v>40.084699999999998</v>
      </c>
      <c r="G532" s="5">
        <v>6.5470899999999996E-4</v>
      </c>
      <c r="H532" s="5">
        <v>40.085000000000001</v>
      </c>
      <c r="I532" s="5"/>
      <c r="J532" s="5">
        <v>1</v>
      </c>
      <c r="K532" s="5" t="s">
        <v>2</v>
      </c>
      <c r="L532" s="5" t="s">
        <v>3699</v>
      </c>
      <c r="M532" s="5" t="s">
        <v>3700</v>
      </c>
      <c r="N532" s="5" t="s">
        <v>3701</v>
      </c>
      <c r="O532" s="5">
        <v>15</v>
      </c>
      <c r="P532" s="6">
        <v>816910</v>
      </c>
      <c r="Q532" s="5">
        <v>338670</v>
      </c>
      <c r="R532" s="5">
        <v>478230</v>
      </c>
      <c r="S532" s="5">
        <v>0.93581999999999999</v>
      </c>
      <c r="T532" s="5">
        <f>LOG(Table2[[#This Row],[ratio heavy to light normalized]],2)</f>
        <v>-9.5697033113173555E-2</v>
      </c>
      <c r="U532" s="5">
        <v>0.81303595056601696</v>
      </c>
    </row>
    <row r="533" spans="1:21" x14ac:dyDescent="0.3">
      <c r="A533" s="5" t="s">
        <v>2086</v>
      </c>
      <c r="B533" s="5" t="s">
        <v>2087</v>
      </c>
      <c r="C533" s="5">
        <v>257</v>
      </c>
      <c r="D533" s="5">
        <v>257</v>
      </c>
      <c r="E533" s="5">
        <v>1</v>
      </c>
      <c r="F533" s="6">
        <v>51.841000000000001</v>
      </c>
      <c r="G533" s="5">
        <v>3.2722300000000001E-3</v>
      </c>
      <c r="H533" s="5">
        <v>51.841000000000001</v>
      </c>
      <c r="I533" s="5" t="s">
        <v>11</v>
      </c>
      <c r="J533" s="5">
        <v>1</v>
      </c>
      <c r="K533" s="5" t="s">
        <v>2</v>
      </c>
      <c r="L533" s="5" t="s">
        <v>3702</v>
      </c>
      <c r="M533" s="5" t="s">
        <v>3703</v>
      </c>
      <c r="N533" s="5" t="s">
        <v>3704</v>
      </c>
      <c r="O533" s="5">
        <v>7</v>
      </c>
      <c r="P533" s="6">
        <v>406990</v>
      </c>
      <c r="Q533" s="5">
        <v>188000</v>
      </c>
      <c r="R533" s="5">
        <v>218990</v>
      </c>
      <c r="S533" s="5">
        <v>0.93576999999999999</v>
      </c>
      <c r="T533" s="5">
        <f>LOG(Table2[[#This Row],[ratio heavy to light normalized]],2)</f>
        <v>-9.5774117038671766E-2</v>
      </c>
      <c r="U533" s="5">
        <v>0.81317024791981396</v>
      </c>
    </row>
    <row r="534" spans="1:21" x14ac:dyDescent="0.3">
      <c r="A534" s="5" t="s">
        <v>2630</v>
      </c>
      <c r="B534" s="5" t="s">
        <v>2631</v>
      </c>
      <c r="C534" s="5">
        <v>90</v>
      </c>
      <c r="D534" s="5">
        <v>90</v>
      </c>
      <c r="E534" s="5">
        <v>1</v>
      </c>
      <c r="F534" s="6">
        <v>92.9251</v>
      </c>
      <c r="G534" s="7">
        <v>9.80474E-15</v>
      </c>
      <c r="H534" s="5">
        <v>92.924999999999997</v>
      </c>
      <c r="I534" s="5" t="s">
        <v>11</v>
      </c>
      <c r="J534" s="5">
        <v>1</v>
      </c>
      <c r="K534" s="5" t="s">
        <v>2</v>
      </c>
      <c r="L534" s="5" t="s">
        <v>4490</v>
      </c>
      <c r="M534" s="5" t="s">
        <v>4491</v>
      </c>
      <c r="N534" s="5" t="s">
        <v>4492</v>
      </c>
      <c r="O534" s="5">
        <v>10</v>
      </c>
      <c r="P534" s="6">
        <v>3584200</v>
      </c>
      <c r="Q534" s="5">
        <v>1593400</v>
      </c>
      <c r="R534" s="5">
        <v>1990700</v>
      </c>
      <c r="S534" s="5">
        <v>0.93566000000000005</v>
      </c>
      <c r="T534" s="5">
        <f>LOG(Table2[[#This Row],[ratio heavy to light normalized]],2)</f>
        <v>-9.594371617375079E-2</v>
      </c>
      <c r="U534" s="5">
        <v>0.99481052027780104</v>
      </c>
    </row>
    <row r="535" spans="1:21" x14ac:dyDescent="0.3">
      <c r="A535" s="5" t="s">
        <v>2248</v>
      </c>
      <c r="B535" s="5" t="s">
        <v>2249</v>
      </c>
      <c r="C535" s="5">
        <v>274</v>
      </c>
      <c r="D535" s="5">
        <v>274</v>
      </c>
      <c r="E535" s="5">
        <v>1</v>
      </c>
      <c r="F535" s="6">
        <v>22.474299999999999</v>
      </c>
      <c r="G535" s="5">
        <v>0.70556799999999997</v>
      </c>
      <c r="H535" s="5">
        <v>22.474</v>
      </c>
      <c r="I535" s="5"/>
      <c r="J535" s="5">
        <v>1</v>
      </c>
      <c r="K535" s="5" t="s">
        <v>2</v>
      </c>
      <c r="L535" s="5" t="s">
        <v>2250</v>
      </c>
      <c r="M535" s="5" t="s">
        <v>2251</v>
      </c>
      <c r="N535" s="5" t="s">
        <v>2252</v>
      </c>
      <c r="O535" s="5">
        <v>7</v>
      </c>
      <c r="P535" s="6">
        <v>752690</v>
      </c>
      <c r="Q535" s="5">
        <v>366070</v>
      </c>
      <c r="R535" s="5">
        <v>386630</v>
      </c>
      <c r="S535" s="5">
        <v>1.0832999999999999</v>
      </c>
      <c r="T535" s="5">
        <f>LOG(Table2[[#This Row],[ratio heavy to light normalized]],2)</f>
        <v>0.11543282612034657</v>
      </c>
      <c r="U535" s="5">
        <v>0.47733794994879097</v>
      </c>
    </row>
    <row r="536" spans="1:21" x14ac:dyDescent="0.3">
      <c r="A536" s="5" t="s">
        <v>2253</v>
      </c>
      <c r="B536" s="5" t="s">
        <v>2254</v>
      </c>
      <c r="C536" s="5">
        <v>274</v>
      </c>
      <c r="D536" s="5">
        <v>274</v>
      </c>
      <c r="E536" s="5">
        <v>0.99700800000000001</v>
      </c>
      <c r="F536" s="6">
        <v>25.228000000000002</v>
      </c>
      <c r="G536" s="5">
        <v>0.20549500000000001</v>
      </c>
      <c r="H536" s="5">
        <v>28.806000000000001</v>
      </c>
      <c r="I536" s="5" t="s">
        <v>11</v>
      </c>
      <c r="J536" s="5">
        <v>1</v>
      </c>
      <c r="K536" s="5" t="s">
        <v>2</v>
      </c>
      <c r="L536" s="5" t="s">
        <v>2255</v>
      </c>
      <c r="M536" s="5" t="s">
        <v>2256</v>
      </c>
      <c r="N536" s="5" t="s">
        <v>2257</v>
      </c>
      <c r="O536" s="5">
        <v>9</v>
      </c>
      <c r="P536" s="6">
        <v>525710</v>
      </c>
      <c r="Q536" s="5">
        <v>281560</v>
      </c>
      <c r="R536" s="5">
        <v>244150</v>
      </c>
      <c r="S536" s="5">
        <v>1.0831999999999999</v>
      </c>
      <c r="T536" s="5">
        <f>LOG(Table2[[#This Row],[ratio heavy to light normalized]],2)</f>
        <v>0.11529964402554728</v>
      </c>
      <c r="U536" s="5">
        <v>0.47752334037288902</v>
      </c>
    </row>
    <row r="537" spans="1:21" x14ac:dyDescent="0.3">
      <c r="A537" s="5" t="s">
        <v>789</v>
      </c>
      <c r="B537" s="5" t="s">
        <v>790</v>
      </c>
      <c r="C537" s="5">
        <v>99</v>
      </c>
      <c r="D537" s="5">
        <v>99</v>
      </c>
      <c r="E537" s="5">
        <v>1</v>
      </c>
      <c r="F537" s="6">
        <v>83.081400000000002</v>
      </c>
      <c r="G537" s="7">
        <v>4.7056099999999998E-9</v>
      </c>
      <c r="H537" s="5">
        <v>83.081000000000003</v>
      </c>
      <c r="I537" s="5" t="s">
        <v>11</v>
      </c>
      <c r="J537" s="5">
        <v>1</v>
      </c>
      <c r="K537" s="5" t="s">
        <v>2</v>
      </c>
      <c r="L537" s="5" t="s">
        <v>4269</v>
      </c>
      <c r="M537" s="5" t="s">
        <v>4270</v>
      </c>
      <c r="N537" s="5" t="s">
        <v>4271</v>
      </c>
      <c r="O537" s="5">
        <v>2</v>
      </c>
      <c r="P537" s="6">
        <v>2594700</v>
      </c>
      <c r="Q537" s="5">
        <v>1323600</v>
      </c>
      <c r="R537" s="5">
        <v>1271000</v>
      </c>
      <c r="S537" s="5">
        <v>0.93552000000000002</v>
      </c>
      <c r="T537" s="5">
        <f>LOG(Table2[[#This Row],[ratio heavy to light normalized]],2)</f>
        <v>-9.615959845776556E-2</v>
      </c>
      <c r="U537" s="5">
        <v>0.93833320128157005</v>
      </c>
    </row>
    <row r="538" spans="1:21" x14ac:dyDescent="0.3">
      <c r="A538" s="5" t="s">
        <v>3705</v>
      </c>
      <c r="B538" s="5" t="s">
        <v>3706</v>
      </c>
      <c r="C538" s="5">
        <v>154</v>
      </c>
      <c r="D538" s="5">
        <v>154</v>
      </c>
      <c r="E538" s="5">
        <v>1</v>
      </c>
      <c r="F538" s="6">
        <v>79.9739</v>
      </c>
      <c r="G538" s="7">
        <v>4.0411300000000001E-7</v>
      </c>
      <c r="H538" s="5">
        <v>79.974000000000004</v>
      </c>
      <c r="I538" s="5"/>
      <c r="J538" s="5">
        <v>1</v>
      </c>
      <c r="K538" s="5" t="s">
        <v>2</v>
      </c>
      <c r="L538" s="5" t="s">
        <v>3707</v>
      </c>
      <c r="M538" s="5" t="s">
        <v>3708</v>
      </c>
      <c r="N538" s="5" t="s">
        <v>3709</v>
      </c>
      <c r="O538" s="5">
        <v>5</v>
      </c>
      <c r="P538" s="6">
        <v>918570</v>
      </c>
      <c r="Q538" s="5">
        <v>523630</v>
      </c>
      <c r="R538" s="5">
        <v>394930</v>
      </c>
      <c r="S538" s="5">
        <v>0.93481000000000003</v>
      </c>
      <c r="T538" s="5">
        <f>LOG(Table2[[#This Row],[ratio heavy to light normalized]],2)</f>
        <v>-9.7254927654467943E-2</v>
      </c>
      <c r="U538" s="5">
        <v>0.81575121158504005</v>
      </c>
    </row>
    <row r="539" spans="1:21" x14ac:dyDescent="0.3">
      <c r="A539" s="5" t="s">
        <v>1221</v>
      </c>
      <c r="B539" s="5" t="s">
        <v>1222</v>
      </c>
      <c r="C539" s="5">
        <v>48</v>
      </c>
      <c r="D539" s="5">
        <v>48</v>
      </c>
      <c r="E539" s="5">
        <v>1</v>
      </c>
      <c r="F539" s="6">
        <v>78.763000000000005</v>
      </c>
      <c r="G539" s="7">
        <v>6.8090400000000006E-11</v>
      </c>
      <c r="H539" s="5">
        <v>78.763000000000005</v>
      </c>
      <c r="I539" s="5"/>
      <c r="J539" s="5">
        <v>1</v>
      </c>
      <c r="K539" s="5" t="s">
        <v>2</v>
      </c>
      <c r="L539" s="5" t="s">
        <v>3722</v>
      </c>
      <c r="M539" s="5" t="s">
        <v>3723</v>
      </c>
      <c r="N539" s="5" t="s">
        <v>3724</v>
      </c>
      <c r="O539" s="5">
        <v>12</v>
      </c>
      <c r="P539" s="6">
        <v>424640</v>
      </c>
      <c r="Q539" s="5">
        <v>234490</v>
      </c>
      <c r="R539" s="5">
        <v>190150</v>
      </c>
      <c r="S539" s="5">
        <v>0.93381999999999998</v>
      </c>
      <c r="T539" s="5">
        <f>LOG(Table2[[#This Row],[ratio heavy to light normalized]],2)</f>
        <v>-9.8783607194144293E-2</v>
      </c>
      <c r="U539" s="5">
        <v>0.81841770610612596</v>
      </c>
    </row>
    <row r="540" spans="1:21" x14ac:dyDescent="0.3">
      <c r="A540" s="5" t="s">
        <v>902</v>
      </c>
      <c r="B540" s="5" t="s">
        <v>903</v>
      </c>
      <c r="C540" s="5">
        <v>43</v>
      </c>
      <c r="D540" s="5">
        <v>43</v>
      </c>
      <c r="E540" s="5">
        <v>1</v>
      </c>
      <c r="F540" s="6">
        <v>120.64100000000001</v>
      </c>
      <c r="G540" s="7">
        <v>6.1662100000000001E-53</v>
      </c>
      <c r="H540" s="5">
        <v>120.64</v>
      </c>
      <c r="I540" s="5"/>
      <c r="J540" s="5">
        <v>1</v>
      </c>
      <c r="K540" s="5" t="s">
        <v>2</v>
      </c>
      <c r="L540" s="5" t="s">
        <v>4493</v>
      </c>
      <c r="M540" s="5" t="s">
        <v>4494</v>
      </c>
      <c r="N540" s="5" t="s">
        <v>4495</v>
      </c>
      <c r="O540" s="5">
        <v>18</v>
      </c>
      <c r="P540" s="6">
        <v>10064000</v>
      </c>
      <c r="Q540" s="5">
        <v>4453200</v>
      </c>
      <c r="R540" s="5">
        <v>5611200</v>
      </c>
      <c r="S540" s="5">
        <v>0.93376999999999999</v>
      </c>
      <c r="T540" s="5">
        <f>LOG(Table2[[#This Row],[ratio heavy to light normalized]],2)</f>
        <v>-9.8860856217818302E-2</v>
      </c>
      <c r="U540" s="5">
        <v>0.99606231269241197</v>
      </c>
    </row>
    <row r="541" spans="1:21" x14ac:dyDescent="0.3">
      <c r="A541" s="5" t="s">
        <v>907</v>
      </c>
      <c r="B541" s="5" t="s">
        <v>908</v>
      </c>
      <c r="C541" s="5">
        <v>55</v>
      </c>
      <c r="D541" s="5">
        <v>55</v>
      </c>
      <c r="E541" s="5">
        <v>1</v>
      </c>
      <c r="F541" s="6">
        <v>24.053100000000001</v>
      </c>
      <c r="G541" s="5">
        <v>0.12582199999999999</v>
      </c>
      <c r="H541" s="5">
        <v>24.053000000000001</v>
      </c>
      <c r="I541" s="5" t="s">
        <v>11</v>
      </c>
      <c r="J541" s="5">
        <v>1</v>
      </c>
      <c r="K541" s="5" t="s">
        <v>2</v>
      </c>
      <c r="L541" s="5" t="s">
        <v>2274</v>
      </c>
      <c r="M541" s="5" t="s">
        <v>2275</v>
      </c>
      <c r="N541" s="5" t="s">
        <v>2276</v>
      </c>
      <c r="O541" s="5">
        <v>11</v>
      </c>
      <c r="P541" s="6">
        <v>660930</v>
      </c>
      <c r="Q541" s="5">
        <v>318030</v>
      </c>
      <c r="R541" s="5">
        <v>342900</v>
      </c>
      <c r="S541" s="5">
        <v>0.71745999999999999</v>
      </c>
      <c r="T541" s="5">
        <f>LOG(Table2[[#This Row],[ratio heavy to light normalized]],2)</f>
        <v>-0.4790296943328699</v>
      </c>
      <c r="U541" s="5">
        <v>0.48221004263734102</v>
      </c>
    </row>
    <row r="542" spans="1:21" x14ac:dyDescent="0.3">
      <c r="A542" s="5" t="s">
        <v>1968</v>
      </c>
      <c r="B542" s="5" t="s">
        <v>1969</v>
      </c>
      <c r="C542" s="5">
        <v>121</v>
      </c>
      <c r="D542" s="5">
        <v>121</v>
      </c>
      <c r="E542" s="5">
        <v>1</v>
      </c>
      <c r="F542" s="6">
        <v>28.326899999999998</v>
      </c>
      <c r="G542" s="5">
        <v>2.7217499999999999E-2</v>
      </c>
      <c r="H542" s="5">
        <v>38.776000000000003</v>
      </c>
      <c r="I542" s="5"/>
      <c r="J542" s="5">
        <v>1</v>
      </c>
      <c r="K542" s="5" t="s">
        <v>2</v>
      </c>
      <c r="L542" s="5" t="s">
        <v>3725</v>
      </c>
      <c r="M542" s="5" t="s">
        <v>3726</v>
      </c>
      <c r="N542" s="5" t="s">
        <v>3727</v>
      </c>
      <c r="O542" s="5">
        <v>5</v>
      </c>
      <c r="P542" s="6">
        <v>368740</v>
      </c>
      <c r="Q542" s="5">
        <v>182160</v>
      </c>
      <c r="R542" s="5">
        <v>186580</v>
      </c>
      <c r="S542" s="5">
        <v>0.93364999999999998</v>
      </c>
      <c r="T542" s="5">
        <f>LOG(Table2[[#This Row],[ratio heavy to light normalized]],2)</f>
        <v>-9.9046270752465013E-2</v>
      </c>
      <c r="U542" s="5">
        <v>0.81887608584012594</v>
      </c>
    </row>
    <row r="543" spans="1:21" x14ac:dyDescent="0.3">
      <c r="A543" s="5" t="s">
        <v>147</v>
      </c>
      <c r="B543" s="5" t="s">
        <v>148</v>
      </c>
      <c r="C543" s="5">
        <v>464</v>
      </c>
      <c r="D543" s="5">
        <v>464</v>
      </c>
      <c r="E543" s="5">
        <v>1</v>
      </c>
      <c r="F543" s="6">
        <v>81.547799999999995</v>
      </c>
      <c r="G543" s="7">
        <v>1.5919699999999999E-7</v>
      </c>
      <c r="H543" s="5">
        <v>81.548000000000002</v>
      </c>
      <c r="I543" s="5" t="s">
        <v>11</v>
      </c>
      <c r="J543" s="5">
        <v>1</v>
      </c>
      <c r="K543" s="5" t="s">
        <v>2</v>
      </c>
      <c r="L543" s="5" t="s">
        <v>3733</v>
      </c>
      <c r="M543" s="5" t="s">
        <v>3734</v>
      </c>
      <c r="N543" s="5" t="s">
        <v>3735</v>
      </c>
      <c r="O543" s="5">
        <v>2</v>
      </c>
      <c r="P543" s="6">
        <v>872990</v>
      </c>
      <c r="Q543" s="5">
        <v>513740</v>
      </c>
      <c r="R543" s="5">
        <v>359250</v>
      </c>
      <c r="S543" s="5">
        <v>0.93305000000000005</v>
      </c>
      <c r="T543" s="5">
        <f>LOG(Table2[[#This Row],[ratio heavy to light normalized]],2)</f>
        <v>-9.997370103514891E-2</v>
      </c>
      <c r="U543" s="5">
        <v>0.82049505826208302</v>
      </c>
    </row>
    <row r="544" spans="1:21" x14ac:dyDescent="0.3">
      <c r="A544" s="5" t="s">
        <v>2285</v>
      </c>
      <c r="B544" s="5" t="s">
        <v>2286</v>
      </c>
      <c r="C544" s="5">
        <v>52</v>
      </c>
      <c r="D544" s="5">
        <v>52</v>
      </c>
      <c r="E544" s="5">
        <v>1</v>
      </c>
      <c r="F544" s="6">
        <v>24.519200000000001</v>
      </c>
      <c r="G544" s="5">
        <v>0.569886</v>
      </c>
      <c r="H544" s="5">
        <v>24.518999999999998</v>
      </c>
      <c r="I544" s="5" t="s">
        <v>11</v>
      </c>
      <c r="J544" s="5">
        <v>1</v>
      </c>
      <c r="K544" s="5" t="s">
        <v>2</v>
      </c>
      <c r="L544" s="5" t="s">
        <v>2287</v>
      </c>
      <c r="M544" s="5" t="s">
        <v>2288</v>
      </c>
      <c r="N544" s="5" t="s">
        <v>2289</v>
      </c>
      <c r="O544" s="5">
        <v>5</v>
      </c>
      <c r="P544" s="6">
        <v>770150</v>
      </c>
      <c r="Q544" s="5">
        <v>423360</v>
      </c>
      <c r="R544" s="5">
        <v>346790</v>
      </c>
      <c r="S544" s="5">
        <v>0.71833999999999998</v>
      </c>
      <c r="T544" s="5">
        <f>LOG(Table2[[#This Row],[ratio heavy to light normalized]],2)</f>
        <v>-0.4772612421877917</v>
      </c>
      <c r="U544" s="5">
        <v>0.48500082869115102</v>
      </c>
    </row>
    <row r="545" spans="1:21" x14ac:dyDescent="0.3">
      <c r="A545" s="5" t="s">
        <v>453</v>
      </c>
      <c r="B545" s="5" t="s">
        <v>454</v>
      </c>
      <c r="C545" s="5">
        <v>246</v>
      </c>
      <c r="D545" s="5">
        <v>246</v>
      </c>
      <c r="E545" s="5">
        <v>1</v>
      </c>
      <c r="F545" s="6">
        <v>187.41800000000001</v>
      </c>
      <c r="G545" s="7">
        <v>4.8862599999999997E-91</v>
      </c>
      <c r="H545" s="5">
        <v>187.42</v>
      </c>
      <c r="I545" s="5" t="s">
        <v>11</v>
      </c>
      <c r="J545" s="5">
        <v>1</v>
      </c>
      <c r="K545" s="5" t="s">
        <v>2</v>
      </c>
      <c r="L545" s="5" t="s">
        <v>4478</v>
      </c>
      <c r="M545" s="5" t="s">
        <v>4479</v>
      </c>
      <c r="N545" s="5" t="s">
        <v>4480</v>
      </c>
      <c r="O545" s="5">
        <v>10</v>
      </c>
      <c r="P545" s="6">
        <v>22365000</v>
      </c>
      <c r="Q545" s="5">
        <v>11675000</v>
      </c>
      <c r="R545" s="5">
        <v>10690000</v>
      </c>
      <c r="S545" s="5">
        <v>0.93203999999999998</v>
      </c>
      <c r="T545" s="5">
        <f>LOG(Table2[[#This Row],[ratio heavy to light normalized]],2)</f>
        <v>-0.10153622309438823</v>
      </c>
      <c r="U545" s="5">
        <v>0.98883996935376495</v>
      </c>
    </row>
    <row r="546" spans="1:21" x14ac:dyDescent="0.3">
      <c r="A546" s="5" t="s">
        <v>1535</v>
      </c>
      <c r="B546" s="5" t="s">
        <v>1536</v>
      </c>
      <c r="C546" s="5">
        <v>510</v>
      </c>
      <c r="D546" s="5">
        <v>510</v>
      </c>
      <c r="E546" s="5">
        <v>1</v>
      </c>
      <c r="F546" s="6">
        <v>89.547899999999998</v>
      </c>
      <c r="G546" s="7">
        <v>4.55262E-11</v>
      </c>
      <c r="H546" s="5">
        <v>89.548000000000002</v>
      </c>
      <c r="I546" s="5"/>
      <c r="J546" s="5">
        <v>1</v>
      </c>
      <c r="K546" s="5" t="s">
        <v>2</v>
      </c>
      <c r="L546" s="5" t="s">
        <v>3752</v>
      </c>
      <c r="M546" s="5" t="s">
        <v>3753</v>
      </c>
      <c r="N546" s="5" t="s">
        <v>3754</v>
      </c>
      <c r="O546" s="5">
        <v>5</v>
      </c>
      <c r="P546" s="6">
        <v>522400</v>
      </c>
      <c r="Q546" s="5">
        <v>240430</v>
      </c>
      <c r="R546" s="5">
        <v>281970</v>
      </c>
      <c r="S546" s="5">
        <v>0.93178000000000005</v>
      </c>
      <c r="T546" s="5">
        <f>LOG(Table2[[#This Row],[ratio heavy to light normalized]],2)</f>
        <v>-0.101938730539382</v>
      </c>
      <c r="U546" s="5">
        <v>0.82392783998819796</v>
      </c>
    </row>
    <row r="547" spans="1:21" x14ac:dyDescent="0.3">
      <c r="A547" s="5" t="s">
        <v>258</v>
      </c>
      <c r="B547" s="5" t="s">
        <v>259</v>
      </c>
      <c r="C547" s="5">
        <v>210</v>
      </c>
      <c r="D547" s="5">
        <v>210</v>
      </c>
      <c r="E547" s="5">
        <v>0.93799200000000005</v>
      </c>
      <c r="F547" s="6">
        <v>11.797499999999999</v>
      </c>
      <c r="G547" s="5">
        <v>3.62398E-4</v>
      </c>
      <c r="H547" s="5">
        <v>36.201999999999998</v>
      </c>
      <c r="I547" s="5" t="s">
        <v>11</v>
      </c>
      <c r="J547" s="5">
        <v>1</v>
      </c>
      <c r="K547" s="5" t="s">
        <v>2</v>
      </c>
      <c r="L547" s="5" t="s">
        <v>4475</v>
      </c>
      <c r="M547" s="5" t="s">
        <v>4476</v>
      </c>
      <c r="N547" s="5" t="s">
        <v>4477</v>
      </c>
      <c r="O547" s="5">
        <v>24</v>
      </c>
      <c r="P547" s="6">
        <v>7247900</v>
      </c>
      <c r="Q547" s="5">
        <v>3333800</v>
      </c>
      <c r="R547" s="5">
        <v>3914100</v>
      </c>
      <c r="S547" s="5">
        <v>0.93164999999999998</v>
      </c>
      <c r="T547" s="5">
        <f>LOG(Table2[[#This Row],[ratio heavy to light normalized]],2)</f>
        <v>-0.10214002638158692</v>
      </c>
      <c r="U547" s="5">
        <v>0.98721006475053996</v>
      </c>
    </row>
    <row r="548" spans="1:21" x14ac:dyDescent="0.3">
      <c r="A548" s="5" t="s">
        <v>2014</v>
      </c>
      <c r="B548" s="5" t="s">
        <v>2015</v>
      </c>
      <c r="C548" s="5">
        <v>48</v>
      </c>
      <c r="D548" s="5">
        <v>48</v>
      </c>
      <c r="E548" s="5">
        <v>1</v>
      </c>
      <c r="F548" s="6">
        <v>63.091200000000001</v>
      </c>
      <c r="G548" s="7">
        <v>2.71766E-5</v>
      </c>
      <c r="H548" s="5">
        <v>63.091000000000001</v>
      </c>
      <c r="I548" s="5" t="s">
        <v>11</v>
      </c>
      <c r="J548" s="5">
        <v>1</v>
      </c>
      <c r="K548" s="5" t="s">
        <v>2</v>
      </c>
      <c r="L548" s="5" t="s">
        <v>4445</v>
      </c>
      <c r="M548" s="5" t="s">
        <v>4446</v>
      </c>
      <c r="N548" s="5" t="s">
        <v>4447</v>
      </c>
      <c r="O548" s="5">
        <v>10</v>
      </c>
      <c r="P548" s="6">
        <v>2757700</v>
      </c>
      <c r="Q548" s="5">
        <v>1555800</v>
      </c>
      <c r="R548" s="5">
        <v>1201900</v>
      </c>
      <c r="S548" s="5">
        <v>0.93027000000000004</v>
      </c>
      <c r="T548" s="5">
        <f>LOG(Table2[[#This Row],[ratio heavy to light normalized]],2)</f>
        <v>-0.10427859250793646</v>
      </c>
      <c r="U548" s="5">
        <v>0.98143770208177805</v>
      </c>
    </row>
    <row r="549" spans="1:21" x14ac:dyDescent="0.3">
      <c r="A549" s="5" t="s">
        <v>2306</v>
      </c>
      <c r="B549" s="5" t="s">
        <v>2307</v>
      </c>
      <c r="C549" s="5">
        <v>158</v>
      </c>
      <c r="D549" s="5">
        <v>158</v>
      </c>
      <c r="E549" s="5">
        <v>1</v>
      </c>
      <c r="F549" s="6">
        <v>23.468299999999999</v>
      </c>
      <c r="G549" s="5">
        <v>0.51606799999999997</v>
      </c>
      <c r="H549" s="5">
        <v>23.468</v>
      </c>
      <c r="I549" s="5"/>
      <c r="J549" s="5">
        <v>1</v>
      </c>
      <c r="K549" s="5" t="s">
        <v>2</v>
      </c>
      <c r="L549" s="5" t="s">
        <v>2308</v>
      </c>
      <c r="M549" s="5" t="s">
        <v>2309</v>
      </c>
      <c r="N549" s="5" t="s">
        <v>2310</v>
      </c>
      <c r="O549" s="5">
        <v>9</v>
      </c>
      <c r="P549" s="6">
        <v>554800</v>
      </c>
      <c r="Q549" s="5">
        <v>310240</v>
      </c>
      <c r="R549" s="5">
        <v>244560</v>
      </c>
      <c r="S549" s="5">
        <v>0.72011000000000003</v>
      </c>
      <c r="T549" s="5">
        <f>LOG(Table2[[#This Row],[ratio heavy to light normalized]],2)</f>
        <v>-0.47371079342534772</v>
      </c>
      <c r="U549" s="5">
        <v>0.49063008926845297</v>
      </c>
    </row>
    <row r="550" spans="1:21" x14ac:dyDescent="0.3">
      <c r="A550" s="5" t="s">
        <v>417</v>
      </c>
      <c r="B550" s="5" t="s">
        <v>418</v>
      </c>
      <c r="C550" s="5">
        <v>257</v>
      </c>
      <c r="D550" s="5">
        <v>257</v>
      </c>
      <c r="E550" s="5">
        <v>1</v>
      </c>
      <c r="F550" s="6">
        <v>48.655700000000003</v>
      </c>
      <c r="G550" s="7">
        <v>8.85119E-7</v>
      </c>
      <c r="H550" s="5">
        <v>48.655999999999999</v>
      </c>
      <c r="I550" s="5"/>
      <c r="J550" s="5">
        <v>1</v>
      </c>
      <c r="K550" s="5" t="s">
        <v>2</v>
      </c>
      <c r="L550" s="5" t="s">
        <v>4439</v>
      </c>
      <c r="M550" s="5" t="s">
        <v>4440</v>
      </c>
      <c r="N550" s="5" t="s">
        <v>4441</v>
      </c>
      <c r="O550" s="5">
        <v>19</v>
      </c>
      <c r="P550" s="6">
        <v>6426600</v>
      </c>
      <c r="Q550" s="5">
        <v>3674600</v>
      </c>
      <c r="R550" s="5">
        <v>2751900</v>
      </c>
      <c r="S550" s="5">
        <v>0.93013000000000001</v>
      </c>
      <c r="T550" s="5">
        <f>LOG(Table2[[#This Row],[ratio heavy to light normalized]],2)</f>
        <v>-0.10449572571166228</v>
      </c>
      <c r="U550" s="5">
        <v>0.98085167100541604</v>
      </c>
    </row>
    <row r="551" spans="1:21" x14ac:dyDescent="0.3">
      <c r="A551" s="5" t="s">
        <v>2545</v>
      </c>
      <c r="B551" s="5" t="s">
        <v>2546</v>
      </c>
      <c r="C551" s="5">
        <v>473</v>
      </c>
      <c r="D551" s="5">
        <v>473</v>
      </c>
      <c r="E551" s="5">
        <v>1</v>
      </c>
      <c r="F551" s="6">
        <v>44.005400000000002</v>
      </c>
      <c r="G551" s="7">
        <v>2.9119400000000001E-32</v>
      </c>
      <c r="H551" s="5">
        <v>114.69</v>
      </c>
      <c r="I551" s="5"/>
      <c r="J551" s="5">
        <v>1</v>
      </c>
      <c r="K551" s="5" t="s">
        <v>2</v>
      </c>
      <c r="L551" s="5" t="s">
        <v>4436</v>
      </c>
      <c r="M551" s="5" t="s">
        <v>4437</v>
      </c>
      <c r="N551" s="5" t="s">
        <v>4438</v>
      </c>
      <c r="O551" s="5">
        <v>16</v>
      </c>
      <c r="P551" s="6">
        <v>5371800</v>
      </c>
      <c r="Q551" s="5">
        <v>3344700</v>
      </c>
      <c r="R551" s="5">
        <v>2027100</v>
      </c>
      <c r="S551" s="5">
        <v>0.92998999999999998</v>
      </c>
      <c r="T551" s="5">
        <f>LOG(Table2[[#This Row],[ratio heavy to light normalized]],2)</f>
        <v>-0.10471289159999837</v>
      </c>
      <c r="U551" s="5">
        <v>0.98026556205094995</v>
      </c>
    </row>
    <row r="552" spans="1:21" x14ac:dyDescent="0.3">
      <c r="A552" s="5" t="s">
        <v>4350</v>
      </c>
      <c r="B552" s="5" t="s">
        <v>4351</v>
      </c>
      <c r="C552" s="5">
        <v>100</v>
      </c>
      <c r="D552" s="5">
        <v>100</v>
      </c>
      <c r="E552" s="5">
        <v>1</v>
      </c>
      <c r="F552" s="6">
        <v>60.6282</v>
      </c>
      <c r="G552" s="7">
        <v>6.1822099999999999E-5</v>
      </c>
      <c r="H552" s="5">
        <v>60.628</v>
      </c>
      <c r="I552" s="5" t="s">
        <v>11</v>
      </c>
      <c r="J552" s="5">
        <v>1</v>
      </c>
      <c r="K552" s="5" t="s">
        <v>2</v>
      </c>
      <c r="L552" s="5" t="s">
        <v>4352</v>
      </c>
      <c r="M552" s="5" t="s">
        <v>4353</v>
      </c>
      <c r="N552" s="5" t="s">
        <v>4354</v>
      </c>
      <c r="O552" s="5">
        <v>8</v>
      </c>
      <c r="P552" s="6">
        <v>1792400</v>
      </c>
      <c r="Q552" s="5">
        <v>952730</v>
      </c>
      <c r="R552" s="5">
        <v>839710</v>
      </c>
      <c r="S552" s="5">
        <v>0.92986999999999997</v>
      </c>
      <c r="T552" s="5">
        <f>LOG(Table2[[#This Row],[ratio heavy to light normalized]],2)</f>
        <v>-0.1048990598117422</v>
      </c>
      <c r="U552" s="5">
        <v>0.96226015717914204</v>
      </c>
    </row>
    <row r="553" spans="1:21" x14ac:dyDescent="0.3">
      <c r="A553" s="5" t="s">
        <v>1126</v>
      </c>
      <c r="B553" s="5" t="s">
        <v>1127</v>
      </c>
      <c r="C553" s="5">
        <v>120</v>
      </c>
      <c r="D553" s="5">
        <v>120</v>
      </c>
      <c r="E553" s="5">
        <v>1</v>
      </c>
      <c r="F553" s="6">
        <v>158.756</v>
      </c>
      <c r="G553" s="7">
        <v>9.2129800000000007E-52</v>
      </c>
      <c r="H553" s="5">
        <v>158.76</v>
      </c>
      <c r="I553" s="5" t="s">
        <v>11</v>
      </c>
      <c r="J553" s="5">
        <v>1</v>
      </c>
      <c r="K553" s="5" t="s">
        <v>2</v>
      </c>
      <c r="L553" s="5" t="s">
        <v>4433</v>
      </c>
      <c r="M553" s="5" t="s">
        <v>4434</v>
      </c>
      <c r="N553" s="5" t="s">
        <v>4435</v>
      </c>
      <c r="O553" s="5">
        <v>5</v>
      </c>
      <c r="P553" s="6">
        <v>18627000</v>
      </c>
      <c r="Q553" s="5">
        <v>9287800</v>
      </c>
      <c r="R553" s="5">
        <v>9338800</v>
      </c>
      <c r="S553" s="5">
        <v>0.92971000000000004</v>
      </c>
      <c r="T553" s="5">
        <f>LOG(Table2[[#This Row],[ratio heavy to light normalized]],2)</f>
        <v>-0.1051473214698712</v>
      </c>
      <c r="U553" s="5">
        <v>0.97909311168575697</v>
      </c>
    </row>
    <row r="554" spans="1:21" x14ac:dyDescent="0.3">
      <c r="A554" s="5" t="s">
        <v>3314</v>
      </c>
      <c r="B554" s="5" t="s">
        <v>3315</v>
      </c>
      <c r="C554" s="5">
        <v>408</v>
      </c>
      <c r="D554" s="5">
        <v>408</v>
      </c>
      <c r="E554" s="5">
        <v>1</v>
      </c>
      <c r="F554" s="6">
        <v>78.902699999999996</v>
      </c>
      <c r="G554" s="7">
        <v>9.9503600000000004E-9</v>
      </c>
      <c r="H554" s="5">
        <v>78.903000000000006</v>
      </c>
      <c r="I554" s="5" t="s">
        <v>11</v>
      </c>
      <c r="J554" s="5">
        <v>1</v>
      </c>
      <c r="K554" s="5" t="s">
        <v>2</v>
      </c>
      <c r="L554" s="5" t="s">
        <v>4374</v>
      </c>
      <c r="M554" s="5" t="s">
        <v>4375</v>
      </c>
      <c r="N554" s="5" t="s">
        <v>4376</v>
      </c>
      <c r="O554" s="5">
        <v>4</v>
      </c>
      <c r="P554" s="6">
        <v>1575700</v>
      </c>
      <c r="Q554" s="5">
        <v>790190</v>
      </c>
      <c r="R554" s="5">
        <v>785560</v>
      </c>
      <c r="S554" s="5">
        <v>0.92920999999999998</v>
      </c>
      <c r="T554" s="5">
        <f>LOG(Table2[[#This Row],[ratio heavy to light normalized]],2)</f>
        <v>-0.10592341461840935</v>
      </c>
      <c r="U554" s="5">
        <v>0.96506728702840505</v>
      </c>
    </row>
    <row r="555" spans="1:21" x14ac:dyDescent="0.3">
      <c r="A555" s="5" t="s">
        <v>1126</v>
      </c>
      <c r="B555" s="5" t="s">
        <v>1127</v>
      </c>
      <c r="C555" s="5">
        <v>174</v>
      </c>
      <c r="D555" s="5">
        <v>174</v>
      </c>
      <c r="E555" s="5">
        <v>1</v>
      </c>
      <c r="F555" s="6">
        <v>103.91800000000001</v>
      </c>
      <c r="G555" s="7">
        <v>1.25137E-14</v>
      </c>
      <c r="H555" s="5">
        <v>103.92</v>
      </c>
      <c r="I555" s="5" t="s">
        <v>11</v>
      </c>
      <c r="J555" s="5">
        <v>1</v>
      </c>
      <c r="K555" s="5" t="s">
        <v>2</v>
      </c>
      <c r="L555" s="5" t="s">
        <v>4419</v>
      </c>
      <c r="M555" s="5" t="s">
        <v>4420</v>
      </c>
      <c r="N555" s="5" t="s">
        <v>4421</v>
      </c>
      <c r="O555" s="5">
        <v>3</v>
      </c>
      <c r="P555" s="6">
        <v>5817200</v>
      </c>
      <c r="Q555" s="5">
        <v>3029100</v>
      </c>
      <c r="R555" s="5">
        <v>2788100</v>
      </c>
      <c r="S555" s="5">
        <v>0.92886000000000002</v>
      </c>
      <c r="T555" s="5">
        <f>LOG(Table2[[#This Row],[ratio heavy to light normalized]],2)</f>
        <v>-0.10646692833994111</v>
      </c>
      <c r="U555" s="5">
        <v>0.97553201064123996</v>
      </c>
    </row>
    <row r="556" spans="1:21" x14ac:dyDescent="0.3">
      <c r="A556" s="5" t="s">
        <v>417</v>
      </c>
      <c r="B556" s="5" t="s">
        <v>418</v>
      </c>
      <c r="C556" s="5">
        <v>261</v>
      </c>
      <c r="D556" s="5">
        <v>261</v>
      </c>
      <c r="E556" s="5">
        <v>1</v>
      </c>
      <c r="F556" s="6">
        <v>70.100099999999998</v>
      </c>
      <c r="G556" s="5">
        <v>1.06786E-4</v>
      </c>
      <c r="H556" s="5">
        <v>70.099999999999994</v>
      </c>
      <c r="I556" s="5" t="s">
        <v>11</v>
      </c>
      <c r="J556" s="5">
        <v>1</v>
      </c>
      <c r="K556" s="5" t="s">
        <v>2</v>
      </c>
      <c r="L556" s="5" t="s">
        <v>3802</v>
      </c>
      <c r="M556" s="5" t="s">
        <v>3803</v>
      </c>
      <c r="N556" s="5" t="s">
        <v>3804</v>
      </c>
      <c r="O556" s="5">
        <v>4</v>
      </c>
      <c r="P556" s="6">
        <v>549160</v>
      </c>
      <c r="Q556" s="5">
        <v>301560</v>
      </c>
      <c r="R556" s="5">
        <v>247600</v>
      </c>
      <c r="S556" s="5">
        <v>0.92874999999999996</v>
      </c>
      <c r="T556" s="5">
        <f>LOG(Table2[[#This Row],[ratio heavy to light normalized]],2)</f>
        <v>-0.10663778923612852</v>
      </c>
      <c r="U556" s="5">
        <v>0.83215034939420696</v>
      </c>
    </row>
    <row r="557" spans="1:21" x14ac:dyDescent="0.3">
      <c r="A557" s="5" t="s">
        <v>2844</v>
      </c>
      <c r="B557" s="5" t="s">
        <v>2845</v>
      </c>
      <c r="C557" s="5">
        <v>90</v>
      </c>
      <c r="D557" s="5">
        <v>90</v>
      </c>
      <c r="E557" s="5">
        <v>1</v>
      </c>
      <c r="F557" s="6">
        <v>71.030299999999997</v>
      </c>
      <c r="G557" s="7">
        <v>3.49335E-5</v>
      </c>
      <c r="H557" s="5">
        <v>71.03</v>
      </c>
      <c r="I557" s="5"/>
      <c r="J557" s="5">
        <v>1</v>
      </c>
      <c r="K557" s="5" t="s">
        <v>2</v>
      </c>
      <c r="L557" s="5" t="s">
        <v>4416</v>
      </c>
      <c r="M557" s="5" t="s">
        <v>4417</v>
      </c>
      <c r="N557" s="5" t="s">
        <v>4418</v>
      </c>
      <c r="O557" s="5">
        <v>3</v>
      </c>
      <c r="P557" s="6">
        <v>12942000</v>
      </c>
      <c r="Q557" s="5">
        <v>6439900</v>
      </c>
      <c r="R557" s="5">
        <v>6502500</v>
      </c>
      <c r="S557" s="5">
        <v>0.92847000000000002</v>
      </c>
      <c r="T557" s="5">
        <f>LOG(Table2[[#This Row],[ratio heavy to light normalized]],2)</f>
        <v>-0.10707279921287807</v>
      </c>
      <c r="U557" s="5">
        <v>0.97389716199734899</v>
      </c>
    </row>
    <row r="558" spans="1:21" x14ac:dyDescent="0.3">
      <c r="A558" s="5" t="s">
        <v>4391</v>
      </c>
      <c r="B558" s="5" t="s">
        <v>4392</v>
      </c>
      <c r="C558" s="5">
        <v>125</v>
      </c>
      <c r="D558" s="5">
        <v>125</v>
      </c>
      <c r="E558" s="5">
        <v>1</v>
      </c>
      <c r="F558" s="6">
        <v>91.961200000000005</v>
      </c>
      <c r="G558" s="7">
        <v>1.4009099999999999E-12</v>
      </c>
      <c r="H558" s="5">
        <v>91.960999999999999</v>
      </c>
      <c r="I558" s="5" t="s">
        <v>11</v>
      </c>
      <c r="J558" s="5">
        <v>1</v>
      </c>
      <c r="K558" s="5" t="s">
        <v>2</v>
      </c>
      <c r="L558" s="5" t="s">
        <v>4393</v>
      </c>
      <c r="M558" s="5" t="s">
        <v>4394</v>
      </c>
      <c r="N558" s="5" t="s">
        <v>4395</v>
      </c>
      <c r="O558" s="5">
        <v>6</v>
      </c>
      <c r="P558" s="6">
        <v>1460100</v>
      </c>
      <c r="Q558" s="5">
        <v>613560</v>
      </c>
      <c r="R558" s="5">
        <v>846550</v>
      </c>
      <c r="S558" s="5">
        <v>0.92803999999999998</v>
      </c>
      <c r="T558" s="5">
        <f>LOG(Table2[[#This Row],[ratio heavy to light normalized]],2)</f>
        <v>-0.10774110574360045</v>
      </c>
      <c r="U558" s="5">
        <v>0.97004951020167496</v>
      </c>
    </row>
    <row r="559" spans="1:21" x14ac:dyDescent="0.3">
      <c r="A559" s="5" t="s">
        <v>1513</v>
      </c>
      <c r="B559" s="5" t="s">
        <v>1514</v>
      </c>
      <c r="C559" s="5">
        <v>121</v>
      </c>
      <c r="D559" s="5">
        <v>121</v>
      </c>
      <c r="E559" s="5">
        <v>1</v>
      </c>
      <c r="F559" s="6">
        <v>39.730400000000003</v>
      </c>
      <c r="G559" s="5">
        <v>2.95372E-2</v>
      </c>
      <c r="H559" s="5">
        <v>39.729999999999997</v>
      </c>
      <c r="I559" s="5" t="s">
        <v>11</v>
      </c>
      <c r="J559" s="5">
        <v>1</v>
      </c>
      <c r="K559" s="5" t="s">
        <v>2</v>
      </c>
      <c r="L559" s="5" t="s">
        <v>4422</v>
      </c>
      <c r="M559" s="5" t="s">
        <v>4423</v>
      </c>
      <c r="N559" s="5" t="s">
        <v>4424</v>
      </c>
      <c r="O559" s="5">
        <v>12</v>
      </c>
      <c r="P559" s="6">
        <v>1298800</v>
      </c>
      <c r="Q559" s="5">
        <v>845050</v>
      </c>
      <c r="R559" s="5">
        <v>453710</v>
      </c>
      <c r="S559" s="5">
        <v>0.92669000000000001</v>
      </c>
      <c r="T559" s="5">
        <f>LOG(Table2[[#This Row],[ratio heavy to light normalized]],2)</f>
        <v>-0.10984129137617067</v>
      </c>
      <c r="U559" s="5">
        <v>0.97580748354295999</v>
      </c>
    </row>
    <row r="560" spans="1:21" x14ac:dyDescent="0.3">
      <c r="A560" s="5" t="s">
        <v>4428</v>
      </c>
      <c r="B560" s="5" t="s">
        <v>4429</v>
      </c>
      <c r="C560" s="5">
        <v>241</v>
      </c>
      <c r="D560" s="5">
        <v>241</v>
      </c>
      <c r="E560" s="5">
        <v>1</v>
      </c>
      <c r="F560" s="6">
        <v>132.779</v>
      </c>
      <c r="G560" s="7">
        <v>5.7414900000000003E-35</v>
      </c>
      <c r="H560" s="5">
        <v>132.78</v>
      </c>
      <c r="I560" s="5" t="s">
        <v>11</v>
      </c>
      <c r="J560" s="5">
        <v>1</v>
      </c>
      <c r="K560" s="5" t="s">
        <v>2</v>
      </c>
      <c r="L560" s="5" t="s">
        <v>4430</v>
      </c>
      <c r="M560" s="5" t="s">
        <v>4431</v>
      </c>
      <c r="N560" s="5" t="s">
        <v>4432</v>
      </c>
      <c r="O560" s="5">
        <v>5</v>
      </c>
      <c r="P560" s="6">
        <v>2486600</v>
      </c>
      <c r="Q560" s="5">
        <v>1326900</v>
      </c>
      <c r="R560" s="5">
        <v>1159600</v>
      </c>
      <c r="S560" s="5">
        <v>0.92620999999999998</v>
      </c>
      <c r="T560" s="5">
        <f>LOG(Table2[[#This Row],[ratio heavy to light normalized]],2)</f>
        <v>-0.11058876143404482</v>
      </c>
      <c r="U560" s="5">
        <v>0.97785710441096496</v>
      </c>
    </row>
    <row r="561" spans="1:21" x14ac:dyDescent="0.3">
      <c r="A561" s="5" t="s">
        <v>1121</v>
      </c>
      <c r="B561" s="5" t="s">
        <v>1122</v>
      </c>
      <c r="C561" s="5">
        <v>15</v>
      </c>
      <c r="D561" s="5">
        <v>15</v>
      </c>
      <c r="E561" s="5">
        <v>1</v>
      </c>
      <c r="F561" s="6">
        <v>141.084</v>
      </c>
      <c r="G561" s="7">
        <v>1.6451899999999999E-38</v>
      </c>
      <c r="H561" s="5">
        <v>141.08000000000001</v>
      </c>
      <c r="I561" s="5" t="s">
        <v>11</v>
      </c>
      <c r="J561" s="5">
        <v>1</v>
      </c>
      <c r="K561" s="5" t="s">
        <v>2</v>
      </c>
      <c r="L561" s="5" t="s">
        <v>4347</v>
      </c>
      <c r="M561" s="5" t="s">
        <v>4348</v>
      </c>
      <c r="N561" s="5" t="s">
        <v>4349</v>
      </c>
      <c r="O561" s="5">
        <v>7</v>
      </c>
      <c r="P561" s="6">
        <v>3824900</v>
      </c>
      <c r="Q561" s="5">
        <v>2067900</v>
      </c>
      <c r="R561" s="5">
        <v>1757000</v>
      </c>
      <c r="S561" s="5">
        <v>0.92561000000000004</v>
      </c>
      <c r="T561" s="5">
        <f>LOG(Table2[[#This Row],[ratio heavy to light normalized]],2)</f>
        <v>-0.11152364393323375</v>
      </c>
      <c r="U561" s="5">
        <v>0.96189105400360797</v>
      </c>
    </row>
    <row r="562" spans="1:21" x14ac:dyDescent="0.3">
      <c r="A562" s="5" t="s">
        <v>1231</v>
      </c>
      <c r="B562" s="5" t="s">
        <v>1232</v>
      </c>
      <c r="C562" s="5">
        <v>39</v>
      </c>
      <c r="D562" s="5">
        <v>39</v>
      </c>
      <c r="E562" s="5">
        <v>1</v>
      </c>
      <c r="F562" s="6">
        <v>157.244</v>
      </c>
      <c r="G562" s="7">
        <v>5.6192100000000001E-53</v>
      </c>
      <c r="H562" s="5">
        <v>157.24</v>
      </c>
      <c r="I562" s="5" t="s">
        <v>11</v>
      </c>
      <c r="J562" s="5">
        <v>1</v>
      </c>
      <c r="K562" s="5" t="s">
        <v>2</v>
      </c>
      <c r="L562" s="5" t="s">
        <v>4330</v>
      </c>
      <c r="M562" s="5" t="s">
        <v>4331</v>
      </c>
      <c r="N562" s="5" t="s">
        <v>4332</v>
      </c>
      <c r="O562" s="5">
        <v>1</v>
      </c>
      <c r="P562" s="6">
        <v>2641100</v>
      </c>
      <c r="Q562" s="5">
        <v>1393800</v>
      </c>
      <c r="R562" s="5">
        <v>1247300</v>
      </c>
      <c r="S562" s="5">
        <v>0.92423</v>
      </c>
      <c r="T562" s="5">
        <f>LOG(Table2[[#This Row],[ratio heavy to light normalized]],2)</f>
        <v>-0.11367617553138648</v>
      </c>
      <c r="U562" s="5">
        <v>0.95608755262791001</v>
      </c>
    </row>
    <row r="563" spans="1:21" x14ac:dyDescent="0.3">
      <c r="A563" s="5" t="s">
        <v>4185</v>
      </c>
      <c r="B563" s="5" t="s">
        <v>4186</v>
      </c>
      <c r="C563" s="5">
        <v>312</v>
      </c>
      <c r="D563" s="5">
        <v>312</v>
      </c>
      <c r="E563" s="5">
        <v>1</v>
      </c>
      <c r="F563" s="6">
        <v>55.881300000000003</v>
      </c>
      <c r="G563" s="7">
        <v>2.0466800000000001E-10</v>
      </c>
      <c r="H563" s="5">
        <v>55.881</v>
      </c>
      <c r="I563" s="5" t="s">
        <v>11</v>
      </c>
      <c r="J563" s="5">
        <v>1</v>
      </c>
      <c r="K563" s="5" t="s">
        <v>2</v>
      </c>
      <c r="L563" s="5" t="s">
        <v>4327</v>
      </c>
      <c r="M563" s="5" t="s">
        <v>4328</v>
      </c>
      <c r="N563" s="5" t="s">
        <v>4329</v>
      </c>
      <c r="O563" s="5">
        <v>17</v>
      </c>
      <c r="P563" s="6">
        <v>2729700</v>
      </c>
      <c r="Q563" s="5">
        <v>1690600</v>
      </c>
      <c r="R563" s="5">
        <v>1039100</v>
      </c>
      <c r="S563" s="5">
        <v>0.92401999999999995</v>
      </c>
      <c r="T563" s="5">
        <f>LOG(Table2[[#This Row],[ratio heavy to light normalized]],2)</f>
        <v>-0.11400401641859383</v>
      </c>
      <c r="U563" s="5">
        <v>0.95520384811772696</v>
      </c>
    </row>
    <row r="564" spans="1:21" x14ac:dyDescent="0.3">
      <c r="A564" s="5" t="s">
        <v>697</v>
      </c>
      <c r="B564" s="5" t="s">
        <v>698</v>
      </c>
      <c r="C564" s="5">
        <v>204</v>
      </c>
      <c r="D564" s="5">
        <v>204</v>
      </c>
      <c r="E564" s="5">
        <v>1</v>
      </c>
      <c r="F564" s="6">
        <v>72.643100000000004</v>
      </c>
      <c r="G564" s="7">
        <v>7.2145199999999995E-5</v>
      </c>
      <c r="H564" s="5">
        <v>72.643000000000001</v>
      </c>
      <c r="I564" s="5" t="s">
        <v>11</v>
      </c>
      <c r="J564" s="5">
        <v>1</v>
      </c>
      <c r="K564" s="5" t="s">
        <v>2</v>
      </c>
      <c r="L564" s="5" t="s">
        <v>4484</v>
      </c>
      <c r="M564" s="5" t="s">
        <v>4485</v>
      </c>
      <c r="N564" s="5" t="s">
        <v>4486</v>
      </c>
      <c r="O564" s="5">
        <v>6</v>
      </c>
      <c r="P564" s="6">
        <v>2206100</v>
      </c>
      <c r="Q564" s="5">
        <v>1162100</v>
      </c>
      <c r="R564" s="5">
        <v>1044000</v>
      </c>
      <c r="S564" s="5">
        <v>0.92351000000000005</v>
      </c>
      <c r="T564" s="5">
        <f>LOG(Table2[[#This Row],[ratio heavy to light normalized]],2)</f>
        <v>-0.11480051172805242</v>
      </c>
      <c r="U564" s="5">
        <v>0.98940839247801005</v>
      </c>
    </row>
    <row r="565" spans="1:21" x14ac:dyDescent="0.3">
      <c r="A565" s="5" t="s">
        <v>2591</v>
      </c>
      <c r="B565" s="5" t="s">
        <v>2592</v>
      </c>
      <c r="C565" s="5">
        <v>241</v>
      </c>
      <c r="D565" s="5">
        <v>241</v>
      </c>
      <c r="E565" s="5">
        <v>1</v>
      </c>
      <c r="F565" s="6">
        <v>102.71899999999999</v>
      </c>
      <c r="G565" s="7">
        <v>1.07642E-15</v>
      </c>
      <c r="H565" s="5">
        <v>102.72</v>
      </c>
      <c r="I565" s="5" t="s">
        <v>11</v>
      </c>
      <c r="J565" s="5">
        <v>1</v>
      </c>
      <c r="K565" s="5" t="s">
        <v>2</v>
      </c>
      <c r="L565" s="5" t="s">
        <v>4290</v>
      </c>
      <c r="M565" s="5" t="s">
        <v>4291</v>
      </c>
      <c r="N565" s="5" t="s">
        <v>4292</v>
      </c>
      <c r="O565" s="5">
        <v>3</v>
      </c>
      <c r="P565" s="6">
        <v>3571100</v>
      </c>
      <c r="Q565" s="5">
        <v>1779300</v>
      </c>
      <c r="R565" s="5">
        <v>1791800</v>
      </c>
      <c r="S565" s="5">
        <v>0.92137999999999998</v>
      </c>
      <c r="T565" s="5">
        <f>LOG(Table2[[#This Row],[ratio heavy to light normalized]],2)</f>
        <v>-0.11813181256709122</v>
      </c>
      <c r="U565" s="5">
        <v>0.94408232457103602</v>
      </c>
    </row>
    <row r="566" spans="1:21" x14ac:dyDescent="0.3">
      <c r="A566" s="5" t="s">
        <v>3912</v>
      </c>
      <c r="B566" s="5" t="s">
        <v>3913</v>
      </c>
      <c r="C566" s="5">
        <v>231</v>
      </c>
      <c r="D566" s="5">
        <v>231</v>
      </c>
      <c r="E566" s="5">
        <v>1</v>
      </c>
      <c r="F566" s="6">
        <v>66.621300000000005</v>
      </c>
      <c r="G566" s="5">
        <v>4.1458499999999998E-4</v>
      </c>
      <c r="H566" s="5">
        <v>66.620999999999995</v>
      </c>
      <c r="I566" s="5"/>
      <c r="J566" s="5">
        <v>1</v>
      </c>
      <c r="K566" s="5" t="s">
        <v>2</v>
      </c>
      <c r="L566" s="5" t="s">
        <v>3914</v>
      </c>
      <c r="M566" s="5" t="s">
        <v>3915</v>
      </c>
      <c r="N566" s="5" t="s">
        <v>3916</v>
      </c>
      <c r="O566" s="5">
        <v>8</v>
      </c>
      <c r="P566" s="6">
        <v>578360</v>
      </c>
      <c r="Q566" s="5">
        <v>259820</v>
      </c>
      <c r="R566" s="5">
        <v>318540</v>
      </c>
      <c r="S566" s="5">
        <v>0.92091999999999996</v>
      </c>
      <c r="T566" s="5">
        <f>LOG(Table2[[#This Row],[ratio heavy to light normalized]],2)</f>
        <v>-0.11885225954380541</v>
      </c>
      <c r="U566" s="5">
        <v>0.85360740264545398</v>
      </c>
    </row>
    <row r="567" spans="1:21" x14ac:dyDescent="0.3">
      <c r="A567" s="5" t="s">
        <v>323</v>
      </c>
      <c r="B567" s="5" t="s">
        <v>324</v>
      </c>
      <c r="C567" s="5">
        <v>437</v>
      </c>
      <c r="D567" s="5">
        <v>437</v>
      </c>
      <c r="E567" s="5">
        <v>1</v>
      </c>
      <c r="F567" s="6">
        <v>67.115399999999994</v>
      </c>
      <c r="G567" s="7">
        <v>1.57671E-9</v>
      </c>
      <c r="H567" s="5">
        <v>67.114999999999995</v>
      </c>
      <c r="I567" s="5" t="s">
        <v>11</v>
      </c>
      <c r="J567" s="5">
        <v>1</v>
      </c>
      <c r="K567" s="5" t="s">
        <v>2</v>
      </c>
      <c r="L567" s="5" t="s">
        <v>3920</v>
      </c>
      <c r="M567" s="5" t="s">
        <v>3921</v>
      </c>
      <c r="N567" s="5" t="s">
        <v>3922</v>
      </c>
      <c r="O567" s="5">
        <v>7</v>
      </c>
      <c r="P567" s="6">
        <v>458930</v>
      </c>
      <c r="Q567" s="5">
        <v>185560</v>
      </c>
      <c r="R567" s="5">
        <v>273360</v>
      </c>
      <c r="S567" s="5">
        <v>0.92079</v>
      </c>
      <c r="T567" s="5">
        <f>LOG(Table2[[#This Row],[ratio heavy to light normalized]],2)</f>
        <v>-0.11905592934592084</v>
      </c>
      <c r="U567" s="5">
        <v>0.853966153736055</v>
      </c>
    </row>
    <row r="568" spans="1:21" x14ac:dyDescent="0.3">
      <c r="A568" s="5" t="s">
        <v>648</v>
      </c>
      <c r="B568" s="5" t="s">
        <v>649</v>
      </c>
      <c r="C568" s="5">
        <v>49</v>
      </c>
      <c r="D568" s="5">
        <v>49</v>
      </c>
      <c r="E568" s="5">
        <v>1</v>
      </c>
      <c r="F568" s="6">
        <v>86.624300000000005</v>
      </c>
      <c r="G568" s="7">
        <v>1.22938E-8</v>
      </c>
      <c r="H568" s="5">
        <v>86.623999999999995</v>
      </c>
      <c r="I568" s="5" t="s">
        <v>11</v>
      </c>
      <c r="J568" s="5">
        <v>1</v>
      </c>
      <c r="K568" s="5" t="s">
        <v>2</v>
      </c>
      <c r="L568" s="5" t="s">
        <v>4278</v>
      </c>
      <c r="M568" s="5" t="s">
        <v>4279</v>
      </c>
      <c r="N568" s="5" t="s">
        <v>4280</v>
      </c>
      <c r="O568" s="5">
        <v>8</v>
      </c>
      <c r="P568" s="6">
        <v>7431500</v>
      </c>
      <c r="Q568" s="5">
        <v>3782300</v>
      </c>
      <c r="R568" s="5">
        <v>3649200</v>
      </c>
      <c r="S568" s="5">
        <v>0.92044999999999999</v>
      </c>
      <c r="T568" s="5">
        <f>LOG(Table2[[#This Row],[ratio heavy to light normalized]],2)</f>
        <v>-0.11958874019021878</v>
      </c>
      <c r="U568" s="5">
        <v>0.94015941256543401</v>
      </c>
    </row>
    <row r="569" spans="1:21" x14ac:dyDescent="0.3">
      <c r="A569" s="5" t="s">
        <v>2129</v>
      </c>
      <c r="B569" s="5" t="s">
        <v>2130</v>
      </c>
      <c r="C569" s="5">
        <v>86</v>
      </c>
      <c r="D569" s="5">
        <v>86</v>
      </c>
      <c r="E569" s="5">
        <v>1</v>
      </c>
      <c r="F569" s="6">
        <v>72.23</v>
      </c>
      <c r="G569" s="7">
        <v>1.50934E-5</v>
      </c>
      <c r="H569" s="5">
        <v>72.23</v>
      </c>
      <c r="I569" s="5" t="s">
        <v>11</v>
      </c>
      <c r="J569" s="5">
        <v>1</v>
      </c>
      <c r="K569" s="5" t="s">
        <v>2</v>
      </c>
      <c r="L569" s="5" t="s">
        <v>4275</v>
      </c>
      <c r="M569" s="5" t="s">
        <v>4276</v>
      </c>
      <c r="N569" s="5" t="s">
        <v>4277</v>
      </c>
      <c r="O569" s="5">
        <v>4</v>
      </c>
      <c r="P569" s="6">
        <v>18530000</v>
      </c>
      <c r="Q569" s="5">
        <v>9827400</v>
      </c>
      <c r="R569" s="5">
        <v>8702500</v>
      </c>
      <c r="S569" s="5">
        <v>0.92020999999999997</v>
      </c>
      <c r="T569" s="5">
        <f>LOG(Table2[[#This Row],[ratio heavy to light normalized]],2)</f>
        <v>-0.11996496047183033</v>
      </c>
      <c r="U569" s="5">
        <v>0.93914663674661203</v>
      </c>
    </row>
    <row r="570" spans="1:21" x14ac:dyDescent="0.3">
      <c r="A570" s="5" t="s">
        <v>1524</v>
      </c>
      <c r="B570" s="5" t="s">
        <v>1525</v>
      </c>
      <c r="C570" s="5">
        <v>361</v>
      </c>
      <c r="D570" s="5">
        <v>361</v>
      </c>
      <c r="E570" s="5">
        <v>1</v>
      </c>
      <c r="F570" s="6">
        <v>68.734700000000004</v>
      </c>
      <c r="G570" s="5">
        <v>1.5733300000000001E-4</v>
      </c>
      <c r="H570" s="5">
        <v>68.734999999999999</v>
      </c>
      <c r="I570" s="5"/>
      <c r="J570" s="5">
        <v>1</v>
      </c>
      <c r="K570" s="5" t="s">
        <v>2</v>
      </c>
      <c r="L570" s="5" t="s">
        <v>3923</v>
      </c>
      <c r="M570" s="5" t="s">
        <v>3924</v>
      </c>
      <c r="N570" s="5" t="s">
        <v>3925</v>
      </c>
      <c r="O570" s="5">
        <v>6</v>
      </c>
      <c r="P570" s="6">
        <v>436810</v>
      </c>
      <c r="Q570" s="5">
        <v>220230</v>
      </c>
      <c r="R570" s="5">
        <v>216580</v>
      </c>
      <c r="S570" s="5">
        <v>0.92001999999999995</v>
      </c>
      <c r="T570" s="5">
        <f>LOG(Table2[[#This Row],[ratio heavy to light normalized]],2)</f>
        <v>-0.12026287112293695</v>
      </c>
      <c r="U570" s="5">
        <v>0.85609272036050099</v>
      </c>
    </row>
    <row r="571" spans="1:21" x14ac:dyDescent="0.3">
      <c r="A571" s="5" t="s">
        <v>1543</v>
      </c>
      <c r="B571" s="5" t="s">
        <v>1544</v>
      </c>
      <c r="C571" s="5">
        <v>24</v>
      </c>
      <c r="D571" s="5">
        <v>24</v>
      </c>
      <c r="E571" s="5">
        <v>1</v>
      </c>
      <c r="F571" s="6">
        <v>55.261200000000002</v>
      </c>
      <c r="G571" s="7">
        <v>8.9309199999999995E-5</v>
      </c>
      <c r="H571" s="5">
        <v>58.673999999999999</v>
      </c>
      <c r="I571" s="5" t="s">
        <v>11</v>
      </c>
      <c r="J571" s="5">
        <v>1</v>
      </c>
      <c r="K571" s="5" t="s">
        <v>2</v>
      </c>
      <c r="L571" s="5" t="s">
        <v>4247</v>
      </c>
      <c r="M571" s="5" t="s">
        <v>4248</v>
      </c>
      <c r="N571" s="5" t="s">
        <v>4249</v>
      </c>
      <c r="O571" s="5">
        <v>8</v>
      </c>
      <c r="P571" s="6">
        <v>4713900</v>
      </c>
      <c r="Q571" s="5">
        <v>2848900</v>
      </c>
      <c r="R571" s="5">
        <v>1865000</v>
      </c>
      <c r="S571" s="5">
        <v>0.91900999999999999</v>
      </c>
      <c r="T571" s="5">
        <f>LOG(Table2[[#This Row],[ratio heavy to light normalized]],2)</f>
        <v>-0.12184753492700599</v>
      </c>
      <c r="U571" s="5">
        <v>0.93408030333836201</v>
      </c>
    </row>
    <row r="572" spans="1:21" x14ac:dyDescent="0.3">
      <c r="A572" s="5" t="s">
        <v>4242</v>
      </c>
      <c r="B572" s="5" t="s">
        <v>4243</v>
      </c>
      <c r="C572" s="5">
        <v>101</v>
      </c>
      <c r="D572" s="5">
        <v>101</v>
      </c>
      <c r="E572" s="5">
        <v>1</v>
      </c>
      <c r="F572" s="6">
        <v>105.396</v>
      </c>
      <c r="G572" s="7">
        <v>3.4977799999999998E-15</v>
      </c>
      <c r="H572" s="5">
        <v>105.4</v>
      </c>
      <c r="I572" s="5" t="s">
        <v>11</v>
      </c>
      <c r="J572" s="5">
        <v>1</v>
      </c>
      <c r="K572" s="5" t="s">
        <v>2</v>
      </c>
      <c r="L572" s="5" t="s">
        <v>4244</v>
      </c>
      <c r="M572" s="5" t="s">
        <v>4245</v>
      </c>
      <c r="N572" s="5" t="s">
        <v>4246</v>
      </c>
      <c r="O572" s="5">
        <v>4</v>
      </c>
      <c r="P572" s="6">
        <v>4597400</v>
      </c>
      <c r="Q572" s="5">
        <v>2474100</v>
      </c>
      <c r="R572" s="5">
        <v>2123300</v>
      </c>
      <c r="S572" s="5">
        <v>0.91884999999999994</v>
      </c>
      <c r="T572" s="5">
        <f>LOG(Table2[[#This Row],[ratio heavy to light normalized]],2)</f>
        <v>-0.12209873056445983</v>
      </c>
      <c r="U572" s="5">
        <v>0.93340448977202695</v>
      </c>
    </row>
    <row r="573" spans="1:21" x14ac:dyDescent="0.3">
      <c r="A573" s="5" t="s">
        <v>1244</v>
      </c>
      <c r="B573" s="5" t="s">
        <v>1245</v>
      </c>
      <c r="C573" s="5">
        <v>19</v>
      </c>
      <c r="D573" s="5">
        <v>19</v>
      </c>
      <c r="E573" s="5">
        <v>1</v>
      </c>
      <c r="F573" s="6">
        <v>68.656999999999996</v>
      </c>
      <c r="G573" s="5">
        <v>1.3318E-4</v>
      </c>
      <c r="H573" s="5">
        <v>68.656999999999996</v>
      </c>
      <c r="I573" s="5" t="s">
        <v>11</v>
      </c>
      <c r="J573" s="5">
        <v>1</v>
      </c>
      <c r="K573" s="5" t="s">
        <v>2</v>
      </c>
      <c r="L573" s="5" t="s">
        <v>4228</v>
      </c>
      <c r="M573" s="5" t="s">
        <v>4229</v>
      </c>
      <c r="N573" s="5" t="s">
        <v>4230</v>
      </c>
      <c r="O573" s="5">
        <v>7</v>
      </c>
      <c r="P573" s="6">
        <v>2976800</v>
      </c>
      <c r="Q573" s="5">
        <v>1622600</v>
      </c>
      <c r="R573" s="5">
        <v>1354200</v>
      </c>
      <c r="S573" s="5">
        <v>0.91805999999999999</v>
      </c>
      <c r="T573" s="5">
        <f>LOG(Table2[[#This Row],[ratio heavy to light normalized]],2)</f>
        <v>-0.12333965053611921</v>
      </c>
      <c r="U573" s="5">
        <v>0.93006664792083005</v>
      </c>
    </row>
    <row r="574" spans="1:21" x14ac:dyDescent="0.3">
      <c r="A574" s="5" t="s">
        <v>1221</v>
      </c>
      <c r="B574" s="5" t="s">
        <v>1222</v>
      </c>
      <c r="C574" s="5">
        <v>224</v>
      </c>
      <c r="D574" s="5">
        <v>224</v>
      </c>
      <c r="E574" s="5">
        <v>1</v>
      </c>
      <c r="F574" s="6">
        <v>139.083</v>
      </c>
      <c r="G574" s="7">
        <v>1.1236900000000001E-54</v>
      </c>
      <c r="H574" s="5">
        <v>139.08000000000001</v>
      </c>
      <c r="I574" s="5" t="s">
        <v>11</v>
      </c>
      <c r="J574" s="5">
        <v>1</v>
      </c>
      <c r="K574" s="5" t="s">
        <v>2</v>
      </c>
      <c r="L574" s="5" t="s">
        <v>4481</v>
      </c>
      <c r="M574" s="5" t="s">
        <v>4482</v>
      </c>
      <c r="N574" s="5" t="s">
        <v>4483</v>
      </c>
      <c r="O574" s="5">
        <v>9</v>
      </c>
      <c r="P574" s="6">
        <v>1811700</v>
      </c>
      <c r="Q574" s="5">
        <v>831440</v>
      </c>
      <c r="R574" s="5">
        <v>980280</v>
      </c>
      <c r="S574" s="5">
        <v>0.91768000000000005</v>
      </c>
      <c r="T574" s="5">
        <f>LOG(Table2[[#This Row],[ratio heavy to light normalized]],2)</f>
        <v>-0.12393692915222834</v>
      </c>
      <c r="U574" s="5">
        <v>0.98924136444631605</v>
      </c>
    </row>
    <row r="575" spans="1:21" x14ac:dyDescent="0.3">
      <c r="A575" s="5" t="s">
        <v>1381</v>
      </c>
      <c r="B575" s="5" t="s">
        <v>1382</v>
      </c>
      <c r="C575" s="5">
        <v>264</v>
      </c>
      <c r="D575" s="5">
        <v>264</v>
      </c>
      <c r="E575" s="5">
        <v>1</v>
      </c>
      <c r="F575" s="6">
        <v>57.519599999999997</v>
      </c>
      <c r="G575" s="7">
        <v>2.4578700000000002E-8</v>
      </c>
      <c r="H575" s="5">
        <v>57.52</v>
      </c>
      <c r="I575" s="5" t="s">
        <v>11</v>
      </c>
      <c r="J575" s="5">
        <v>1</v>
      </c>
      <c r="K575" s="5" t="s">
        <v>2</v>
      </c>
      <c r="L575" s="5" t="s">
        <v>3949</v>
      </c>
      <c r="M575" s="5" t="s">
        <v>3950</v>
      </c>
      <c r="N575" s="5" t="s">
        <v>3951</v>
      </c>
      <c r="O575" s="5">
        <v>11</v>
      </c>
      <c r="P575" s="6">
        <v>642050</v>
      </c>
      <c r="Q575" s="5">
        <v>312830</v>
      </c>
      <c r="R575" s="5">
        <v>329210</v>
      </c>
      <c r="S575" s="5">
        <v>0.91669999999999996</v>
      </c>
      <c r="T575" s="5">
        <f>LOG(Table2[[#This Row],[ratio heavy to light normalized]],2)</f>
        <v>-0.12547842139983334</v>
      </c>
      <c r="U575" s="5">
        <v>0.86529406701749501</v>
      </c>
    </row>
    <row r="576" spans="1:21" x14ac:dyDescent="0.3">
      <c r="A576" s="5" t="s">
        <v>4461</v>
      </c>
      <c r="B576" s="5" t="s">
        <v>4462</v>
      </c>
      <c r="C576" s="5">
        <v>77</v>
      </c>
      <c r="D576" s="5">
        <v>77</v>
      </c>
      <c r="E576" s="5">
        <v>1</v>
      </c>
      <c r="F576" s="6">
        <v>28.023</v>
      </c>
      <c r="G576" s="5">
        <v>3.8285100000000002E-2</v>
      </c>
      <c r="H576" s="5">
        <v>28.023</v>
      </c>
      <c r="I576" s="5"/>
      <c r="J576" s="5">
        <v>1</v>
      </c>
      <c r="K576" s="5" t="s">
        <v>2</v>
      </c>
      <c r="L576" s="5" t="s">
        <v>4463</v>
      </c>
      <c r="M576" s="5" t="s">
        <v>4464</v>
      </c>
      <c r="N576" s="5" t="s">
        <v>4465</v>
      </c>
      <c r="O576" s="5">
        <v>23</v>
      </c>
      <c r="P576" s="6">
        <v>2497200</v>
      </c>
      <c r="Q576" s="5">
        <v>1270600</v>
      </c>
      <c r="R576" s="5">
        <v>1226600</v>
      </c>
      <c r="S576" s="5">
        <v>0.91627000000000003</v>
      </c>
      <c r="T576" s="5">
        <f>LOG(Table2[[#This Row],[ratio heavy to light normalized]],2)</f>
        <v>-0.12615531068766925</v>
      </c>
      <c r="U576" s="5">
        <v>0.98471759954027804</v>
      </c>
    </row>
    <row r="577" spans="1:21" x14ac:dyDescent="0.3">
      <c r="A577" s="5" t="s">
        <v>3958</v>
      </c>
      <c r="B577" s="5" t="s">
        <v>3959</v>
      </c>
      <c r="C577" s="5">
        <v>195</v>
      </c>
      <c r="D577" s="5">
        <v>195</v>
      </c>
      <c r="E577" s="5">
        <v>1</v>
      </c>
      <c r="F577" s="6">
        <v>48.796300000000002</v>
      </c>
      <c r="G577" s="5">
        <v>2.0480699999999999E-3</v>
      </c>
      <c r="H577" s="5">
        <v>48.795999999999999</v>
      </c>
      <c r="I577" s="5"/>
      <c r="J577" s="5">
        <v>1</v>
      </c>
      <c r="K577" s="5" t="s">
        <v>2</v>
      </c>
      <c r="L577" s="5" t="s">
        <v>3960</v>
      </c>
      <c r="M577" s="5" t="s">
        <v>3961</v>
      </c>
      <c r="N577" s="5" t="s">
        <v>3962</v>
      </c>
      <c r="O577" s="5">
        <v>5</v>
      </c>
      <c r="P577" s="6">
        <v>814060</v>
      </c>
      <c r="Q577" s="5">
        <v>402100</v>
      </c>
      <c r="R577" s="5">
        <v>411950</v>
      </c>
      <c r="S577" s="5">
        <v>0.91603000000000001</v>
      </c>
      <c r="T577" s="5">
        <f>LOG(Table2[[#This Row],[ratio heavy to light normalized]],2)</f>
        <v>-0.12653324750128436</v>
      </c>
      <c r="U577" s="5">
        <v>0.86715727022362998</v>
      </c>
    </row>
    <row r="578" spans="1:21" x14ac:dyDescent="0.3">
      <c r="A578" s="5" t="s">
        <v>210</v>
      </c>
      <c r="B578" s="5" t="s">
        <v>211</v>
      </c>
      <c r="C578" s="5">
        <v>1442</v>
      </c>
      <c r="D578" s="5">
        <v>1442</v>
      </c>
      <c r="E578" s="5">
        <v>1</v>
      </c>
      <c r="F578" s="6">
        <v>91.811999999999998</v>
      </c>
      <c r="G578" s="7">
        <v>5.7217699999999996E-20</v>
      </c>
      <c r="H578" s="5">
        <v>91.811999999999998</v>
      </c>
      <c r="I578" s="5" t="s">
        <v>11</v>
      </c>
      <c r="J578" s="5">
        <v>1</v>
      </c>
      <c r="K578" s="5" t="s">
        <v>2</v>
      </c>
      <c r="L578" s="5" t="s">
        <v>3969</v>
      </c>
      <c r="M578" s="5" t="s">
        <v>3970</v>
      </c>
      <c r="N578" s="5" t="s">
        <v>3971</v>
      </c>
      <c r="O578" s="5">
        <v>7</v>
      </c>
      <c r="P578" s="6">
        <v>892740</v>
      </c>
      <c r="Q578" s="5">
        <v>441290</v>
      </c>
      <c r="R578" s="5">
        <v>451460</v>
      </c>
      <c r="S578" s="5">
        <v>0.91512000000000004</v>
      </c>
      <c r="T578" s="5">
        <f>LOG(Table2[[#This Row],[ratio heavy to light normalized]],2)</f>
        <v>-0.12796715798954042</v>
      </c>
      <c r="U578" s="5">
        <v>0.86969125519401302</v>
      </c>
    </row>
    <row r="579" spans="1:21" x14ac:dyDescent="0.3">
      <c r="A579" s="5" t="s">
        <v>1216</v>
      </c>
      <c r="B579" s="5" t="s">
        <v>1217</v>
      </c>
      <c r="C579" s="5">
        <v>18</v>
      </c>
      <c r="D579" s="5">
        <v>18</v>
      </c>
      <c r="E579" s="5">
        <v>1</v>
      </c>
      <c r="F579" s="6">
        <v>79.632900000000006</v>
      </c>
      <c r="G579" s="7">
        <v>6.0747300000000002E-11</v>
      </c>
      <c r="H579" s="5">
        <v>79.632999999999996</v>
      </c>
      <c r="I579" s="5" t="s">
        <v>11</v>
      </c>
      <c r="J579" s="5">
        <v>1</v>
      </c>
      <c r="K579" s="5" t="s">
        <v>2</v>
      </c>
      <c r="L579" s="5" t="s">
        <v>4425</v>
      </c>
      <c r="M579" s="5" t="s">
        <v>4426</v>
      </c>
      <c r="N579" s="5" t="s">
        <v>4427</v>
      </c>
      <c r="O579" s="5">
        <v>10</v>
      </c>
      <c r="P579" s="6">
        <v>1080200</v>
      </c>
      <c r="Q579" s="5">
        <v>531170</v>
      </c>
      <c r="R579" s="5">
        <v>549010</v>
      </c>
      <c r="S579" s="5">
        <v>0.91412000000000004</v>
      </c>
      <c r="T579" s="5">
        <f>LOG(Table2[[#This Row],[ratio heavy to light normalized]],2)</f>
        <v>-0.12954452912138451</v>
      </c>
      <c r="U579" s="5">
        <v>0.97780724036818101</v>
      </c>
    </row>
    <row r="580" spans="1:21" x14ac:dyDescent="0.3">
      <c r="A580" s="5" t="s">
        <v>1173</v>
      </c>
      <c r="B580" s="5" t="s">
        <v>1174</v>
      </c>
      <c r="C580" s="5">
        <v>77</v>
      </c>
      <c r="D580" s="5">
        <v>77</v>
      </c>
      <c r="E580" s="5">
        <v>1</v>
      </c>
      <c r="F580" s="6">
        <v>88.264099999999999</v>
      </c>
      <c r="G580" s="7">
        <v>1.9365000000000001E-24</v>
      </c>
      <c r="H580" s="5">
        <v>88.263999999999996</v>
      </c>
      <c r="I580" s="5" t="s">
        <v>11</v>
      </c>
      <c r="J580" s="5">
        <v>1</v>
      </c>
      <c r="K580" s="5" t="s">
        <v>2</v>
      </c>
      <c r="L580" s="5" t="s">
        <v>4120</v>
      </c>
      <c r="M580" s="5" t="s">
        <v>4121</v>
      </c>
      <c r="N580" s="5" t="s">
        <v>4122</v>
      </c>
      <c r="O580" s="5">
        <v>21</v>
      </c>
      <c r="P580" s="6">
        <v>22329000</v>
      </c>
      <c r="Q580" s="5">
        <v>10182000</v>
      </c>
      <c r="R580" s="5">
        <v>12148000</v>
      </c>
      <c r="S580" s="5">
        <v>0.91296999999999995</v>
      </c>
      <c r="T580" s="5">
        <f>LOG(Table2[[#This Row],[ratio heavy to light normalized]],2)</f>
        <v>-0.13136064055116048</v>
      </c>
      <c r="U580" s="5">
        <v>0.90852391301624502</v>
      </c>
    </row>
    <row r="581" spans="1:21" x14ac:dyDescent="0.3">
      <c r="A581" s="5" t="s">
        <v>981</v>
      </c>
      <c r="B581" s="5" t="s">
        <v>982</v>
      </c>
      <c r="C581" s="5">
        <v>489</v>
      </c>
      <c r="D581" s="5">
        <v>489</v>
      </c>
      <c r="E581" s="5">
        <v>1</v>
      </c>
      <c r="F581" s="6">
        <v>61.435200000000002</v>
      </c>
      <c r="G581" s="5">
        <v>2.8141599999999999E-4</v>
      </c>
      <c r="H581" s="5">
        <v>61.435000000000002</v>
      </c>
      <c r="I581" s="5" t="s">
        <v>11</v>
      </c>
      <c r="J581" s="5">
        <v>1</v>
      </c>
      <c r="K581" s="5" t="s">
        <v>2</v>
      </c>
      <c r="L581" s="5" t="s">
        <v>4407</v>
      </c>
      <c r="M581" s="5" t="s">
        <v>4408</v>
      </c>
      <c r="N581" s="5" t="s">
        <v>4409</v>
      </c>
      <c r="O581" s="5">
        <v>8</v>
      </c>
      <c r="P581" s="6">
        <v>1281900</v>
      </c>
      <c r="Q581" s="5">
        <v>579010</v>
      </c>
      <c r="R581" s="5">
        <v>702870</v>
      </c>
      <c r="S581" s="5">
        <v>0.91227000000000003</v>
      </c>
      <c r="T581" s="5">
        <f>LOG(Table2[[#This Row],[ratio heavy to light normalized]],2)</f>
        <v>-0.13246722004551062</v>
      </c>
      <c r="U581" s="5">
        <v>0.97184941340972497</v>
      </c>
    </row>
    <row r="582" spans="1:21" x14ac:dyDescent="0.3">
      <c r="A582" s="5" t="s">
        <v>4396</v>
      </c>
      <c r="B582" s="5" t="s">
        <v>4397</v>
      </c>
      <c r="C582" s="5">
        <v>56</v>
      </c>
      <c r="D582" s="5">
        <v>56</v>
      </c>
      <c r="E582" s="5">
        <v>1</v>
      </c>
      <c r="F582" s="6">
        <v>38.579900000000002</v>
      </c>
      <c r="G582" s="5">
        <v>3.0935399999999998E-2</v>
      </c>
      <c r="H582" s="5">
        <v>38.58</v>
      </c>
      <c r="I582" s="5" t="s">
        <v>11</v>
      </c>
      <c r="J582" s="5">
        <v>1</v>
      </c>
      <c r="K582" s="5" t="s">
        <v>2</v>
      </c>
      <c r="L582" s="5" t="s">
        <v>4398</v>
      </c>
      <c r="M582" s="5" t="s">
        <v>4399</v>
      </c>
      <c r="N582" s="5" t="s">
        <v>4400</v>
      </c>
      <c r="O582" s="5">
        <v>7</v>
      </c>
      <c r="P582" s="6">
        <v>2583400</v>
      </c>
      <c r="Q582" s="5">
        <v>1337300</v>
      </c>
      <c r="R582" s="5">
        <v>1246100</v>
      </c>
      <c r="S582" s="5">
        <v>0.91181999999999996</v>
      </c>
      <c r="T582" s="5">
        <f>LOG(Table2[[#This Row],[ratio heavy to light normalized]],2)</f>
        <v>-0.13317904104290712</v>
      </c>
      <c r="U582" s="5">
        <v>0.97039861056616905</v>
      </c>
    </row>
    <row r="583" spans="1:21" x14ac:dyDescent="0.3">
      <c r="A583" s="5" t="s">
        <v>3792</v>
      </c>
      <c r="B583" s="5" t="s">
        <v>3793</v>
      </c>
      <c r="C583" s="5">
        <v>46</v>
      </c>
      <c r="D583" s="5">
        <v>46</v>
      </c>
      <c r="E583" s="5">
        <v>1</v>
      </c>
      <c r="F583" s="6">
        <v>146.77699999999999</v>
      </c>
      <c r="G583" s="7">
        <v>8.50474E-60</v>
      </c>
      <c r="H583" s="5">
        <v>146.78</v>
      </c>
      <c r="I583" s="5" t="s">
        <v>11</v>
      </c>
      <c r="J583" s="5">
        <v>1</v>
      </c>
      <c r="K583" s="5" t="s">
        <v>2</v>
      </c>
      <c r="L583" s="5" t="s">
        <v>4385</v>
      </c>
      <c r="M583" s="5" t="s">
        <v>4386</v>
      </c>
      <c r="N583" s="5" t="s">
        <v>4387</v>
      </c>
      <c r="O583" s="5">
        <v>9</v>
      </c>
      <c r="P583" s="6">
        <v>2070100</v>
      </c>
      <c r="Q583" s="5">
        <v>1009000</v>
      </c>
      <c r="R583" s="5">
        <v>1061100</v>
      </c>
      <c r="S583" s="5">
        <v>0.91108</v>
      </c>
      <c r="T583" s="5">
        <f>LOG(Table2[[#This Row],[ratio heavy to light normalized]],2)</f>
        <v>-0.13435035531017542</v>
      </c>
      <c r="U583" s="5">
        <v>0.968011503819177</v>
      </c>
    </row>
    <row r="584" spans="1:21" x14ac:dyDescent="0.3">
      <c r="A584" s="5" t="s">
        <v>278</v>
      </c>
      <c r="B584" s="5" t="s">
        <v>279</v>
      </c>
      <c r="C584" s="5">
        <v>624</v>
      </c>
      <c r="D584" s="5">
        <v>624</v>
      </c>
      <c r="E584" s="5">
        <v>1</v>
      </c>
      <c r="F584" s="6">
        <v>98.996600000000001</v>
      </c>
      <c r="G584" s="7">
        <v>2.2174300000000001E-14</v>
      </c>
      <c r="H584" s="5">
        <v>98.997</v>
      </c>
      <c r="I584" s="5" t="s">
        <v>11</v>
      </c>
      <c r="J584" s="5">
        <v>1</v>
      </c>
      <c r="K584" s="5" t="s">
        <v>2</v>
      </c>
      <c r="L584" s="5" t="s">
        <v>4084</v>
      </c>
      <c r="M584" s="5" t="s">
        <v>4085</v>
      </c>
      <c r="N584" s="5" t="s">
        <v>4086</v>
      </c>
      <c r="O584" s="5">
        <v>5</v>
      </c>
      <c r="P584" s="6">
        <v>3269800</v>
      </c>
      <c r="Q584" s="5">
        <v>1765500</v>
      </c>
      <c r="R584" s="5">
        <v>1504300</v>
      </c>
      <c r="S584" s="5">
        <v>0.91020999999999996</v>
      </c>
      <c r="T584" s="5">
        <f>LOG(Table2[[#This Row],[ratio heavy to light normalized]],2)</f>
        <v>-0.13572865836025569</v>
      </c>
      <c r="U584" s="5">
        <v>0.89681952285209299</v>
      </c>
    </row>
    <row r="585" spans="1:21" x14ac:dyDescent="0.3">
      <c r="A585" s="5" t="s">
        <v>1090</v>
      </c>
      <c r="B585" s="5" t="s">
        <v>1091</v>
      </c>
      <c r="C585" s="5">
        <v>507</v>
      </c>
      <c r="D585" s="5">
        <v>507</v>
      </c>
      <c r="E585" s="5">
        <v>1</v>
      </c>
      <c r="F585" s="6">
        <v>62.717199999999998</v>
      </c>
      <c r="G585" s="7">
        <v>4.13869E-6</v>
      </c>
      <c r="H585" s="5">
        <v>62.716999999999999</v>
      </c>
      <c r="I585" s="5" t="s">
        <v>11</v>
      </c>
      <c r="J585" s="5">
        <v>1</v>
      </c>
      <c r="K585" s="5" t="s">
        <v>2</v>
      </c>
      <c r="L585" s="5" t="s">
        <v>4076</v>
      </c>
      <c r="M585" s="5" t="s">
        <v>4077</v>
      </c>
      <c r="N585" s="5" t="s">
        <v>4078</v>
      </c>
      <c r="O585" s="5">
        <v>5</v>
      </c>
      <c r="P585" s="6">
        <v>23524000</v>
      </c>
      <c r="Q585" s="5">
        <v>10607000</v>
      </c>
      <c r="R585" s="5">
        <v>12917000</v>
      </c>
      <c r="S585" s="5">
        <v>0.91003999999999996</v>
      </c>
      <c r="T585" s="5">
        <f>LOG(Table2[[#This Row],[ratio heavy to light normalized]],2)</f>
        <v>-0.13599813580309508</v>
      </c>
      <c r="U585" s="5">
        <v>0.89609814859968995</v>
      </c>
    </row>
    <row r="586" spans="1:21" x14ac:dyDescent="0.3">
      <c r="A586" s="5" t="s">
        <v>805</v>
      </c>
      <c r="B586" s="5" t="s">
        <v>806</v>
      </c>
      <c r="C586" s="5">
        <v>303</v>
      </c>
      <c r="D586" s="5">
        <v>303</v>
      </c>
      <c r="E586" s="5">
        <v>1</v>
      </c>
      <c r="F586" s="6">
        <v>114.86199999999999</v>
      </c>
      <c r="G586" s="7">
        <v>5.1836299999999999E-23</v>
      </c>
      <c r="H586" s="5">
        <v>114.86</v>
      </c>
      <c r="I586" s="5"/>
      <c r="J586" s="5">
        <v>1</v>
      </c>
      <c r="K586" s="5" t="s">
        <v>2</v>
      </c>
      <c r="L586" s="5" t="s">
        <v>4368</v>
      </c>
      <c r="M586" s="5" t="s">
        <v>4369</v>
      </c>
      <c r="N586" s="5" t="s">
        <v>4370</v>
      </c>
      <c r="O586" s="5">
        <v>6</v>
      </c>
      <c r="P586" s="6">
        <v>2630500</v>
      </c>
      <c r="Q586" s="5">
        <v>1204300</v>
      </c>
      <c r="R586" s="5">
        <v>1426200</v>
      </c>
      <c r="S586" s="5">
        <v>0.90990000000000004</v>
      </c>
      <c r="T586" s="5">
        <f>LOG(Table2[[#This Row],[ratio heavy to light normalized]],2)</f>
        <v>-0.13622009620412232</v>
      </c>
      <c r="U586" s="5">
        <v>0.964201625205789</v>
      </c>
    </row>
    <row r="587" spans="1:21" x14ac:dyDescent="0.3">
      <c r="A587" s="5" t="s">
        <v>3797</v>
      </c>
      <c r="B587" s="5" t="s">
        <v>4358</v>
      </c>
      <c r="C587" s="5">
        <v>405</v>
      </c>
      <c r="D587" s="5">
        <v>405</v>
      </c>
      <c r="E587" s="5">
        <v>1</v>
      </c>
      <c r="F587" s="6">
        <v>34.2744</v>
      </c>
      <c r="G587" s="5">
        <v>1.62554E-3</v>
      </c>
      <c r="H587" s="5">
        <v>34.274000000000001</v>
      </c>
      <c r="I587" s="5" t="s">
        <v>11</v>
      </c>
      <c r="J587" s="5">
        <v>1</v>
      </c>
      <c r="K587" s="5" t="s">
        <v>2</v>
      </c>
      <c r="L587" s="5" t="s">
        <v>4359</v>
      </c>
      <c r="M587" s="5" t="s">
        <v>4360</v>
      </c>
      <c r="N587" s="5" t="s">
        <v>4361</v>
      </c>
      <c r="O587" s="5">
        <v>3</v>
      </c>
      <c r="P587" s="6">
        <v>1663100</v>
      </c>
      <c r="Q587" s="5">
        <v>790540</v>
      </c>
      <c r="R587" s="5">
        <v>872520</v>
      </c>
      <c r="S587" s="5">
        <v>0.90956999999999999</v>
      </c>
      <c r="T587" s="5">
        <f>LOG(Table2[[#This Row],[ratio heavy to light normalized]],2)</f>
        <v>-0.13674342373215395</v>
      </c>
      <c r="U587" s="5">
        <v>0.963135409195642</v>
      </c>
    </row>
    <row r="588" spans="1:21" x14ac:dyDescent="0.3">
      <c r="A588" s="5" t="s">
        <v>917</v>
      </c>
      <c r="B588" s="5" t="s">
        <v>918</v>
      </c>
      <c r="C588" s="5">
        <v>199</v>
      </c>
      <c r="D588" s="5">
        <v>199</v>
      </c>
      <c r="E588" s="5">
        <v>1</v>
      </c>
      <c r="F588" s="6">
        <v>101.542</v>
      </c>
      <c r="G588" s="7">
        <v>4.3886199999999999E-14</v>
      </c>
      <c r="H588" s="5">
        <v>101.54</v>
      </c>
      <c r="I588" s="5" t="s">
        <v>11</v>
      </c>
      <c r="J588" s="5">
        <v>1</v>
      </c>
      <c r="K588" s="5" t="s">
        <v>2</v>
      </c>
      <c r="L588" s="5" t="s">
        <v>4355</v>
      </c>
      <c r="M588" s="5" t="s">
        <v>4356</v>
      </c>
      <c r="N588" s="5" t="s">
        <v>4357</v>
      </c>
      <c r="O588" s="5">
        <v>8</v>
      </c>
      <c r="P588" s="6">
        <v>2498900</v>
      </c>
      <c r="Q588" s="5">
        <v>1425600</v>
      </c>
      <c r="R588" s="5">
        <v>1073300</v>
      </c>
      <c r="S588" s="5">
        <v>0.90939000000000003</v>
      </c>
      <c r="T588" s="5">
        <f>LOG(Table2[[#This Row],[ratio heavy to light normalized]],2)</f>
        <v>-0.13702895514373817</v>
      </c>
      <c r="U588" s="5">
        <v>0.96255370144274299</v>
      </c>
    </row>
    <row r="589" spans="1:21" x14ac:dyDescent="0.3">
      <c r="A589" s="5" t="s">
        <v>4342</v>
      </c>
      <c r="B589" s="5" t="s">
        <v>4343</v>
      </c>
      <c r="C589" s="5">
        <v>64</v>
      </c>
      <c r="D589" s="5">
        <v>64</v>
      </c>
      <c r="E589" s="5">
        <v>1</v>
      </c>
      <c r="F589" s="6">
        <v>67.275300000000001</v>
      </c>
      <c r="G589" s="7">
        <v>1.50756E-7</v>
      </c>
      <c r="H589" s="5">
        <v>67.275000000000006</v>
      </c>
      <c r="I589" s="5" t="s">
        <v>11</v>
      </c>
      <c r="J589" s="5">
        <v>1</v>
      </c>
      <c r="K589" s="5" t="s">
        <v>2</v>
      </c>
      <c r="L589" s="5" t="s">
        <v>4344</v>
      </c>
      <c r="M589" s="5" t="s">
        <v>4345</v>
      </c>
      <c r="N589" s="5" t="s">
        <v>4346</v>
      </c>
      <c r="O589" s="5">
        <v>9</v>
      </c>
      <c r="P589" s="6">
        <v>1762900</v>
      </c>
      <c r="Q589" s="5">
        <v>952080</v>
      </c>
      <c r="R589" s="5">
        <v>810860</v>
      </c>
      <c r="S589" s="5">
        <v>0.90859000000000001</v>
      </c>
      <c r="T589" s="5">
        <f>LOG(Table2[[#This Row],[ratio heavy to light normalized]],2)</f>
        <v>-0.13829866779977321</v>
      </c>
      <c r="U589" s="5">
        <v>0.95996718552203697</v>
      </c>
    </row>
    <row r="590" spans="1:21" x14ac:dyDescent="0.3">
      <c r="A590" s="5" t="s">
        <v>4071</v>
      </c>
      <c r="B590" s="5" t="s">
        <v>4072</v>
      </c>
      <c r="C590" s="5">
        <v>117</v>
      </c>
      <c r="D590" s="5">
        <v>117</v>
      </c>
      <c r="E590" s="5">
        <v>1</v>
      </c>
      <c r="F590" s="6">
        <v>76.819900000000004</v>
      </c>
      <c r="G590" s="7">
        <v>1.0315E-14</v>
      </c>
      <c r="H590" s="5">
        <v>76.819999999999993</v>
      </c>
      <c r="I590" s="5" t="s">
        <v>11</v>
      </c>
      <c r="J590" s="5">
        <v>1</v>
      </c>
      <c r="K590" s="5" t="s">
        <v>2</v>
      </c>
      <c r="L590" s="5" t="s">
        <v>4073</v>
      </c>
      <c r="M590" s="5" t="s">
        <v>4074</v>
      </c>
      <c r="N590" s="5" t="s">
        <v>4075</v>
      </c>
      <c r="O590" s="5">
        <v>15</v>
      </c>
      <c r="P590" s="6">
        <v>415480</v>
      </c>
      <c r="Q590" s="5">
        <v>233260</v>
      </c>
      <c r="R590" s="5">
        <v>182230</v>
      </c>
      <c r="S590" s="5">
        <v>0.90639999999999998</v>
      </c>
      <c r="T590" s="5">
        <f>LOG(Table2[[#This Row],[ratio heavy to light normalized]],2)</f>
        <v>-0.14178023372893378</v>
      </c>
      <c r="U590" s="5">
        <v>0.89416629932754399</v>
      </c>
    </row>
    <row r="591" spans="1:21" x14ac:dyDescent="0.3">
      <c r="A591" s="5" t="s">
        <v>1775</v>
      </c>
      <c r="B591" s="5" t="s">
        <v>1776</v>
      </c>
      <c r="C591" s="5">
        <v>126</v>
      </c>
      <c r="D591" s="5">
        <v>126</v>
      </c>
      <c r="E591" s="5">
        <v>1</v>
      </c>
      <c r="F591" s="6">
        <v>60.528100000000002</v>
      </c>
      <c r="G591" s="7">
        <v>1.46681E-8</v>
      </c>
      <c r="H591" s="5">
        <v>60.527999999999999</v>
      </c>
      <c r="I591" s="5"/>
      <c r="J591" s="5">
        <v>1</v>
      </c>
      <c r="K591" s="5" t="s">
        <v>2</v>
      </c>
      <c r="L591" s="5" t="s">
        <v>3966</v>
      </c>
      <c r="M591" s="5" t="s">
        <v>3967</v>
      </c>
      <c r="N591" s="5" t="s">
        <v>3968</v>
      </c>
      <c r="O591" s="5">
        <v>3</v>
      </c>
      <c r="P591" s="6">
        <v>2762700</v>
      </c>
      <c r="Q591" s="5">
        <v>1307200</v>
      </c>
      <c r="R591" s="5">
        <v>1455600</v>
      </c>
      <c r="S591" s="5">
        <v>0.90381</v>
      </c>
      <c r="T591" s="5">
        <f>LOG(Table2[[#This Row],[ratio heavy to light normalized]],2)</f>
        <v>-0.14590857541927715</v>
      </c>
      <c r="U591" s="5">
        <v>0.86963305185552098</v>
      </c>
    </row>
    <row r="592" spans="1:21" x14ac:dyDescent="0.3">
      <c r="A592" s="5" t="s">
        <v>476</v>
      </c>
      <c r="B592" s="5" t="s">
        <v>477</v>
      </c>
      <c r="C592" s="5">
        <v>65</v>
      </c>
      <c r="D592" s="5">
        <v>65</v>
      </c>
      <c r="E592" s="5">
        <v>1</v>
      </c>
      <c r="F592" s="6">
        <v>100.017</v>
      </c>
      <c r="G592" s="7">
        <v>2.6130700000000002E-14</v>
      </c>
      <c r="H592" s="5">
        <v>100.02</v>
      </c>
      <c r="I592" s="5" t="s">
        <v>11</v>
      </c>
      <c r="J592" s="5">
        <v>1</v>
      </c>
      <c r="K592" s="5" t="s">
        <v>2</v>
      </c>
      <c r="L592" s="5" t="s">
        <v>4287</v>
      </c>
      <c r="M592" s="5" t="s">
        <v>4288</v>
      </c>
      <c r="N592" s="5" t="s">
        <v>4289</v>
      </c>
      <c r="O592" s="5">
        <v>3</v>
      </c>
      <c r="P592" s="6">
        <v>2055700</v>
      </c>
      <c r="Q592" s="5">
        <v>1044200</v>
      </c>
      <c r="R592" s="5">
        <v>1011500</v>
      </c>
      <c r="S592" s="5">
        <v>0.90320999999999996</v>
      </c>
      <c r="T592" s="5">
        <f>LOG(Table2[[#This Row],[ratio heavy to light normalized]],2)</f>
        <v>-0.14686663571340197</v>
      </c>
      <c r="U592" s="5">
        <v>0.94252585834093905</v>
      </c>
    </row>
    <row r="593" spans="1:21" x14ac:dyDescent="0.3">
      <c r="A593" s="5" t="s">
        <v>513</v>
      </c>
      <c r="B593" s="5" t="s">
        <v>514</v>
      </c>
      <c r="C593" s="5">
        <v>267</v>
      </c>
      <c r="D593" s="5">
        <v>267</v>
      </c>
      <c r="E593" s="5">
        <v>1</v>
      </c>
      <c r="F593" s="6">
        <v>58.831099999999999</v>
      </c>
      <c r="G593" s="7">
        <v>4.8607599999999999E-54</v>
      </c>
      <c r="H593" s="5">
        <v>147.26</v>
      </c>
      <c r="I593" s="5"/>
      <c r="J593" s="5">
        <v>1</v>
      </c>
      <c r="K593" s="5" t="s">
        <v>2</v>
      </c>
      <c r="L593" s="5" t="s">
        <v>3946</v>
      </c>
      <c r="M593" s="5" t="s">
        <v>3947</v>
      </c>
      <c r="N593" s="5" t="s">
        <v>3948</v>
      </c>
      <c r="O593" s="5">
        <v>9</v>
      </c>
      <c r="P593" s="6">
        <v>4847000</v>
      </c>
      <c r="Q593" s="5">
        <v>2353000</v>
      </c>
      <c r="R593" s="5">
        <v>2494000</v>
      </c>
      <c r="S593" s="5">
        <v>0.90271000000000001</v>
      </c>
      <c r="T593" s="5">
        <f>LOG(Table2[[#This Row],[ratio heavy to light normalized]],2)</f>
        <v>-0.14766550558457694</v>
      </c>
      <c r="U593" s="5">
        <v>0.86495563011638299</v>
      </c>
    </row>
    <row r="594" spans="1:21" x14ac:dyDescent="0.3">
      <c r="A594" s="5" t="s">
        <v>1473</v>
      </c>
      <c r="B594" s="5" t="s">
        <v>1474</v>
      </c>
      <c r="C594" s="5">
        <v>310</v>
      </c>
      <c r="D594" s="5">
        <v>310</v>
      </c>
      <c r="E594" s="5">
        <v>1</v>
      </c>
      <c r="F594" s="6">
        <v>124.07899999999999</v>
      </c>
      <c r="G594" s="7">
        <v>8.2652000000000001E-26</v>
      </c>
      <c r="H594" s="5">
        <v>124.08</v>
      </c>
      <c r="I594" s="5" t="s">
        <v>11</v>
      </c>
      <c r="J594" s="5">
        <v>1</v>
      </c>
      <c r="K594" s="5" t="s">
        <v>2</v>
      </c>
      <c r="L594" s="5" t="s">
        <v>3943</v>
      </c>
      <c r="M594" s="5" t="s">
        <v>3944</v>
      </c>
      <c r="N594" s="5" t="s">
        <v>3945</v>
      </c>
      <c r="O594" s="5">
        <v>3</v>
      </c>
      <c r="P594" s="6">
        <v>40748000</v>
      </c>
      <c r="Q594" s="5">
        <v>20649000</v>
      </c>
      <c r="R594" s="5">
        <v>20099000</v>
      </c>
      <c r="S594" s="5">
        <v>0.90254999999999996</v>
      </c>
      <c r="T594" s="5">
        <f>LOG(Table2[[#This Row],[ratio heavy to light normalized]],2)</f>
        <v>-0.14792123739843946</v>
      </c>
      <c r="U594" s="5">
        <v>0.86427519333410596</v>
      </c>
    </row>
    <row r="595" spans="1:21" x14ac:dyDescent="0.3">
      <c r="A595" s="5" t="s">
        <v>3929</v>
      </c>
      <c r="B595" s="5" t="s">
        <v>3930</v>
      </c>
      <c r="C595" s="5">
        <v>179</v>
      </c>
      <c r="D595" s="5">
        <v>179</v>
      </c>
      <c r="E595" s="5">
        <v>1</v>
      </c>
      <c r="F595" s="6">
        <v>79.466200000000001</v>
      </c>
      <c r="G595" s="7">
        <v>6.2154300000000001E-11</v>
      </c>
      <c r="H595" s="5">
        <v>79.465999999999994</v>
      </c>
      <c r="I595" s="5"/>
      <c r="J595" s="5">
        <v>1</v>
      </c>
      <c r="K595" s="5" t="s">
        <v>2</v>
      </c>
      <c r="L595" s="5" t="s">
        <v>3931</v>
      </c>
      <c r="M595" s="5" t="s">
        <v>3932</v>
      </c>
      <c r="N595" s="5" t="s">
        <v>3933</v>
      </c>
      <c r="O595" s="5">
        <v>10</v>
      </c>
      <c r="P595" s="6">
        <v>7415600</v>
      </c>
      <c r="Q595" s="5">
        <v>3469300</v>
      </c>
      <c r="R595" s="5">
        <v>3946400</v>
      </c>
      <c r="S595" s="5">
        <v>0.90114000000000005</v>
      </c>
      <c r="T595" s="5">
        <f>LOG(Table2[[#This Row],[ratio heavy to light normalized]],2)</f>
        <v>-0.15017683611221183</v>
      </c>
      <c r="U595" s="5">
        <v>0.85827803755782395</v>
      </c>
    </row>
    <row r="596" spans="1:21" x14ac:dyDescent="0.3">
      <c r="A596" s="5" t="s">
        <v>4250</v>
      </c>
      <c r="B596" s="5" t="s">
        <v>4251</v>
      </c>
      <c r="C596" s="5">
        <v>223</v>
      </c>
      <c r="D596" s="5">
        <v>223</v>
      </c>
      <c r="E596" s="5">
        <v>1</v>
      </c>
      <c r="F596" s="6">
        <v>120.922</v>
      </c>
      <c r="G596" s="7">
        <v>1.2311499999999999E-25</v>
      </c>
      <c r="H596" s="5">
        <v>120.92</v>
      </c>
      <c r="I596" s="5" t="s">
        <v>11</v>
      </c>
      <c r="J596" s="5">
        <v>1</v>
      </c>
      <c r="K596" s="5" t="s">
        <v>2</v>
      </c>
      <c r="L596" s="5" t="s">
        <v>4252</v>
      </c>
      <c r="M596" s="5" t="s">
        <v>4253</v>
      </c>
      <c r="N596" s="5" t="s">
        <v>4254</v>
      </c>
      <c r="O596" s="5">
        <v>3</v>
      </c>
      <c r="P596" s="6">
        <v>2033300</v>
      </c>
      <c r="Q596" s="5">
        <v>1034600</v>
      </c>
      <c r="R596" s="5">
        <v>998680</v>
      </c>
      <c r="S596" s="5">
        <v>0.90093999999999996</v>
      </c>
      <c r="T596" s="5">
        <f>LOG(Table2[[#This Row],[ratio heavy to light normalized]],2)</f>
        <v>-0.15049706496926876</v>
      </c>
      <c r="U596" s="5">
        <v>0.93514341719314398</v>
      </c>
    </row>
    <row r="597" spans="1:21" x14ac:dyDescent="0.3">
      <c r="A597" s="5" t="s">
        <v>2480</v>
      </c>
      <c r="B597" s="5" t="s">
        <v>2481</v>
      </c>
      <c r="C597" s="5">
        <v>164</v>
      </c>
      <c r="D597" s="5">
        <v>164</v>
      </c>
      <c r="E597" s="5">
        <v>1</v>
      </c>
      <c r="F597" s="6">
        <v>29.149000000000001</v>
      </c>
      <c r="G597" s="5">
        <v>0.32055400000000001</v>
      </c>
      <c r="H597" s="5">
        <v>29.149000000000001</v>
      </c>
      <c r="I597" s="5"/>
      <c r="J597" s="5">
        <v>1</v>
      </c>
      <c r="K597" s="5" t="s">
        <v>2</v>
      </c>
      <c r="L597" s="5" t="s">
        <v>2482</v>
      </c>
      <c r="M597" s="5" t="s">
        <v>2483</v>
      </c>
      <c r="N597" s="5" t="s">
        <v>2484</v>
      </c>
      <c r="O597" s="5">
        <v>5</v>
      </c>
      <c r="P597" s="6">
        <v>457260</v>
      </c>
      <c r="Q597" s="5">
        <v>237000</v>
      </c>
      <c r="R597" s="5">
        <v>220270</v>
      </c>
      <c r="S597" s="5">
        <v>1.0572999999999999</v>
      </c>
      <c r="T597" s="5">
        <f>LOG(Table2[[#This Row],[ratio heavy to light normalized]],2)</f>
        <v>8.038478741460453E-2</v>
      </c>
      <c r="U597" s="5">
        <v>0.527457204148716</v>
      </c>
    </row>
    <row r="598" spans="1:21" x14ac:dyDescent="0.3">
      <c r="A598" s="5" t="s">
        <v>4126</v>
      </c>
      <c r="B598" s="5" t="s">
        <v>4127</v>
      </c>
      <c r="C598" s="5">
        <v>217</v>
      </c>
      <c r="D598" s="5">
        <v>217</v>
      </c>
      <c r="E598" s="5">
        <v>1</v>
      </c>
      <c r="F598" s="6">
        <v>70.918899999999994</v>
      </c>
      <c r="G598" s="7">
        <v>2.0363100000000002E-5</v>
      </c>
      <c r="H598" s="5">
        <v>70.918999999999997</v>
      </c>
      <c r="I598" s="5" t="s">
        <v>11</v>
      </c>
      <c r="J598" s="5">
        <v>1</v>
      </c>
      <c r="K598" s="5" t="s">
        <v>2</v>
      </c>
      <c r="L598" s="5" t="s">
        <v>4128</v>
      </c>
      <c r="M598" s="5" t="s">
        <v>4129</v>
      </c>
      <c r="N598" s="5" t="s">
        <v>4130</v>
      </c>
      <c r="O598" s="5">
        <v>5</v>
      </c>
      <c r="P598" s="6">
        <v>383330</v>
      </c>
      <c r="Q598" s="5">
        <v>200670</v>
      </c>
      <c r="R598" s="5">
        <v>182660</v>
      </c>
      <c r="S598" s="5">
        <v>0.90044000000000002</v>
      </c>
      <c r="T598" s="5">
        <f>LOG(Table2[[#This Row],[ratio heavy to light normalized]],2)</f>
        <v>-0.15129794822429454</v>
      </c>
      <c r="U598" s="5">
        <v>0.91109078417427602</v>
      </c>
    </row>
    <row r="599" spans="1:21" x14ac:dyDescent="0.3">
      <c r="A599" s="5" t="s">
        <v>489</v>
      </c>
      <c r="B599" s="5" t="s">
        <v>490</v>
      </c>
      <c r="C599" s="5">
        <v>257</v>
      </c>
      <c r="D599" s="5">
        <v>257</v>
      </c>
      <c r="E599" s="5">
        <v>1</v>
      </c>
      <c r="F599" s="6">
        <v>83.314099999999996</v>
      </c>
      <c r="G599" s="7">
        <v>1.02593E-10</v>
      </c>
      <c r="H599" s="5">
        <v>83.313999999999993</v>
      </c>
      <c r="I599" s="5" t="s">
        <v>11</v>
      </c>
      <c r="J599" s="5">
        <v>1</v>
      </c>
      <c r="K599" s="5" t="s">
        <v>2</v>
      </c>
      <c r="L599" s="5" t="s">
        <v>4234</v>
      </c>
      <c r="M599" s="5" t="s">
        <v>4235</v>
      </c>
      <c r="N599" s="5" t="s">
        <v>4236</v>
      </c>
      <c r="O599" s="5">
        <v>2</v>
      </c>
      <c r="P599" s="6">
        <v>1567200</v>
      </c>
      <c r="Q599" s="5">
        <v>1014200</v>
      </c>
      <c r="R599" s="5">
        <v>552970</v>
      </c>
      <c r="S599" s="5">
        <v>0.89947999999999995</v>
      </c>
      <c r="T599" s="5">
        <f>LOG(Table2[[#This Row],[ratio heavy to light normalized]],2)</f>
        <v>-0.15283689147797527</v>
      </c>
      <c r="U599" s="5">
        <v>0.93038831726687599</v>
      </c>
    </row>
    <row r="600" spans="1:21" x14ac:dyDescent="0.3">
      <c r="A600" s="5" t="s">
        <v>258</v>
      </c>
      <c r="B600" s="5" t="s">
        <v>259</v>
      </c>
      <c r="C600" s="5">
        <v>178</v>
      </c>
      <c r="D600" s="5">
        <v>178</v>
      </c>
      <c r="E600" s="5">
        <v>1</v>
      </c>
      <c r="F600" s="6">
        <v>74.678399999999996</v>
      </c>
      <c r="G600" s="7">
        <v>1.94732E-10</v>
      </c>
      <c r="H600" s="5">
        <v>74.677999999999997</v>
      </c>
      <c r="I600" s="5"/>
      <c r="J600" s="5">
        <v>1</v>
      </c>
      <c r="K600" s="5" t="s">
        <v>2</v>
      </c>
      <c r="L600" s="5" t="s">
        <v>4158</v>
      </c>
      <c r="M600" s="5" t="s">
        <v>4159</v>
      </c>
      <c r="N600" s="5" t="s">
        <v>4160</v>
      </c>
      <c r="O600" s="5">
        <v>12</v>
      </c>
      <c r="P600" s="6">
        <v>786680</v>
      </c>
      <c r="Q600" s="5">
        <v>448970</v>
      </c>
      <c r="R600" s="5">
        <v>337720</v>
      </c>
      <c r="S600" s="5">
        <v>0.89886999999999995</v>
      </c>
      <c r="T600" s="5">
        <f>LOG(Table2[[#This Row],[ratio heavy to light normalized]],2)</f>
        <v>-0.15381561531782165</v>
      </c>
      <c r="U600" s="5">
        <v>0.91557479852871004</v>
      </c>
    </row>
    <row r="601" spans="1:21" x14ac:dyDescent="0.3">
      <c r="A601" s="5" t="s">
        <v>1998</v>
      </c>
      <c r="B601" s="5" t="s">
        <v>1999</v>
      </c>
      <c r="C601" s="5">
        <v>23</v>
      </c>
      <c r="D601" s="5">
        <v>23</v>
      </c>
      <c r="E601" s="5">
        <v>1</v>
      </c>
      <c r="F601" s="6">
        <v>92.772499999999994</v>
      </c>
      <c r="G601" s="7">
        <v>2.16601E-50</v>
      </c>
      <c r="H601" s="5">
        <v>138.57</v>
      </c>
      <c r="I601" s="5" t="s">
        <v>11</v>
      </c>
      <c r="J601" s="5">
        <v>1</v>
      </c>
      <c r="K601" s="5" t="s">
        <v>2</v>
      </c>
      <c r="L601" s="5" t="s">
        <v>3884</v>
      </c>
      <c r="M601" s="5" t="s">
        <v>3885</v>
      </c>
      <c r="N601" s="5" t="s">
        <v>3886</v>
      </c>
      <c r="O601" s="5">
        <v>5</v>
      </c>
      <c r="P601" s="6">
        <v>6638800</v>
      </c>
      <c r="Q601" s="5">
        <v>3137500</v>
      </c>
      <c r="R601" s="5">
        <v>3501200</v>
      </c>
      <c r="S601" s="5">
        <v>0.89868999999999999</v>
      </c>
      <c r="T601" s="5">
        <f>LOG(Table2[[#This Row],[ratio heavy to light normalized]],2)</f>
        <v>-0.15410454598853965</v>
      </c>
      <c r="U601" s="5">
        <v>0.84785478745315601</v>
      </c>
    </row>
    <row r="602" spans="1:21" x14ac:dyDescent="0.3">
      <c r="A602" s="5" t="s">
        <v>2094</v>
      </c>
      <c r="B602" s="5" t="s">
        <v>2095</v>
      </c>
      <c r="C602" s="5">
        <v>96</v>
      </c>
      <c r="D602" s="5">
        <v>96</v>
      </c>
      <c r="E602" s="5">
        <v>1</v>
      </c>
      <c r="F602" s="6">
        <v>39.119900000000001</v>
      </c>
      <c r="G602" s="5">
        <v>7.4564E-4</v>
      </c>
      <c r="H602" s="5">
        <v>39.119999999999997</v>
      </c>
      <c r="I602" s="5" t="s">
        <v>11</v>
      </c>
      <c r="J602" s="5">
        <v>1</v>
      </c>
      <c r="K602" s="5" t="s">
        <v>2</v>
      </c>
      <c r="L602" s="5" t="s">
        <v>4161</v>
      </c>
      <c r="M602" s="5" t="s">
        <v>4162</v>
      </c>
      <c r="N602" s="5" t="s">
        <v>4163</v>
      </c>
      <c r="O602" s="5">
        <v>14</v>
      </c>
      <c r="P602" s="6">
        <v>667400</v>
      </c>
      <c r="Q602" s="5">
        <v>371150</v>
      </c>
      <c r="R602" s="5">
        <v>296250</v>
      </c>
      <c r="S602" s="5">
        <v>0.89849000000000001</v>
      </c>
      <c r="T602" s="5">
        <f>LOG(Table2[[#This Row],[ratio heavy to light normalized]],2)</f>
        <v>-0.15442564794757424</v>
      </c>
      <c r="U602" s="5">
        <v>0.91666168853516605</v>
      </c>
    </row>
    <row r="603" spans="1:21" x14ac:dyDescent="0.3">
      <c r="A603" s="5" t="s">
        <v>1993</v>
      </c>
      <c r="B603" s="5" t="s">
        <v>1994</v>
      </c>
      <c r="C603" s="5">
        <v>180</v>
      </c>
      <c r="D603" s="5">
        <v>180</v>
      </c>
      <c r="E603" s="5">
        <v>1</v>
      </c>
      <c r="F603" s="6">
        <v>94.881600000000006</v>
      </c>
      <c r="G603" s="7">
        <v>4.19494E-23</v>
      </c>
      <c r="H603" s="5">
        <v>94.882000000000005</v>
      </c>
      <c r="I603" s="5"/>
      <c r="J603" s="5">
        <v>1</v>
      </c>
      <c r="K603" s="5" t="s">
        <v>2</v>
      </c>
      <c r="L603" s="5" t="s">
        <v>3867</v>
      </c>
      <c r="M603" s="5" t="s">
        <v>3868</v>
      </c>
      <c r="N603" s="5" t="s">
        <v>3869</v>
      </c>
      <c r="O603" s="5">
        <v>19</v>
      </c>
      <c r="P603" s="6">
        <v>14114000</v>
      </c>
      <c r="Q603" s="5">
        <v>7531500</v>
      </c>
      <c r="R603" s="5">
        <v>6582500</v>
      </c>
      <c r="S603" s="5">
        <v>0.89775000000000005</v>
      </c>
      <c r="T603" s="5">
        <f>LOG(Table2[[#This Row],[ratio heavy to light normalized]],2)</f>
        <v>-0.15561434699742882</v>
      </c>
      <c r="U603" s="5">
        <v>0.84385508409155996</v>
      </c>
    </row>
    <row r="604" spans="1:21" x14ac:dyDescent="0.3">
      <c r="A604" s="5" t="s">
        <v>4190</v>
      </c>
      <c r="B604" s="5" t="s">
        <v>4191</v>
      </c>
      <c r="C604" s="5">
        <v>323</v>
      </c>
      <c r="D604" s="5">
        <v>323</v>
      </c>
      <c r="E604" s="5">
        <v>1</v>
      </c>
      <c r="F604" s="6">
        <v>61.649900000000002</v>
      </c>
      <c r="G604" s="5">
        <v>2.2410899999999998E-3</v>
      </c>
      <c r="H604" s="5">
        <v>61.65</v>
      </c>
      <c r="I604" s="5" t="s">
        <v>11</v>
      </c>
      <c r="J604" s="5">
        <v>1</v>
      </c>
      <c r="K604" s="5" t="s">
        <v>2</v>
      </c>
      <c r="L604" s="5" t="s">
        <v>4192</v>
      </c>
      <c r="M604" s="5" t="s">
        <v>4193</v>
      </c>
      <c r="N604" s="5" t="s">
        <v>4194</v>
      </c>
      <c r="O604" s="5">
        <v>8</v>
      </c>
      <c r="P604" s="6">
        <v>1141000</v>
      </c>
      <c r="Q604" s="5">
        <v>574570</v>
      </c>
      <c r="R604" s="5">
        <v>566420</v>
      </c>
      <c r="S604" s="5">
        <v>0.89727000000000001</v>
      </c>
      <c r="T604" s="5">
        <f>LOG(Table2[[#This Row],[ratio heavy to light normalized]],2)</f>
        <v>-0.15638591905359825</v>
      </c>
      <c r="U604" s="5">
        <v>0.92318062114006205</v>
      </c>
    </row>
    <row r="605" spans="1:21" x14ac:dyDescent="0.3">
      <c r="A605" s="5" t="s">
        <v>3841</v>
      </c>
      <c r="B605" s="5" t="s">
        <v>3842</v>
      </c>
      <c r="C605" s="5">
        <v>27</v>
      </c>
      <c r="D605" s="5">
        <v>27</v>
      </c>
      <c r="E605" s="5">
        <v>1</v>
      </c>
      <c r="F605" s="6">
        <v>30.2437</v>
      </c>
      <c r="G605" s="7">
        <v>2.7848E-10</v>
      </c>
      <c r="H605" s="5">
        <v>60.031999999999996</v>
      </c>
      <c r="I605" s="5" t="s">
        <v>11</v>
      </c>
      <c r="J605" s="5">
        <v>1</v>
      </c>
      <c r="K605" s="5" t="s">
        <v>2</v>
      </c>
      <c r="L605" s="5" t="s">
        <v>3843</v>
      </c>
      <c r="M605" s="5" t="s">
        <v>3844</v>
      </c>
      <c r="N605" s="5" t="s">
        <v>3845</v>
      </c>
      <c r="O605" s="5">
        <v>15</v>
      </c>
      <c r="P605" s="6">
        <v>13910000</v>
      </c>
      <c r="Q605" s="5">
        <v>7090600</v>
      </c>
      <c r="R605" s="5">
        <v>6819400</v>
      </c>
      <c r="S605" s="5">
        <v>0.89676</v>
      </c>
      <c r="T605" s="5">
        <f>LOG(Table2[[#This Row],[ratio heavy to light normalized]],2)</f>
        <v>-0.15720616675366283</v>
      </c>
      <c r="U605" s="5">
        <v>0.83964245814566396</v>
      </c>
    </row>
    <row r="606" spans="1:21" x14ac:dyDescent="0.3">
      <c r="A606" s="5" t="s">
        <v>481</v>
      </c>
      <c r="B606" s="5" t="s">
        <v>482</v>
      </c>
      <c r="C606" s="5">
        <v>70</v>
      </c>
      <c r="D606" s="5">
        <v>70</v>
      </c>
      <c r="E606" s="5">
        <v>1</v>
      </c>
      <c r="F606" s="6">
        <v>61.212600000000002</v>
      </c>
      <c r="G606" s="5">
        <v>1.2393700000000001E-3</v>
      </c>
      <c r="H606" s="5">
        <v>61.213000000000001</v>
      </c>
      <c r="I606" s="5"/>
      <c r="J606" s="5">
        <v>1</v>
      </c>
      <c r="K606" s="5" t="s">
        <v>2</v>
      </c>
      <c r="L606" s="5" t="s">
        <v>4167</v>
      </c>
      <c r="M606" s="5" t="s">
        <v>4168</v>
      </c>
      <c r="N606" s="5" t="s">
        <v>4169</v>
      </c>
      <c r="O606" s="5">
        <v>9</v>
      </c>
      <c r="P606" s="6">
        <v>1045300</v>
      </c>
      <c r="Q606" s="5">
        <v>568000</v>
      </c>
      <c r="R606" s="5">
        <v>477260</v>
      </c>
      <c r="S606" s="5">
        <v>0.89612999999999998</v>
      </c>
      <c r="T606" s="5">
        <f>LOG(Table2[[#This Row],[ratio heavy to light normalized]],2)</f>
        <v>-0.15822005819504334</v>
      </c>
      <c r="U606" s="5">
        <v>0.91945811340967598</v>
      </c>
    </row>
    <row r="607" spans="1:21" x14ac:dyDescent="0.3">
      <c r="A607" s="5" t="s">
        <v>463</v>
      </c>
      <c r="B607" s="5" t="s">
        <v>464</v>
      </c>
      <c r="C607" s="5">
        <v>48</v>
      </c>
      <c r="D607" s="5">
        <v>48</v>
      </c>
      <c r="E607" s="5">
        <v>1</v>
      </c>
      <c r="F607" s="6">
        <v>81.190600000000003</v>
      </c>
      <c r="G607" s="7">
        <v>1.6994700000000001E-7</v>
      </c>
      <c r="H607" s="5">
        <v>81.191000000000003</v>
      </c>
      <c r="I607" s="5" t="s">
        <v>11</v>
      </c>
      <c r="J607" s="5">
        <v>1</v>
      </c>
      <c r="K607" s="5" t="s">
        <v>2</v>
      </c>
      <c r="L607" s="5" t="s">
        <v>4164</v>
      </c>
      <c r="M607" s="5" t="s">
        <v>4165</v>
      </c>
      <c r="N607" s="5" t="s">
        <v>4166</v>
      </c>
      <c r="O607" s="5">
        <v>5</v>
      </c>
      <c r="P607" s="6">
        <v>1806600</v>
      </c>
      <c r="Q607" s="5">
        <v>1009100</v>
      </c>
      <c r="R607" s="5">
        <v>797480</v>
      </c>
      <c r="S607" s="5">
        <v>0.89597000000000004</v>
      </c>
      <c r="T607" s="5">
        <f>LOG(Table2[[#This Row],[ratio heavy to light normalized]],2)</f>
        <v>-0.1584776679346287</v>
      </c>
      <c r="U607" s="5">
        <v>0.91893541670287804</v>
      </c>
    </row>
    <row r="608" spans="1:21" x14ac:dyDescent="0.3">
      <c r="A608" s="5" t="s">
        <v>215</v>
      </c>
      <c r="B608" s="5" t="s">
        <v>216</v>
      </c>
      <c r="C608" s="5">
        <v>269</v>
      </c>
      <c r="D608" s="5">
        <v>269</v>
      </c>
      <c r="E608" s="5">
        <v>1</v>
      </c>
      <c r="F608" s="6">
        <v>105.863</v>
      </c>
      <c r="G608" s="7">
        <v>5.3783899999999996E-16</v>
      </c>
      <c r="H608" s="5">
        <v>105.86</v>
      </c>
      <c r="I608" s="5" t="s">
        <v>11</v>
      </c>
      <c r="J608" s="5">
        <v>1</v>
      </c>
      <c r="K608" s="5" t="s">
        <v>2</v>
      </c>
      <c r="L608" s="5" t="s">
        <v>3816</v>
      </c>
      <c r="M608" s="5" t="s">
        <v>3817</v>
      </c>
      <c r="N608" s="5" t="s">
        <v>3818</v>
      </c>
      <c r="O608" s="5">
        <v>8</v>
      </c>
      <c r="P608" s="6">
        <v>4719600</v>
      </c>
      <c r="Q608" s="5">
        <v>2362700</v>
      </c>
      <c r="R608" s="5">
        <v>2356900</v>
      </c>
      <c r="S608" s="5">
        <v>0.89563000000000004</v>
      </c>
      <c r="T608" s="5">
        <f>LOG(Table2[[#This Row],[ratio heavy to light normalized]],2)</f>
        <v>-0.15902524141061752</v>
      </c>
      <c r="U608" s="5">
        <v>0.83483404489137103</v>
      </c>
    </row>
    <row r="609" spans="1:21" x14ac:dyDescent="0.3">
      <c r="A609" s="5" t="s">
        <v>4200</v>
      </c>
      <c r="B609" s="5" t="s">
        <v>4201</v>
      </c>
      <c r="C609" s="5">
        <v>142</v>
      </c>
      <c r="D609" s="5">
        <v>142</v>
      </c>
      <c r="E609" s="5">
        <v>1</v>
      </c>
      <c r="F609" s="6">
        <v>48.740900000000003</v>
      </c>
      <c r="G609" s="5">
        <v>1.6406799999999999E-2</v>
      </c>
      <c r="H609" s="5">
        <v>48.741</v>
      </c>
      <c r="I609" s="5"/>
      <c r="J609" s="5">
        <v>1</v>
      </c>
      <c r="K609" s="5" t="s">
        <v>2</v>
      </c>
      <c r="L609" s="5" t="s">
        <v>4202</v>
      </c>
      <c r="M609" s="5" t="s">
        <v>4203</v>
      </c>
      <c r="N609" s="5" t="s">
        <v>4204</v>
      </c>
      <c r="O609" s="5">
        <v>10</v>
      </c>
      <c r="P609" s="6">
        <v>524680</v>
      </c>
      <c r="Q609" s="5">
        <v>322250</v>
      </c>
      <c r="R609" s="5">
        <v>202440</v>
      </c>
      <c r="S609" s="5">
        <v>0.89546000000000003</v>
      </c>
      <c r="T609" s="5">
        <f>LOG(Table2[[#This Row],[ratio heavy to light normalized]],2)</f>
        <v>-0.15929910610495185</v>
      </c>
      <c r="U609" s="5">
        <v>0.92535011312551096</v>
      </c>
    </row>
    <row r="610" spans="1:21" x14ac:dyDescent="0.3">
      <c r="A610" s="5" t="s">
        <v>1201</v>
      </c>
      <c r="B610" s="5" t="s">
        <v>1202</v>
      </c>
      <c r="C610" s="5">
        <v>318</v>
      </c>
      <c r="D610" s="5">
        <v>318</v>
      </c>
      <c r="E610" s="5">
        <v>1</v>
      </c>
      <c r="F610" s="6">
        <v>19.763100000000001</v>
      </c>
      <c r="G610" s="5">
        <v>0.479493</v>
      </c>
      <c r="H610" s="5">
        <v>19.763000000000002</v>
      </c>
      <c r="I610" s="5" t="s">
        <v>11</v>
      </c>
      <c r="J610" s="5">
        <v>1</v>
      </c>
      <c r="K610" s="5" t="s">
        <v>2</v>
      </c>
      <c r="L610" s="5" t="s">
        <v>2537</v>
      </c>
      <c r="M610" s="5" t="s">
        <v>2538</v>
      </c>
      <c r="N610" s="5" t="s">
        <v>2539</v>
      </c>
      <c r="O610" s="5">
        <v>10</v>
      </c>
      <c r="P610" s="6">
        <v>2448200</v>
      </c>
      <c r="Q610" s="5">
        <v>1334800</v>
      </c>
      <c r="R610" s="5">
        <v>1113400</v>
      </c>
      <c r="S610" s="5">
        <v>1.0434000000000001</v>
      </c>
      <c r="T610" s="5">
        <f>LOG(Table2[[#This Row],[ratio heavy to light normalized]],2)</f>
        <v>6.1292338478294087E-2</v>
      </c>
      <c r="U610" s="5">
        <v>0.53611006341475598</v>
      </c>
    </row>
    <row r="611" spans="1:21" x14ac:dyDescent="0.3">
      <c r="A611" s="5" t="s">
        <v>381</v>
      </c>
      <c r="B611" s="5" t="s">
        <v>382</v>
      </c>
      <c r="C611" s="5">
        <v>613</v>
      </c>
      <c r="D611" s="5">
        <v>613</v>
      </c>
      <c r="E611" s="5">
        <v>1</v>
      </c>
      <c r="F611" s="6">
        <v>39.657200000000003</v>
      </c>
      <c r="G611" s="5">
        <v>6.4806E-4</v>
      </c>
      <c r="H611" s="5">
        <v>39.656999999999996</v>
      </c>
      <c r="I611" s="5" t="s">
        <v>11</v>
      </c>
      <c r="J611" s="5">
        <v>1</v>
      </c>
      <c r="K611" s="5" t="s">
        <v>2</v>
      </c>
      <c r="L611" s="5" t="s">
        <v>3805</v>
      </c>
      <c r="M611" s="5" t="s">
        <v>3806</v>
      </c>
      <c r="N611" s="5" t="s">
        <v>3807</v>
      </c>
      <c r="O611" s="5">
        <v>8</v>
      </c>
      <c r="P611" s="6">
        <v>2839000</v>
      </c>
      <c r="Q611" s="5">
        <v>1485100</v>
      </c>
      <c r="R611" s="5">
        <v>1353900</v>
      </c>
      <c r="S611" s="5">
        <v>0.89500999999999997</v>
      </c>
      <c r="T611" s="5">
        <f>LOG(Table2[[#This Row],[ratio heavy to light normalized]],2)</f>
        <v>-0.16002429310285715</v>
      </c>
      <c r="U611" s="5">
        <v>0.83219583471732295</v>
      </c>
    </row>
    <row r="612" spans="1:21" x14ac:dyDescent="0.3">
      <c r="A612" s="5" t="s">
        <v>3391</v>
      </c>
      <c r="B612" s="5" t="s">
        <v>3392</v>
      </c>
      <c r="C612" s="5">
        <v>218</v>
      </c>
      <c r="D612" s="5">
        <v>218</v>
      </c>
      <c r="E612" s="5">
        <v>1</v>
      </c>
      <c r="F612" s="6">
        <v>75.189300000000003</v>
      </c>
      <c r="G612" s="7">
        <v>6.75401E-8</v>
      </c>
      <c r="H612" s="5">
        <v>75.188999999999993</v>
      </c>
      <c r="I612" s="5" t="s">
        <v>11</v>
      </c>
      <c r="J612" s="5">
        <v>1</v>
      </c>
      <c r="K612" s="5" t="s">
        <v>2</v>
      </c>
      <c r="L612" s="5" t="s">
        <v>4152</v>
      </c>
      <c r="M612" s="5" t="s">
        <v>4153</v>
      </c>
      <c r="N612" s="5" t="s">
        <v>4154</v>
      </c>
      <c r="O612" s="5">
        <v>2</v>
      </c>
      <c r="P612" s="6">
        <v>1021800</v>
      </c>
      <c r="Q612" s="5">
        <v>511710</v>
      </c>
      <c r="R612" s="5">
        <v>510080</v>
      </c>
      <c r="S612" s="5">
        <v>0.89461999999999997</v>
      </c>
      <c r="T612" s="5">
        <f>LOG(Table2[[#This Row],[ratio heavy to light normalized]],2)</f>
        <v>-0.16065308349512089</v>
      </c>
      <c r="U612" s="5">
        <v>0.91452286230900004</v>
      </c>
    </row>
    <row r="613" spans="1:21" x14ac:dyDescent="0.3">
      <c r="A613" s="5" t="s">
        <v>3792</v>
      </c>
      <c r="B613" s="5" t="s">
        <v>3793</v>
      </c>
      <c r="C613" s="5">
        <v>211</v>
      </c>
      <c r="D613" s="5">
        <v>211</v>
      </c>
      <c r="E613" s="5">
        <v>1</v>
      </c>
      <c r="F613" s="6">
        <v>88.020600000000002</v>
      </c>
      <c r="G613" s="7">
        <v>1.9763399999999999E-14</v>
      </c>
      <c r="H613" s="5">
        <v>88.021000000000001</v>
      </c>
      <c r="I613" s="5"/>
      <c r="J613" s="5">
        <v>1</v>
      </c>
      <c r="K613" s="5" t="s">
        <v>2</v>
      </c>
      <c r="L613" s="5" t="s">
        <v>3794</v>
      </c>
      <c r="M613" s="5" t="s">
        <v>3795</v>
      </c>
      <c r="N613" s="5" t="s">
        <v>3796</v>
      </c>
      <c r="O613" s="5">
        <v>9</v>
      </c>
      <c r="P613" s="6">
        <v>5276700</v>
      </c>
      <c r="Q613" s="5">
        <v>2631600</v>
      </c>
      <c r="R613" s="5">
        <v>2645100</v>
      </c>
      <c r="S613" s="5">
        <v>0.89446000000000003</v>
      </c>
      <c r="T613" s="5">
        <f>LOG(Table2[[#This Row],[ratio heavy to light normalized]],2)</f>
        <v>-0.1609111280846949</v>
      </c>
      <c r="U613" s="5">
        <v>0.82985553852581495</v>
      </c>
    </row>
    <row r="614" spans="1:21" x14ac:dyDescent="0.3">
      <c r="A614" s="5" t="s">
        <v>4223</v>
      </c>
      <c r="B614" s="5" t="s">
        <v>4224</v>
      </c>
      <c r="C614" s="5">
        <v>544</v>
      </c>
      <c r="D614" s="5">
        <v>544</v>
      </c>
      <c r="E614" s="5">
        <v>1</v>
      </c>
      <c r="F614" s="6">
        <v>66.691900000000004</v>
      </c>
      <c r="G614" s="5">
        <v>2.0185900000000001E-4</v>
      </c>
      <c r="H614" s="5">
        <v>66.691999999999993</v>
      </c>
      <c r="I614" s="5" t="s">
        <v>11</v>
      </c>
      <c r="J614" s="5">
        <v>1</v>
      </c>
      <c r="K614" s="5" t="s">
        <v>2</v>
      </c>
      <c r="L614" s="5" t="s">
        <v>4225</v>
      </c>
      <c r="M614" s="5" t="s">
        <v>4226</v>
      </c>
      <c r="N614" s="5" t="s">
        <v>4227</v>
      </c>
      <c r="O614" s="5">
        <v>7</v>
      </c>
      <c r="P614" s="6">
        <v>488160</v>
      </c>
      <c r="Q614" s="5">
        <v>225890</v>
      </c>
      <c r="R614" s="5">
        <v>262270</v>
      </c>
      <c r="S614" s="5">
        <v>0.89441999999999999</v>
      </c>
      <c r="T614" s="5">
        <f>LOG(Table2[[#This Row],[ratio heavy to light normalized]],2)</f>
        <v>-0.1609756464443895</v>
      </c>
      <c r="U614" s="5">
        <v>0.92834116996309402</v>
      </c>
    </row>
    <row r="615" spans="1:21" x14ac:dyDescent="0.3">
      <c r="A615" s="5" t="s">
        <v>2591</v>
      </c>
      <c r="B615" s="5" t="s">
        <v>2592</v>
      </c>
      <c r="C615" s="5">
        <v>482</v>
      </c>
      <c r="D615" s="5">
        <v>482</v>
      </c>
      <c r="E615" s="5">
        <v>1</v>
      </c>
      <c r="F615" s="6">
        <v>45.996499999999997</v>
      </c>
      <c r="G615" s="7">
        <v>8.2544999999999997E-7</v>
      </c>
      <c r="H615" s="5">
        <v>78.516000000000005</v>
      </c>
      <c r="I615" s="5"/>
      <c r="J615" s="5">
        <v>1</v>
      </c>
      <c r="K615" s="5" t="s">
        <v>2</v>
      </c>
      <c r="L615" s="5" t="s">
        <v>3789</v>
      </c>
      <c r="M615" s="5" t="s">
        <v>3790</v>
      </c>
      <c r="N615" s="5" t="s">
        <v>3791</v>
      </c>
      <c r="O615" s="5">
        <v>5</v>
      </c>
      <c r="P615" s="6">
        <v>21046000</v>
      </c>
      <c r="Q615" s="5">
        <v>10519000</v>
      </c>
      <c r="R615" s="5">
        <v>10527000</v>
      </c>
      <c r="S615" s="5">
        <v>0.89437</v>
      </c>
      <c r="T615" s="5">
        <f>LOG(Table2[[#This Row],[ratio heavy to light normalized]],2)</f>
        <v>-0.16105629845168293</v>
      </c>
      <c r="U615" s="5">
        <v>0.82947258711480998</v>
      </c>
    </row>
    <row r="616" spans="1:21" x14ac:dyDescent="0.3">
      <c r="A616" s="5" t="s">
        <v>4131</v>
      </c>
      <c r="B616" s="5" t="s">
        <v>4132</v>
      </c>
      <c r="C616" s="5">
        <v>190</v>
      </c>
      <c r="D616" s="5">
        <v>190</v>
      </c>
      <c r="E616" s="5">
        <v>1</v>
      </c>
      <c r="F616" s="6">
        <v>76.826700000000002</v>
      </c>
      <c r="G616" s="7">
        <v>9.9309800000000002E-7</v>
      </c>
      <c r="H616" s="5">
        <v>76.826999999999998</v>
      </c>
      <c r="I616" s="5" t="s">
        <v>11</v>
      </c>
      <c r="J616" s="5">
        <v>1</v>
      </c>
      <c r="K616" s="5" t="s">
        <v>2</v>
      </c>
      <c r="L616" s="5" t="s">
        <v>4133</v>
      </c>
      <c r="M616" s="5" t="s">
        <v>4134</v>
      </c>
      <c r="N616" s="5" t="s">
        <v>4135</v>
      </c>
      <c r="O616" s="5">
        <v>5</v>
      </c>
      <c r="P616" s="6">
        <v>1808400</v>
      </c>
      <c r="Q616" s="5">
        <v>1075000</v>
      </c>
      <c r="R616" s="5">
        <v>733470</v>
      </c>
      <c r="S616" s="5">
        <v>0.89361999999999997</v>
      </c>
      <c r="T616" s="5">
        <f>LOG(Table2[[#This Row],[ratio heavy to light normalized]],2)</f>
        <v>-0.16226661992342248</v>
      </c>
      <c r="U616" s="5">
        <v>0.91125170156616997</v>
      </c>
    </row>
    <row r="617" spans="1:21" x14ac:dyDescent="0.3">
      <c r="A617" s="5" t="s">
        <v>3755</v>
      </c>
      <c r="B617" s="5" t="s">
        <v>3756</v>
      </c>
      <c r="C617" s="5">
        <v>81</v>
      </c>
      <c r="D617" s="5">
        <v>81</v>
      </c>
      <c r="E617" s="5">
        <v>1</v>
      </c>
      <c r="F617" s="6">
        <v>120.062</v>
      </c>
      <c r="G617" s="7">
        <v>2.2955200000000001E-29</v>
      </c>
      <c r="H617" s="5">
        <v>120.06</v>
      </c>
      <c r="I617" s="5" t="s">
        <v>11</v>
      </c>
      <c r="J617" s="5">
        <v>1</v>
      </c>
      <c r="K617" s="5" t="s">
        <v>2</v>
      </c>
      <c r="L617" s="5" t="s">
        <v>3757</v>
      </c>
      <c r="M617" s="5" t="s">
        <v>3758</v>
      </c>
      <c r="N617" s="5" t="s">
        <v>3759</v>
      </c>
      <c r="O617" s="5">
        <v>6</v>
      </c>
      <c r="P617" s="6">
        <v>7112300</v>
      </c>
      <c r="Q617" s="5">
        <v>3639100</v>
      </c>
      <c r="R617" s="5">
        <v>3473200</v>
      </c>
      <c r="S617" s="5">
        <v>0.8931</v>
      </c>
      <c r="T617" s="5">
        <f>LOG(Table2[[#This Row],[ratio heavy to light normalized]],2)</f>
        <v>-0.16310637259025712</v>
      </c>
      <c r="U617" s="5">
        <v>0.82406897141216495</v>
      </c>
    </row>
    <row r="618" spans="1:21" x14ac:dyDescent="0.3">
      <c r="A618" s="5" t="s">
        <v>3739</v>
      </c>
      <c r="B618" s="5" t="s">
        <v>3740</v>
      </c>
      <c r="C618" s="5">
        <v>203</v>
      </c>
      <c r="D618" s="5">
        <v>203</v>
      </c>
      <c r="E618" s="5">
        <v>1</v>
      </c>
      <c r="F618" s="6">
        <v>136.29900000000001</v>
      </c>
      <c r="G618" s="7">
        <v>8.6231000000000006E-45</v>
      </c>
      <c r="H618" s="5">
        <v>136.30000000000001</v>
      </c>
      <c r="I618" s="5"/>
      <c r="J618" s="5">
        <v>1</v>
      </c>
      <c r="K618" s="5" t="s">
        <v>2</v>
      </c>
      <c r="L618" s="5" t="s">
        <v>3741</v>
      </c>
      <c r="M618" s="5" t="s">
        <v>3742</v>
      </c>
      <c r="N618" s="5" t="s">
        <v>3743</v>
      </c>
      <c r="O618" s="5">
        <v>12</v>
      </c>
      <c r="P618" s="6">
        <v>3239600</v>
      </c>
      <c r="Q618" s="5">
        <v>1660200</v>
      </c>
      <c r="R618" s="5">
        <v>1579400</v>
      </c>
      <c r="S618" s="5">
        <v>0.89251999999999998</v>
      </c>
      <c r="T618" s="5">
        <f>LOG(Table2[[#This Row],[ratio heavy to light normalized]],2)</f>
        <v>-0.16404359680721653</v>
      </c>
      <c r="U618" s="5">
        <v>0.82160138050847398</v>
      </c>
    </row>
    <row r="619" spans="1:21" x14ac:dyDescent="0.3">
      <c r="A619" s="5" t="s">
        <v>1009</v>
      </c>
      <c r="B619" s="5" t="s">
        <v>1010</v>
      </c>
      <c r="C619" s="5">
        <v>144</v>
      </c>
      <c r="D619" s="5">
        <v>144</v>
      </c>
      <c r="E619" s="5">
        <v>1</v>
      </c>
      <c r="F619" s="6">
        <v>37.425600000000003</v>
      </c>
      <c r="G619" s="5">
        <v>0.105459</v>
      </c>
      <c r="H619" s="5">
        <v>37.426000000000002</v>
      </c>
      <c r="I619" s="5"/>
      <c r="J619" s="5">
        <v>1</v>
      </c>
      <c r="K619" s="5" t="s">
        <v>2</v>
      </c>
      <c r="L619" s="5" t="s">
        <v>2574</v>
      </c>
      <c r="M619" s="5" t="s">
        <v>2575</v>
      </c>
      <c r="N619" s="5" t="s">
        <v>2576</v>
      </c>
      <c r="O619" s="5">
        <v>10</v>
      </c>
      <c r="P619" s="6">
        <v>3269200</v>
      </c>
      <c r="Q619" s="5">
        <v>1774000</v>
      </c>
      <c r="R619" s="5">
        <v>1495200</v>
      </c>
      <c r="S619" s="5">
        <v>0.82521999999999995</v>
      </c>
      <c r="T619" s="5">
        <f>LOG(Table2[[#This Row],[ratio heavy to light normalized]],2)</f>
        <v>-0.27714930813804489</v>
      </c>
      <c r="U619" s="5">
        <v>0.54306325620109697</v>
      </c>
    </row>
    <row r="620" spans="1:21" x14ac:dyDescent="0.3">
      <c r="A620" s="5" t="s">
        <v>2516</v>
      </c>
      <c r="B620" s="5" t="s">
        <v>2517</v>
      </c>
      <c r="C620" s="5">
        <v>451</v>
      </c>
      <c r="D620" s="5">
        <v>451</v>
      </c>
      <c r="E620" s="5">
        <v>1</v>
      </c>
      <c r="F620" s="6">
        <v>51.091900000000003</v>
      </c>
      <c r="G620" s="5">
        <v>9.4941599999999998E-3</v>
      </c>
      <c r="H620" s="5">
        <v>51.091999999999999</v>
      </c>
      <c r="I620" s="5"/>
      <c r="J620" s="5">
        <v>1</v>
      </c>
      <c r="K620" s="5" t="s">
        <v>2</v>
      </c>
      <c r="L620" s="5" t="s">
        <v>4255</v>
      </c>
      <c r="M620" s="5" t="s">
        <v>4256</v>
      </c>
      <c r="N620" s="5" t="s">
        <v>4257</v>
      </c>
      <c r="O620" s="5">
        <v>7</v>
      </c>
      <c r="P620" s="6">
        <v>148110</v>
      </c>
      <c r="Q620" s="5">
        <v>78786</v>
      </c>
      <c r="R620" s="5">
        <v>69324</v>
      </c>
      <c r="S620" s="5">
        <v>0.89198999999999995</v>
      </c>
      <c r="T620" s="5">
        <f>LOG(Table2[[#This Row],[ratio heavy to light normalized]],2)</f>
        <v>-0.16490055854366362</v>
      </c>
      <c r="U620" s="5">
        <v>0.93534735542198</v>
      </c>
    </row>
    <row r="621" spans="1:21" x14ac:dyDescent="0.3">
      <c r="A621" s="5" t="s">
        <v>789</v>
      </c>
      <c r="B621" s="5" t="s">
        <v>790</v>
      </c>
      <c r="C621" s="5">
        <v>208</v>
      </c>
      <c r="D621" s="5">
        <v>208</v>
      </c>
      <c r="E621" s="5">
        <v>1</v>
      </c>
      <c r="F621" s="6">
        <v>47.2879</v>
      </c>
      <c r="G621" s="5">
        <v>8.2628200000000006E-3</v>
      </c>
      <c r="H621" s="5">
        <v>47.287999999999997</v>
      </c>
      <c r="I621" s="5"/>
      <c r="J621" s="5">
        <v>1</v>
      </c>
      <c r="K621" s="5" t="s">
        <v>2</v>
      </c>
      <c r="L621" s="5" t="s">
        <v>4263</v>
      </c>
      <c r="M621" s="5" t="s">
        <v>4264</v>
      </c>
      <c r="N621" s="5" t="s">
        <v>4265</v>
      </c>
      <c r="O621" s="5">
        <v>5</v>
      </c>
      <c r="P621" s="6">
        <v>346330</v>
      </c>
      <c r="Q621" s="5">
        <v>198760</v>
      </c>
      <c r="R621" s="5">
        <v>147560</v>
      </c>
      <c r="S621" s="5">
        <v>0.89185000000000003</v>
      </c>
      <c r="T621" s="5">
        <f>LOG(Table2[[#This Row],[ratio heavy to light normalized]],2)</f>
        <v>-0.16512701081083897</v>
      </c>
      <c r="U621" s="5">
        <v>0.93575174332813604</v>
      </c>
    </row>
    <row r="622" spans="1:21" x14ac:dyDescent="0.3">
      <c r="A622" s="5" t="s">
        <v>4104</v>
      </c>
      <c r="B622" s="5" t="s">
        <v>4105</v>
      </c>
      <c r="C622" s="5">
        <v>147</v>
      </c>
      <c r="D622" s="5">
        <v>147</v>
      </c>
      <c r="E622" s="5">
        <v>1</v>
      </c>
      <c r="F622" s="6">
        <v>86.898099999999999</v>
      </c>
      <c r="G622" s="7">
        <v>2.5917499999999999E-10</v>
      </c>
      <c r="H622" s="5">
        <v>86.897999999999996</v>
      </c>
      <c r="I622" s="5" t="s">
        <v>11</v>
      </c>
      <c r="J622" s="5">
        <v>1</v>
      </c>
      <c r="K622" s="5" t="s">
        <v>2</v>
      </c>
      <c r="L622" s="5" t="s">
        <v>4106</v>
      </c>
      <c r="M622" s="5" t="s">
        <v>4107</v>
      </c>
      <c r="N622" s="5" t="s">
        <v>4108</v>
      </c>
      <c r="O622" s="5">
        <v>4</v>
      </c>
      <c r="P622" s="6">
        <v>1035800</v>
      </c>
      <c r="Q622" s="5">
        <v>577200</v>
      </c>
      <c r="R622" s="5">
        <v>458610</v>
      </c>
      <c r="S622" s="5">
        <v>0.89127999999999996</v>
      </c>
      <c r="T622" s="5">
        <f>LOG(Table2[[#This Row],[ratio heavy to light normalized]],2)</f>
        <v>-0.16604936218321981</v>
      </c>
      <c r="U622" s="5">
        <v>0.90358884851994703</v>
      </c>
    </row>
    <row r="623" spans="1:21" x14ac:dyDescent="0.3">
      <c r="A623" s="5" t="s">
        <v>710</v>
      </c>
      <c r="B623" s="5" t="s">
        <v>711</v>
      </c>
      <c r="C623" s="5">
        <v>720</v>
      </c>
      <c r="D623" s="5">
        <v>720</v>
      </c>
      <c r="E623" s="5">
        <v>1</v>
      </c>
      <c r="F623" s="6">
        <v>126.94799999999999</v>
      </c>
      <c r="G623" s="7">
        <v>1.3692300000000001E-36</v>
      </c>
      <c r="H623" s="5">
        <v>126.95</v>
      </c>
      <c r="I623" s="5" t="s">
        <v>11</v>
      </c>
      <c r="J623" s="5">
        <v>1</v>
      </c>
      <c r="K623" s="5" t="s">
        <v>2</v>
      </c>
      <c r="L623" s="5" t="s">
        <v>4101</v>
      </c>
      <c r="M623" s="5" t="s">
        <v>4102</v>
      </c>
      <c r="N623" s="5" t="s">
        <v>4103</v>
      </c>
      <c r="O623" s="5">
        <v>7</v>
      </c>
      <c r="P623" s="6">
        <v>1361300</v>
      </c>
      <c r="Q623" s="5">
        <v>729370</v>
      </c>
      <c r="R623" s="5">
        <v>631970</v>
      </c>
      <c r="S623" s="5">
        <v>0.89112000000000002</v>
      </c>
      <c r="T623" s="5">
        <f>LOG(Table2[[#This Row],[ratio heavy to light normalized]],2)</f>
        <v>-0.16630837386091524</v>
      </c>
      <c r="U623" s="5">
        <v>0.90306447824742997</v>
      </c>
    </row>
    <row r="624" spans="1:21" x14ac:dyDescent="0.3">
      <c r="A624" s="5" t="s">
        <v>2099</v>
      </c>
      <c r="B624" s="5" t="s">
        <v>2100</v>
      </c>
      <c r="C624" s="5">
        <v>253</v>
      </c>
      <c r="D624" s="5">
        <v>253</v>
      </c>
      <c r="E624" s="5">
        <v>1</v>
      </c>
      <c r="F624" s="6">
        <v>69.450699999999998</v>
      </c>
      <c r="G624" s="7">
        <v>5.6487699999999996E-6</v>
      </c>
      <c r="H624" s="5">
        <v>69.450999999999993</v>
      </c>
      <c r="I624" s="5" t="s">
        <v>11</v>
      </c>
      <c r="J624" s="5">
        <v>1</v>
      </c>
      <c r="K624" s="5" t="s">
        <v>2</v>
      </c>
      <c r="L624" s="5" t="s">
        <v>4098</v>
      </c>
      <c r="M624" s="5" t="s">
        <v>4099</v>
      </c>
      <c r="N624" s="5" t="s">
        <v>4100</v>
      </c>
      <c r="O624" s="5">
        <v>8</v>
      </c>
      <c r="P624" s="6">
        <v>1814700</v>
      </c>
      <c r="Q624" s="5">
        <v>942730</v>
      </c>
      <c r="R624" s="5">
        <v>872000</v>
      </c>
      <c r="S624" s="5">
        <v>0.89097000000000004</v>
      </c>
      <c r="T624" s="5">
        <f>LOG(Table2[[#This Row],[ratio heavy to light normalized]],2)</f>
        <v>-0.16655123954855658</v>
      </c>
      <c r="U624" s="5">
        <v>0.90257283400697197</v>
      </c>
    </row>
    <row r="625" spans="1:21" x14ac:dyDescent="0.3">
      <c r="A625" s="5" t="s">
        <v>2596</v>
      </c>
      <c r="B625" s="5" t="s">
        <v>2597</v>
      </c>
      <c r="C625" s="5">
        <v>637</v>
      </c>
      <c r="D625" s="5">
        <v>637</v>
      </c>
      <c r="E625" s="5">
        <v>1</v>
      </c>
      <c r="F625" s="6">
        <v>18.311599999999999</v>
      </c>
      <c r="G625" s="5">
        <v>1.4360299999999999</v>
      </c>
      <c r="H625" s="5">
        <v>18.312000000000001</v>
      </c>
      <c r="I625" s="5"/>
      <c r="J625" s="5">
        <v>1</v>
      </c>
      <c r="K625" s="5" t="s">
        <v>2</v>
      </c>
      <c r="L625" s="5" t="s">
        <v>2598</v>
      </c>
      <c r="M625" s="5" t="s">
        <v>2599</v>
      </c>
      <c r="N625" s="5" t="s">
        <v>2600</v>
      </c>
      <c r="O625" s="5">
        <v>6</v>
      </c>
      <c r="P625" s="6">
        <v>677630</v>
      </c>
      <c r="Q625" s="5">
        <v>364480</v>
      </c>
      <c r="R625" s="5">
        <v>313150</v>
      </c>
      <c r="S625" s="5">
        <v>1.0472999999999999</v>
      </c>
      <c r="T625" s="5">
        <f>LOG(Table2[[#This Row],[ratio heavy to light normalized]],2)</f>
        <v>6.6674762724460157E-2</v>
      </c>
      <c r="U625" s="5">
        <v>0.54776849102403102</v>
      </c>
    </row>
    <row r="626" spans="1:21" x14ac:dyDescent="0.3">
      <c r="A626" s="5" t="s">
        <v>1438</v>
      </c>
      <c r="B626" s="5" t="s">
        <v>1439</v>
      </c>
      <c r="C626" s="5">
        <v>23</v>
      </c>
      <c r="D626" s="5">
        <v>23</v>
      </c>
      <c r="E626" s="5">
        <v>1</v>
      </c>
      <c r="F626" s="6">
        <v>66.262500000000003</v>
      </c>
      <c r="G626" s="7">
        <v>8.4330500000000005E-6</v>
      </c>
      <c r="H626" s="5">
        <v>66.262</v>
      </c>
      <c r="I626" s="5" t="s">
        <v>11</v>
      </c>
      <c r="J626" s="5">
        <v>1</v>
      </c>
      <c r="K626" s="5" t="s">
        <v>2</v>
      </c>
      <c r="L626" s="5" t="s">
        <v>4281</v>
      </c>
      <c r="M626" s="5" t="s">
        <v>4282</v>
      </c>
      <c r="N626" s="5" t="s">
        <v>4283</v>
      </c>
      <c r="O626" s="5">
        <v>5</v>
      </c>
      <c r="P626" s="6">
        <v>675950</v>
      </c>
      <c r="Q626" s="5">
        <v>358520</v>
      </c>
      <c r="R626" s="5">
        <v>317430</v>
      </c>
      <c r="S626" s="5">
        <v>0.89032</v>
      </c>
      <c r="T626" s="5">
        <f>LOG(Table2[[#This Row],[ratio heavy to light normalized]],2)</f>
        <v>-0.1676041302268852</v>
      </c>
      <c r="U626" s="5">
        <v>0.94017632764467296</v>
      </c>
    </row>
    <row r="627" spans="1:21" x14ac:dyDescent="0.3">
      <c r="A627" s="5" t="s">
        <v>3680</v>
      </c>
      <c r="B627" s="5" t="s">
        <v>3681</v>
      </c>
      <c r="C627" s="5">
        <v>61</v>
      </c>
      <c r="D627" s="5">
        <v>61</v>
      </c>
      <c r="E627" s="5">
        <v>1</v>
      </c>
      <c r="F627" s="6">
        <v>108.461</v>
      </c>
      <c r="G627" s="7">
        <v>4.9970999999999999E-16</v>
      </c>
      <c r="H627" s="5">
        <v>108.46</v>
      </c>
      <c r="I627" s="5" t="s">
        <v>11</v>
      </c>
      <c r="J627" s="5">
        <v>1</v>
      </c>
      <c r="K627" s="5" t="s">
        <v>2</v>
      </c>
      <c r="L627" s="5" t="s">
        <v>3682</v>
      </c>
      <c r="M627" s="5" t="s">
        <v>3683</v>
      </c>
      <c r="N627" s="5" t="s">
        <v>3684</v>
      </c>
      <c r="O627" s="5">
        <v>2</v>
      </c>
      <c r="P627" s="6">
        <v>8950600</v>
      </c>
      <c r="Q627" s="5">
        <v>4241500</v>
      </c>
      <c r="R627" s="5">
        <v>4709200</v>
      </c>
      <c r="S627" s="5">
        <v>0.88936000000000004</v>
      </c>
      <c r="T627" s="5">
        <f>LOG(Table2[[#This Row],[ratio heavy to light normalized]],2)</f>
        <v>-0.16916057562559339</v>
      </c>
      <c r="U627" s="5">
        <v>0.80816075178158597</v>
      </c>
    </row>
    <row r="628" spans="1:21" x14ac:dyDescent="0.3">
      <c r="A628" s="5" t="s">
        <v>3654</v>
      </c>
      <c r="B628" s="5" t="s">
        <v>3655</v>
      </c>
      <c r="C628" s="5">
        <v>258</v>
      </c>
      <c r="D628" s="5">
        <v>258</v>
      </c>
      <c r="E628" s="5">
        <v>1</v>
      </c>
      <c r="F628" s="6">
        <v>112.437</v>
      </c>
      <c r="G628" s="7">
        <v>6.1604099999999995E-41</v>
      </c>
      <c r="H628" s="5">
        <v>133.71</v>
      </c>
      <c r="I628" s="5" t="s">
        <v>11</v>
      </c>
      <c r="J628" s="5">
        <v>1</v>
      </c>
      <c r="K628" s="5" t="s">
        <v>2</v>
      </c>
      <c r="L628" s="5" t="s">
        <v>3656</v>
      </c>
      <c r="M628" s="5" t="s">
        <v>3657</v>
      </c>
      <c r="N628" s="5" t="s">
        <v>3658</v>
      </c>
      <c r="O628" s="5">
        <v>10</v>
      </c>
      <c r="P628" s="6">
        <v>7772400</v>
      </c>
      <c r="Q628" s="5">
        <v>3968700</v>
      </c>
      <c r="R628" s="5">
        <v>3803700</v>
      </c>
      <c r="S628" s="5">
        <v>0.88746999999999998</v>
      </c>
      <c r="T628" s="5">
        <f>LOG(Table2[[#This Row],[ratio heavy to light normalized]],2)</f>
        <v>-0.17222974336324426</v>
      </c>
      <c r="U628" s="5">
        <v>0.80012586145379905</v>
      </c>
    </row>
    <row r="629" spans="1:21" x14ac:dyDescent="0.3">
      <c r="A629" s="5" t="s">
        <v>4311</v>
      </c>
      <c r="B629" s="5" t="s">
        <v>4312</v>
      </c>
      <c r="C629" s="5">
        <v>37</v>
      </c>
      <c r="D629" s="5">
        <v>37</v>
      </c>
      <c r="E629" s="5">
        <v>1</v>
      </c>
      <c r="F629" s="6">
        <v>52.246899999999997</v>
      </c>
      <c r="G629" s="5">
        <v>7.1353900000000001E-3</v>
      </c>
      <c r="H629" s="5">
        <v>52.247</v>
      </c>
      <c r="I629" s="5" t="s">
        <v>11</v>
      </c>
      <c r="J629" s="5">
        <v>1</v>
      </c>
      <c r="K629" s="5" t="s">
        <v>2</v>
      </c>
      <c r="L629" s="5" t="s">
        <v>4313</v>
      </c>
      <c r="M629" s="5" t="s">
        <v>4314</v>
      </c>
      <c r="N629" s="5" t="s">
        <v>4315</v>
      </c>
      <c r="O629" s="5">
        <v>3</v>
      </c>
      <c r="P629" s="6">
        <v>542400</v>
      </c>
      <c r="Q629" s="5">
        <v>318990</v>
      </c>
      <c r="R629" s="5">
        <v>223410</v>
      </c>
      <c r="S629" s="5">
        <v>0.88666999999999996</v>
      </c>
      <c r="T629" s="5">
        <f>LOG(Table2[[#This Row],[ratio heavy to light normalized]],2)</f>
        <v>-0.17353083133931893</v>
      </c>
      <c r="U629" s="5">
        <v>0.95076973102192996</v>
      </c>
    </row>
    <row r="630" spans="1:21" x14ac:dyDescent="0.3">
      <c r="A630" s="5" t="s">
        <v>1236</v>
      </c>
      <c r="B630" s="5" t="s">
        <v>1237</v>
      </c>
      <c r="C630" s="5">
        <v>10</v>
      </c>
      <c r="D630" s="5">
        <v>10</v>
      </c>
      <c r="E630" s="5">
        <v>1</v>
      </c>
      <c r="F630" s="6">
        <v>71.650599999999997</v>
      </c>
      <c r="G630" s="7">
        <v>5.0006600000000003E-15</v>
      </c>
      <c r="H630" s="5">
        <v>71.650999999999996</v>
      </c>
      <c r="I630" s="5"/>
      <c r="J630" s="5">
        <v>1</v>
      </c>
      <c r="K630" s="5" t="s">
        <v>2</v>
      </c>
      <c r="L630" s="5" t="s">
        <v>3632</v>
      </c>
      <c r="M630" s="5" t="s">
        <v>3633</v>
      </c>
      <c r="N630" s="5" t="s">
        <v>3634</v>
      </c>
      <c r="O630" s="5">
        <v>5</v>
      </c>
      <c r="P630" s="6">
        <v>7512500</v>
      </c>
      <c r="Q630" s="5">
        <v>4176300</v>
      </c>
      <c r="R630" s="5">
        <v>3336100</v>
      </c>
      <c r="S630" s="5">
        <v>0.88649</v>
      </c>
      <c r="T630" s="5">
        <f>LOG(Table2[[#This Row],[ratio heavy to light normalized]],2)</f>
        <v>-0.17382373791092215</v>
      </c>
      <c r="U630" s="5">
        <v>0.79596115572812298</v>
      </c>
    </row>
    <row r="631" spans="1:21" x14ac:dyDescent="0.3">
      <c r="A631" s="5" t="s">
        <v>432</v>
      </c>
      <c r="B631" s="5" t="s">
        <v>433</v>
      </c>
      <c r="C631" s="5">
        <v>35</v>
      </c>
      <c r="D631" s="5">
        <v>35</v>
      </c>
      <c r="E631" s="5">
        <v>1</v>
      </c>
      <c r="F631" s="6">
        <v>77.379000000000005</v>
      </c>
      <c r="G631" s="7">
        <v>5.5699399999999996E-7</v>
      </c>
      <c r="H631" s="5">
        <v>77.379000000000005</v>
      </c>
      <c r="I631" s="5" t="s">
        <v>11</v>
      </c>
      <c r="J631" s="5">
        <v>1</v>
      </c>
      <c r="K631" s="5" t="s">
        <v>2</v>
      </c>
      <c r="L631" s="5" t="s">
        <v>3618</v>
      </c>
      <c r="M631" s="5" t="s">
        <v>3619</v>
      </c>
      <c r="N631" s="5" t="s">
        <v>3620</v>
      </c>
      <c r="O631" s="5">
        <v>6</v>
      </c>
      <c r="P631" s="6">
        <v>39941000</v>
      </c>
      <c r="Q631" s="5">
        <v>20923000</v>
      </c>
      <c r="R631" s="5">
        <v>19018000</v>
      </c>
      <c r="S631" s="5">
        <v>0.88580000000000003</v>
      </c>
      <c r="T631" s="5">
        <f>LOG(Table2[[#This Row],[ratio heavy to light normalized]],2)</f>
        <v>-0.17494709766413302</v>
      </c>
      <c r="U631" s="5">
        <v>0.79302957989181999</v>
      </c>
    </row>
    <row r="632" spans="1:21" x14ac:dyDescent="0.3">
      <c r="A632" s="5" t="s">
        <v>4136</v>
      </c>
      <c r="B632" s="5" t="s">
        <v>4137</v>
      </c>
      <c r="C632" s="5">
        <v>325</v>
      </c>
      <c r="D632" s="5">
        <v>325</v>
      </c>
      <c r="E632" s="5">
        <v>1</v>
      </c>
      <c r="F632" s="6">
        <v>99.441699999999997</v>
      </c>
      <c r="G632" s="7">
        <v>2.7866599999999999E-14</v>
      </c>
      <c r="H632" s="5">
        <v>99.441999999999993</v>
      </c>
      <c r="I632" s="5" t="s">
        <v>11</v>
      </c>
      <c r="J632" s="5">
        <v>1</v>
      </c>
      <c r="K632" s="5" t="s">
        <v>2</v>
      </c>
      <c r="L632" s="5" t="s">
        <v>4319</v>
      </c>
      <c r="M632" s="5" t="s">
        <v>4320</v>
      </c>
      <c r="N632" s="5" t="s">
        <v>4321</v>
      </c>
      <c r="O632" s="5">
        <v>6</v>
      </c>
      <c r="P632" s="6">
        <v>795050</v>
      </c>
      <c r="Q632" s="5">
        <v>420040</v>
      </c>
      <c r="R632" s="5">
        <v>375010</v>
      </c>
      <c r="S632" s="5">
        <v>0.88549</v>
      </c>
      <c r="T632" s="5">
        <f>LOG(Table2[[#This Row],[ratio heavy to light normalized]],2)</f>
        <v>-0.17545208043628424</v>
      </c>
      <c r="U632" s="5">
        <v>0.95420573669970998</v>
      </c>
    </row>
    <row r="633" spans="1:21" x14ac:dyDescent="0.3">
      <c r="A633" s="5" t="s">
        <v>2802</v>
      </c>
      <c r="B633" s="5" t="s">
        <v>2803</v>
      </c>
      <c r="C633" s="5">
        <v>56</v>
      </c>
      <c r="D633" s="5">
        <v>56</v>
      </c>
      <c r="E633" s="5">
        <v>1</v>
      </c>
      <c r="F633" s="6">
        <v>117.81100000000001</v>
      </c>
      <c r="G633" s="7">
        <v>2.8872800000000001E-20</v>
      </c>
      <c r="H633" s="5">
        <v>117.81</v>
      </c>
      <c r="I633" s="5" t="s">
        <v>11</v>
      </c>
      <c r="J633" s="5">
        <v>1</v>
      </c>
      <c r="K633" s="5" t="s">
        <v>2</v>
      </c>
      <c r="L633" s="5" t="s">
        <v>4006</v>
      </c>
      <c r="M633" s="5" t="s">
        <v>4007</v>
      </c>
      <c r="N633" s="5" t="s">
        <v>4008</v>
      </c>
      <c r="O633" s="5">
        <v>7</v>
      </c>
      <c r="P633" s="6">
        <v>1880300</v>
      </c>
      <c r="Q633" s="5">
        <v>1043100</v>
      </c>
      <c r="R633" s="5">
        <v>837180</v>
      </c>
      <c r="S633" s="5">
        <v>0.88373000000000002</v>
      </c>
      <c r="T633" s="5">
        <f>LOG(Table2[[#This Row],[ratio heavy to light normalized]],2)</f>
        <v>-0.17832243472749459</v>
      </c>
      <c r="U633" s="5">
        <v>0.87879217624024497</v>
      </c>
    </row>
    <row r="634" spans="1:21" x14ac:dyDescent="0.3">
      <c r="A634" s="5" t="s">
        <v>1283</v>
      </c>
      <c r="B634" s="5" t="s">
        <v>1284</v>
      </c>
      <c r="C634" s="5">
        <v>32</v>
      </c>
      <c r="D634" s="5">
        <v>32</v>
      </c>
      <c r="E634" s="5">
        <v>1</v>
      </c>
      <c r="F634" s="6">
        <v>152.34100000000001</v>
      </c>
      <c r="G634" s="7">
        <v>1.76636E-44</v>
      </c>
      <c r="H634" s="5">
        <v>152.34</v>
      </c>
      <c r="I634" s="5" t="s">
        <v>11</v>
      </c>
      <c r="J634" s="5">
        <v>1</v>
      </c>
      <c r="K634" s="5" t="s">
        <v>2</v>
      </c>
      <c r="L634" s="5" t="s">
        <v>3585</v>
      </c>
      <c r="M634" s="5" t="s">
        <v>3586</v>
      </c>
      <c r="N634" s="5" t="s">
        <v>3587</v>
      </c>
      <c r="O634" s="5">
        <v>8</v>
      </c>
      <c r="P634" s="6">
        <v>3099000</v>
      </c>
      <c r="Q634" s="5">
        <v>1724700</v>
      </c>
      <c r="R634" s="5">
        <v>1374300</v>
      </c>
      <c r="S634" s="5">
        <v>0.88353999999999999</v>
      </c>
      <c r="T634" s="5">
        <f>LOG(Table2[[#This Row],[ratio heavy to light normalized]],2)</f>
        <v>-0.17863264432628259</v>
      </c>
      <c r="U634" s="5">
        <v>0.78343232324185597</v>
      </c>
    </row>
    <row r="635" spans="1:21" x14ac:dyDescent="0.3">
      <c r="A635" s="5" t="s">
        <v>422</v>
      </c>
      <c r="B635" s="5" t="s">
        <v>423</v>
      </c>
      <c r="C635" s="5">
        <v>446</v>
      </c>
      <c r="D635" s="5">
        <v>446</v>
      </c>
      <c r="E635" s="5">
        <v>1</v>
      </c>
      <c r="F635" s="6">
        <v>65.5625</v>
      </c>
      <c r="G635" s="7">
        <v>1.8435099999999999E-5</v>
      </c>
      <c r="H635" s="5">
        <v>65.563000000000002</v>
      </c>
      <c r="I635" s="5"/>
      <c r="J635" s="5">
        <v>1</v>
      </c>
      <c r="K635" s="5" t="s">
        <v>2</v>
      </c>
      <c r="L635" s="5" t="s">
        <v>4339</v>
      </c>
      <c r="M635" s="5" t="s">
        <v>4340</v>
      </c>
      <c r="N635" s="5" t="s">
        <v>4341</v>
      </c>
      <c r="O635" s="5">
        <v>11</v>
      </c>
      <c r="P635" s="6">
        <v>434380</v>
      </c>
      <c r="Q635" s="5">
        <v>214480</v>
      </c>
      <c r="R635" s="5">
        <v>219900</v>
      </c>
      <c r="S635" s="5">
        <v>0.88353000000000004</v>
      </c>
      <c r="T635" s="5">
        <f>LOG(Table2[[#This Row],[ratio heavy to light normalized]],2)</f>
        <v>-0.1786489729951061</v>
      </c>
      <c r="U635" s="5">
        <v>0.95992498782520197</v>
      </c>
    </row>
    <row r="636" spans="1:21" x14ac:dyDescent="0.3">
      <c r="A636" s="5" t="s">
        <v>859</v>
      </c>
      <c r="B636" s="5" t="s">
        <v>860</v>
      </c>
      <c r="C636" s="5">
        <v>298</v>
      </c>
      <c r="D636" s="5">
        <v>298</v>
      </c>
      <c r="E636" s="5">
        <v>1</v>
      </c>
      <c r="F636" s="6">
        <v>100.72199999999999</v>
      </c>
      <c r="G636" s="7">
        <v>2.01145E-14</v>
      </c>
      <c r="H636" s="5">
        <v>100.72</v>
      </c>
      <c r="I636" s="5" t="s">
        <v>11</v>
      </c>
      <c r="J636" s="5">
        <v>1</v>
      </c>
      <c r="K636" s="5" t="s">
        <v>2</v>
      </c>
      <c r="L636" s="5" t="s">
        <v>3992</v>
      </c>
      <c r="M636" s="5" t="s">
        <v>3993</v>
      </c>
      <c r="N636" s="5" t="s">
        <v>3994</v>
      </c>
      <c r="O636" s="5">
        <v>4</v>
      </c>
      <c r="P636" s="6">
        <v>2061700</v>
      </c>
      <c r="Q636" s="5">
        <v>1087300</v>
      </c>
      <c r="R636" s="5">
        <v>974440</v>
      </c>
      <c r="S636" s="5">
        <v>0.88268999999999997</v>
      </c>
      <c r="T636" s="5">
        <f>LOG(Table2[[#This Row],[ratio heavy to light normalized]],2)</f>
        <v>-0.18002124137131789</v>
      </c>
      <c r="U636" s="5">
        <v>0.87536867152122</v>
      </c>
    </row>
    <row r="637" spans="1:21" x14ac:dyDescent="0.3">
      <c r="A637" s="5" t="s">
        <v>3987</v>
      </c>
      <c r="B637" s="5" t="s">
        <v>3988</v>
      </c>
      <c r="C637" s="5">
        <v>33</v>
      </c>
      <c r="D637" s="5">
        <v>33</v>
      </c>
      <c r="E637" s="5">
        <v>1</v>
      </c>
      <c r="F637" s="6">
        <v>100.55200000000001</v>
      </c>
      <c r="G637" s="7">
        <v>4.4666599999999997E-20</v>
      </c>
      <c r="H637" s="5">
        <v>100.55</v>
      </c>
      <c r="I637" s="5" t="s">
        <v>11</v>
      </c>
      <c r="J637" s="5">
        <v>1</v>
      </c>
      <c r="K637" s="5" t="s">
        <v>2</v>
      </c>
      <c r="L637" s="5" t="s">
        <v>3989</v>
      </c>
      <c r="M637" s="5" t="s">
        <v>3990</v>
      </c>
      <c r="N637" s="5" t="s">
        <v>3991</v>
      </c>
      <c r="O637" s="5">
        <v>8</v>
      </c>
      <c r="P637" s="6">
        <v>1136100</v>
      </c>
      <c r="Q637" s="5">
        <v>579030</v>
      </c>
      <c r="R637" s="5">
        <v>557050</v>
      </c>
      <c r="S637" s="5">
        <v>0.88253000000000004</v>
      </c>
      <c r="T637" s="5">
        <f>LOG(Table2[[#This Row],[ratio heavy to light normalized]],2)</f>
        <v>-0.18028277387964464</v>
      </c>
      <c r="U637" s="5">
        <v>0.87484182596242899</v>
      </c>
    </row>
    <row r="638" spans="1:21" x14ac:dyDescent="0.3">
      <c r="A638" s="5" t="s">
        <v>422</v>
      </c>
      <c r="B638" s="5" t="s">
        <v>423</v>
      </c>
      <c r="C638" s="5">
        <v>341</v>
      </c>
      <c r="D638" s="5">
        <v>341</v>
      </c>
      <c r="E638" s="5">
        <v>1</v>
      </c>
      <c r="F638" s="6">
        <v>26.9693</v>
      </c>
      <c r="G638" s="5">
        <v>0.208893</v>
      </c>
      <c r="H638" s="5">
        <v>26.969000000000001</v>
      </c>
      <c r="I638" s="5" t="s">
        <v>11</v>
      </c>
      <c r="J638" s="5">
        <v>1</v>
      </c>
      <c r="K638" s="5" t="s">
        <v>2</v>
      </c>
      <c r="L638" s="5" t="s">
        <v>2645</v>
      </c>
      <c r="M638" s="5" t="s">
        <v>2646</v>
      </c>
      <c r="N638" s="5" t="s">
        <v>2647</v>
      </c>
      <c r="O638" s="5">
        <v>7</v>
      </c>
      <c r="P638" s="6">
        <v>1694900</v>
      </c>
      <c r="Q638" s="5">
        <v>906450</v>
      </c>
      <c r="R638" s="5">
        <v>788460</v>
      </c>
      <c r="S638" s="5">
        <v>0.78468000000000004</v>
      </c>
      <c r="T638" s="5">
        <f>LOG(Table2[[#This Row],[ratio heavy to light normalized]],2)</f>
        <v>-0.34982366576903623</v>
      </c>
      <c r="U638" s="5">
        <v>0.554601390272213</v>
      </c>
    </row>
    <row r="639" spans="1:21" x14ac:dyDescent="0.3">
      <c r="A639" s="5" t="s">
        <v>3559</v>
      </c>
      <c r="B639" s="5" t="s">
        <v>3560</v>
      </c>
      <c r="C639" s="5">
        <v>69</v>
      </c>
      <c r="D639" s="5">
        <v>69</v>
      </c>
      <c r="E639" s="5">
        <v>1</v>
      </c>
      <c r="F639" s="6">
        <v>135.71100000000001</v>
      </c>
      <c r="G639" s="7">
        <v>5.6876999999999998E-34</v>
      </c>
      <c r="H639" s="5">
        <v>135.71</v>
      </c>
      <c r="I639" s="5" t="s">
        <v>11</v>
      </c>
      <c r="J639" s="5">
        <v>1</v>
      </c>
      <c r="K639" s="5" t="s">
        <v>2</v>
      </c>
      <c r="L639" s="5" t="s">
        <v>3561</v>
      </c>
      <c r="M639" s="5" t="s">
        <v>3562</v>
      </c>
      <c r="N639" s="5" t="s">
        <v>3563</v>
      </c>
      <c r="O639" s="5">
        <v>5</v>
      </c>
      <c r="P639" s="6">
        <v>3598800</v>
      </c>
      <c r="Q639" s="5">
        <v>1891700</v>
      </c>
      <c r="R639" s="5">
        <v>1707100</v>
      </c>
      <c r="S639" s="5">
        <v>0.88205999999999996</v>
      </c>
      <c r="T639" s="5">
        <f>LOG(Table2[[#This Row],[ratio heavy to light normalized]],2)</f>
        <v>-0.18105129992280775</v>
      </c>
      <c r="U639" s="5">
        <v>0.77715184321466202</v>
      </c>
    </row>
    <row r="640" spans="1:21" x14ac:dyDescent="0.3">
      <c r="A640" s="5" t="s">
        <v>4380</v>
      </c>
      <c r="B640" s="5" t="s">
        <v>4381</v>
      </c>
      <c r="C640" s="5">
        <v>61</v>
      </c>
      <c r="D640" s="5">
        <v>61</v>
      </c>
      <c r="E640" s="5">
        <v>1</v>
      </c>
      <c r="F640" s="6">
        <v>74.518600000000006</v>
      </c>
      <c r="G640" s="7">
        <v>1.8933799999999999E-14</v>
      </c>
      <c r="H640" s="5">
        <v>74.519000000000005</v>
      </c>
      <c r="I640" s="5" t="s">
        <v>11</v>
      </c>
      <c r="J640" s="5">
        <v>1</v>
      </c>
      <c r="K640" s="5" t="s">
        <v>2</v>
      </c>
      <c r="L640" s="5" t="s">
        <v>4382</v>
      </c>
      <c r="M640" s="5" t="s">
        <v>4383</v>
      </c>
      <c r="N640" s="5" t="s">
        <v>4384</v>
      </c>
      <c r="O640" s="5">
        <v>8</v>
      </c>
      <c r="P640" s="6">
        <v>492410</v>
      </c>
      <c r="Q640" s="5">
        <v>257110</v>
      </c>
      <c r="R640" s="5">
        <v>235300</v>
      </c>
      <c r="S640" s="5">
        <v>0.88161999999999996</v>
      </c>
      <c r="T640" s="5">
        <f>LOG(Table2[[#This Row],[ratio heavy to light normalized]],2)</f>
        <v>-0.18177114233317776</v>
      </c>
      <c r="U640" s="5">
        <v>0.96551255259736002</v>
      </c>
    </row>
    <row r="641" spans="1:21" x14ac:dyDescent="0.3">
      <c r="A641" s="5" t="s">
        <v>1692</v>
      </c>
      <c r="B641" s="5" t="s">
        <v>1693</v>
      </c>
      <c r="C641" s="5">
        <v>405</v>
      </c>
      <c r="D641" s="5">
        <v>405</v>
      </c>
      <c r="E641" s="5">
        <v>1</v>
      </c>
      <c r="F641" s="6">
        <v>29.053100000000001</v>
      </c>
      <c r="G641" s="5">
        <v>0.21043100000000001</v>
      </c>
      <c r="H641" s="5">
        <v>29.053000000000001</v>
      </c>
      <c r="I641" s="5" t="s">
        <v>11</v>
      </c>
      <c r="J641" s="5">
        <v>1</v>
      </c>
      <c r="K641" s="5" t="s">
        <v>2</v>
      </c>
      <c r="L641" s="5" t="s">
        <v>2656</v>
      </c>
      <c r="M641" s="5" t="s">
        <v>2657</v>
      </c>
      <c r="N641" s="5" t="s">
        <v>2658</v>
      </c>
      <c r="O641" s="5">
        <v>9</v>
      </c>
      <c r="P641" s="6">
        <v>526980</v>
      </c>
      <c r="Q641" s="5">
        <v>262530</v>
      </c>
      <c r="R641" s="5">
        <v>264450</v>
      </c>
      <c r="S641" s="5">
        <v>1.0437000000000001</v>
      </c>
      <c r="T641" s="5">
        <f>LOG(Table2[[#This Row],[ratio heavy to light normalized]],2)</f>
        <v>6.1707084791597165E-2</v>
      </c>
      <c r="U641" s="5">
        <v>0.55522234430333905</v>
      </c>
    </row>
    <row r="642" spans="1:21" x14ac:dyDescent="0.3">
      <c r="A642" s="5" t="s">
        <v>628</v>
      </c>
      <c r="B642" s="5" t="s">
        <v>629</v>
      </c>
      <c r="C642" s="5">
        <v>271</v>
      </c>
      <c r="D642" s="5">
        <v>271</v>
      </c>
      <c r="E642" s="5">
        <v>1</v>
      </c>
      <c r="F642" s="6">
        <v>73.273300000000006</v>
      </c>
      <c r="G642" s="7">
        <v>1.53137E-7</v>
      </c>
      <c r="H642" s="5">
        <v>73.272999999999996</v>
      </c>
      <c r="I642" s="5"/>
      <c r="J642" s="5">
        <v>1</v>
      </c>
      <c r="K642" s="5" t="s">
        <v>2</v>
      </c>
      <c r="L642" s="5" t="s">
        <v>3542</v>
      </c>
      <c r="M642" s="5" t="s">
        <v>3543</v>
      </c>
      <c r="N642" s="5" t="s">
        <v>3544</v>
      </c>
      <c r="O642" s="5">
        <v>11</v>
      </c>
      <c r="P642" s="6">
        <v>4289700</v>
      </c>
      <c r="Q642" s="5">
        <v>2263300</v>
      </c>
      <c r="R642" s="5">
        <v>2026400</v>
      </c>
      <c r="S642" s="5">
        <v>0.88117999999999996</v>
      </c>
      <c r="T642" s="5">
        <f>LOG(Table2[[#This Row],[ratio heavy to light normalized]],2)</f>
        <v>-0.18249134409307552</v>
      </c>
      <c r="U642" s="5">
        <v>0.77341938237349594</v>
      </c>
    </row>
    <row r="643" spans="1:21" x14ac:dyDescent="0.3">
      <c r="A643" s="5" t="s">
        <v>2797</v>
      </c>
      <c r="B643" s="5" t="s">
        <v>2798</v>
      </c>
      <c r="C643" s="5">
        <v>216</v>
      </c>
      <c r="D643" s="5">
        <v>216</v>
      </c>
      <c r="E643" s="5">
        <v>1</v>
      </c>
      <c r="F643" s="6">
        <v>159.93700000000001</v>
      </c>
      <c r="G643" s="7">
        <v>3.7124499999999999E-56</v>
      </c>
      <c r="H643" s="5">
        <v>159.94</v>
      </c>
      <c r="I643" s="5" t="s">
        <v>11</v>
      </c>
      <c r="J643" s="5">
        <v>1</v>
      </c>
      <c r="K643" s="5" t="s">
        <v>2</v>
      </c>
      <c r="L643" s="5" t="s">
        <v>3526</v>
      </c>
      <c r="M643" s="5" t="s">
        <v>3527</v>
      </c>
      <c r="N643" s="5" t="s">
        <v>3528</v>
      </c>
      <c r="O643" s="5">
        <v>5</v>
      </c>
      <c r="P643" s="6">
        <v>5797400</v>
      </c>
      <c r="Q643" s="5">
        <v>3057800</v>
      </c>
      <c r="R643" s="5">
        <v>2739600</v>
      </c>
      <c r="S643" s="5">
        <v>0.88007999999999997</v>
      </c>
      <c r="T643" s="5">
        <f>LOG(Table2[[#This Row],[ratio heavy to light normalized]],2)</f>
        <v>-0.18429342300398968</v>
      </c>
      <c r="U643" s="5">
        <v>0.76875594141894199</v>
      </c>
    </row>
    <row r="644" spans="1:21" x14ac:dyDescent="0.3">
      <c r="A644" s="5" t="s">
        <v>1719</v>
      </c>
      <c r="B644" s="5" t="s">
        <v>1720</v>
      </c>
      <c r="C644" s="5">
        <v>211</v>
      </c>
      <c r="D644" s="5">
        <v>211</v>
      </c>
      <c r="E644" s="5">
        <v>1</v>
      </c>
      <c r="F644" s="6">
        <v>83.6143</v>
      </c>
      <c r="G644" s="7">
        <v>2.2580999999999999E-20</v>
      </c>
      <c r="H644" s="5">
        <v>109.01</v>
      </c>
      <c r="I644" s="5" t="s">
        <v>11</v>
      </c>
      <c r="J644" s="5">
        <v>1</v>
      </c>
      <c r="K644" s="5" t="s">
        <v>2</v>
      </c>
      <c r="L644" s="5" t="s">
        <v>3520</v>
      </c>
      <c r="M644" s="5" t="s">
        <v>3521</v>
      </c>
      <c r="N644" s="5" t="s">
        <v>3522</v>
      </c>
      <c r="O644" s="5">
        <v>3</v>
      </c>
      <c r="P644" s="6">
        <v>3738100</v>
      </c>
      <c r="Q644" s="5">
        <v>1754100</v>
      </c>
      <c r="R644" s="5">
        <v>1984000</v>
      </c>
      <c r="S644" s="5">
        <v>0.87934000000000001</v>
      </c>
      <c r="T644" s="5">
        <f>LOG(Table2[[#This Row],[ratio heavy to light normalized]],2)</f>
        <v>-0.18550699837906759</v>
      </c>
      <c r="U644" s="5">
        <v>0.76562013350574498</v>
      </c>
    </row>
    <row r="645" spans="1:21" x14ac:dyDescent="0.3">
      <c r="A645" s="5" t="s">
        <v>2447</v>
      </c>
      <c r="B645" s="5" t="s">
        <v>2448</v>
      </c>
      <c r="C645" s="5">
        <v>107</v>
      </c>
      <c r="D645" s="5">
        <v>107</v>
      </c>
      <c r="E645" s="5">
        <v>1</v>
      </c>
      <c r="F645" s="6">
        <v>37.593699999999998</v>
      </c>
      <c r="G645" s="5">
        <v>6.6367300000000004E-3</v>
      </c>
      <c r="H645" s="5">
        <v>37.594000000000001</v>
      </c>
      <c r="I645" s="5" t="s">
        <v>11</v>
      </c>
      <c r="J645" s="5">
        <v>1</v>
      </c>
      <c r="K645" s="5" t="s">
        <v>2</v>
      </c>
      <c r="L645" s="5" t="s">
        <v>4410</v>
      </c>
      <c r="M645" s="5" t="s">
        <v>4411</v>
      </c>
      <c r="N645" s="5" t="s">
        <v>4412</v>
      </c>
      <c r="O645" s="5">
        <v>5</v>
      </c>
      <c r="P645" s="6">
        <v>601700</v>
      </c>
      <c r="Q645" s="5">
        <v>297850</v>
      </c>
      <c r="R645" s="5">
        <v>303850</v>
      </c>
      <c r="S645" s="5">
        <v>0.87926000000000004</v>
      </c>
      <c r="T645" s="5">
        <f>LOG(Table2[[#This Row],[ratio heavy to light normalized]],2)</f>
        <v>-0.18563825688395863</v>
      </c>
      <c r="U645" s="5">
        <v>0.97243562065822797</v>
      </c>
    </row>
    <row r="646" spans="1:21" x14ac:dyDescent="0.3">
      <c r="A646" s="5" t="s">
        <v>603</v>
      </c>
      <c r="B646" s="5" t="s">
        <v>604</v>
      </c>
      <c r="C646" s="5">
        <v>504</v>
      </c>
      <c r="D646" s="5">
        <v>504</v>
      </c>
      <c r="E646" s="5">
        <v>1</v>
      </c>
      <c r="F646" s="6">
        <v>82.907700000000006</v>
      </c>
      <c r="G646" s="7">
        <v>6.7385300000000002E-13</v>
      </c>
      <c r="H646" s="5">
        <v>84.566000000000003</v>
      </c>
      <c r="I646" s="5" t="s">
        <v>11</v>
      </c>
      <c r="J646" s="5">
        <v>1</v>
      </c>
      <c r="K646" s="5" t="s">
        <v>2</v>
      </c>
      <c r="L646" s="5" t="s">
        <v>3517</v>
      </c>
      <c r="M646" s="5" t="s">
        <v>3518</v>
      </c>
      <c r="N646" s="5" t="s">
        <v>3519</v>
      </c>
      <c r="O646" s="5">
        <v>10</v>
      </c>
      <c r="P646" s="6">
        <v>8096900</v>
      </c>
      <c r="Q646" s="5">
        <v>3911400</v>
      </c>
      <c r="R646" s="5">
        <v>4185500</v>
      </c>
      <c r="S646" s="5">
        <v>0.87914000000000003</v>
      </c>
      <c r="T646" s="5">
        <f>LOG(Table2[[#This Row],[ratio heavy to light normalized]],2)</f>
        <v>-0.18583516703543207</v>
      </c>
      <c r="U646" s="5">
        <v>0.76477282178792005</v>
      </c>
    </row>
    <row r="647" spans="1:21" x14ac:dyDescent="0.3">
      <c r="A647" s="5" t="s">
        <v>2330</v>
      </c>
      <c r="B647" s="5" t="s">
        <v>2331</v>
      </c>
      <c r="C647" s="5">
        <v>9</v>
      </c>
      <c r="D647" s="5">
        <v>9</v>
      </c>
      <c r="E647" s="5">
        <v>1</v>
      </c>
      <c r="F647" s="6">
        <v>50.353700000000003</v>
      </c>
      <c r="G647" s="5">
        <v>4.9024300000000002E-3</v>
      </c>
      <c r="H647" s="5">
        <v>50.353999999999999</v>
      </c>
      <c r="I647" s="5"/>
      <c r="J647" s="5">
        <v>1</v>
      </c>
      <c r="K647" s="5" t="s">
        <v>2</v>
      </c>
      <c r="L647" s="5" t="s">
        <v>3514</v>
      </c>
      <c r="M647" s="5" t="s">
        <v>3515</v>
      </c>
      <c r="N647" s="5" t="s">
        <v>3516</v>
      </c>
      <c r="O647" s="5">
        <v>6</v>
      </c>
      <c r="P647" s="6">
        <v>5766700</v>
      </c>
      <c r="Q647" s="5">
        <v>2925600</v>
      </c>
      <c r="R647" s="5">
        <v>2841100</v>
      </c>
      <c r="S647" s="5">
        <v>0.87899000000000005</v>
      </c>
      <c r="T647" s="5">
        <f>LOG(Table2[[#This Row],[ratio heavy to light normalized]],2)</f>
        <v>-0.18608134252491051</v>
      </c>
      <c r="U647" s="5">
        <v>0.76413739620741195</v>
      </c>
    </row>
    <row r="648" spans="1:21" x14ac:dyDescent="0.3">
      <c r="A648" s="5" t="s">
        <v>697</v>
      </c>
      <c r="B648" s="5" t="s">
        <v>698</v>
      </c>
      <c r="C648" s="5">
        <v>449</v>
      </c>
      <c r="D648" s="5">
        <v>449</v>
      </c>
      <c r="E648" s="5">
        <v>1</v>
      </c>
      <c r="F648" s="6">
        <v>52.784300000000002</v>
      </c>
      <c r="G648" s="7">
        <v>3.7124399999999999E-7</v>
      </c>
      <c r="H648" s="5">
        <v>52.783999999999999</v>
      </c>
      <c r="I648" s="5"/>
      <c r="J648" s="5">
        <v>1</v>
      </c>
      <c r="K648" s="5" t="s">
        <v>2</v>
      </c>
      <c r="L648" s="5" t="s">
        <v>4413</v>
      </c>
      <c r="M648" s="5" t="s">
        <v>4414</v>
      </c>
      <c r="N648" s="5" t="s">
        <v>4415</v>
      </c>
      <c r="O648" s="5">
        <v>13</v>
      </c>
      <c r="P648" s="6">
        <v>941810</v>
      </c>
      <c r="Q648" s="5">
        <v>454370</v>
      </c>
      <c r="R648" s="5">
        <v>487440</v>
      </c>
      <c r="S648" s="5">
        <v>0.87897000000000003</v>
      </c>
      <c r="T648" s="5">
        <f>LOG(Table2[[#This Row],[ratio heavy to light normalized]],2)</f>
        <v>-0.18611416909755046</v>
      </c>
      <c r="U648" s="5">
        <v>0.97328777244602005</v>
      </c>
    </row>
    <row r="649" spans="1:21" x14ac:dyDescent="0.3">
      <c r="A649" s="5" t="s">
        <v>432</v>
      </c>
      <c r="B649" s="5" t="s">
        <v>433</v>
      </c>
      <c r="C649" s="5">
        <v>29</v>
      </c>
      <c r="D649" s="5">
        <v>29</v>
      </c>
      <c r="E649" s="5">
        <v>1</v>
      </c>
      <c r="F649" s="6">
        <v>72.957899999999995</v>
      </c>
      <c r="G649" s="7">
        <v>1.7146500000000001E-7</v>
      </c>
      <c r="H649" s="5">
        <v>72.957999999999998</v>
      </c>
      <c r="I649" s="5" t="s">
        <v>11</v>
      </c>
      <c r="J649" s="5">
        <v>1</v>
      </c>
      <c r="K649" s="5" t="s">
        <v>2</v>
      </c>
      <c r="L649" s="5" t="s">
        <v>3937</v>
      </c>
      <c r="M649" s="5" t="s">
        <v>3938</v>
      </c>
      <c r="N649" s="5" t="s">
        <v>3939</v>
      </c>
      <c r="O649" s="5">
        <v>7</v>
      </c>
      <c r="P649" s="6">
        <v>1805300</v>
      </c>
      <c r="Q649" s="5">
        <v>918620</v>
      </c>
      <c r="R649" s="5">
        <v>886660</v>
      </c>
      <c r="S649" s="5">
        <v>0.87816000000000005</v>
      </c>
      <c r="T649" s="5">
        <f>LOG(Table2[[#This Row],[ratio heavy to light normalized]],2)</f>
        <v>-0.1874442733765683</v>
      </c>
      <c r="U649" s="5">
        <v>0.86043764470544204</v>
      </c>
    </row>
    <row r="650" spans="1:21" x14ac:dyDescent="0.3">
      <c r="A650" s="5" t="s">
        <v>3495</v>
      </c>
      <c r="B650" s="5" t="s">
        <v>3496</v>
      </c>
      <c r="C650" s="5">
        <v>19</v>
      </c>
      <c r="D650" s="5">
        <v>19</v>
      </c>
      <c r="E650" s="5">
        <v>1</v>
      </c>
      <c r="F650" s="6">
        <v>71.548000000000002</v>
      </c>
      <c r="G650" s="7">
        <v>7.6145300000000001E-8</v>
      </c>
      <c r="H650" s="5">
        <v>71.548000000000002</v>
      </c>
      <c r="I650" s="5"/>
      <c r="J650" s="5">
        <v>1</v>
      </c>
      <c r="K650" s="5" t="s">
        <v>2</v>
      </c>
      <c r="L650" s="5" t="s">
        <v>3497</v>
      </c>
      <c r="M650" s="5" t="s">
        <v>3498</v>
      </c>
      <c r="N650" s="5" t="s">
        <v>3499</v>
      </c>
      <c r="O650" s="5">
        <v>5</v>
      </c>
      <c r="P650" s="6">
        <v>3184400</v>
      </c>
      <c r="Q650" s="5">
        <v>1751400</v>
      </c>
      <c r="R650" s="5">
        <v>1433100</v>
      </c>
      <c r="S650" s="5">
        <v>0.87773999999999996</v>
      </c>
      <c r="T650" s="5">
        <f>LOG(Table2[[#This Row],[ratio heavy to light normalized]],2)</f>
        <v>-0.18813444016138445</v>
      </c>
      <c r="U650" s="5">
        <v>0.75884418492289496</v>
      </c>
    </row>
    <row r="651" spans="1:21" x14ac:dyDescent="0.3">
      <c r="A651" s="5" t="s">
        <v>2700</v>
      </c>
      <c r="B651" s="5" t="s">
        <v>2701</v>
      </c>
      <c r="C651" s="5">
        <v>47</v>
      </c>
      <c r="D651" s="5">
        <v>47</v>
      </c>
      <c r="E651" s="5">
        <v>1</v>
      </c>
      <c r="F651" s="6">
        <v>24.414999999999999</v>
      </c>
      <c r="G651" s="5">
        <v>0.337144</v>
      </c>
      <c r="H651" s="5">
        <v>24.414999999999999</v>
      </c>
      <c r="I651" s="5" t="s">
        <v>11</v>
      </c>
      <c r="J651" s="5">
        <v>1</v>
      </c>
      <c r="K651" s="5" t="s">
        <v>2</v>
      </c>
      <c r="L651" s="5" t="s">
        <v>2702</v>
      </c>
      <c r="M651" s="5" t="s">
        <v>2703</v>
      </c>
      <c r="N651" s="5" t="s">
        <v>2704</v>
      </c>
      <c r="O651" s="5">
        <v>11</v>
      </c>
      <c r="P651" s="6">
        <v>215210</v>
      </c>
      <c r="Q651" s="5">
        <v>115320</v>
      </c>
      <c r="R651" s="5">
        <v>99889</v>
      </c>
      <c r="S651" s="5">
        <v>0.74270999999999998</v>
      </c>
      <c r="T651" s="5">
        <f>LOG(Table2[[#This Row],[ratio heavy to light normalized]],2)</f>
        <v>-0.42912909170393565</v>
      </c>
      <c r="U651" s="5">
        <v>0.56420242745080995</v>
      </c>
    </row>
    <row r="652" spans="1:21" x14ac:dyDescent="0.3">
      <c r="A652" s="5" t="s">
        <v>623</v>
      </c>
      <c r="B652" s="5" t="s">
        <v>624</v>
      </c>
      <c r="C652" s="5">
        <v>99</v>
      </c>
      <c r="D652" s="5">
        <v>99</v>
      </c>
      <c r="E652" s="5">
        <v>1</v>
      </c>
      <c r="F652" s="6">
        <v>86.879000000000005</v>
      </c>
      <c r="G652" s="7">
        <v>1.22977E-10</v>
      </c>
      <c r="H652" s="5">
        <v>86.879000000000005</v>
      </c>
      <c r="I652" s="5"/>
      <c r="J652" s="5">
        <v>1</v>
      </c>
      <c r="K652" s="5" t="s">
        <v>2</v>
      </c>
      <c r="L652" s="5" t="s">
        <v>3926</v>
      </c>
      <c r="M652" s="5" t="s">
        <v>3927</v>
      </c>
      <c r="N652" s="5" t="s">
        <v>3928</v>
      </c>
      <c r="O652" s="5">
        <v>10</v>
      </c>
      <c r="P652" s="6">
        <v>1913300</v>
      </c>
      <c r="Q652" s="5">
        <v>911320</v>
      </c>
      <c r="R652" s="5">
        <v>1002000</v>
      </c>
      <c r="S652" s="5">
        <v>0.87722999999999995</v>
      </c>
      <c r="T652" s="5">
        <f>LOG(Table2[[#This Row],[ratio heavy to light normalized]],2)</f>
        <v>-0.18897294394385994</v>
      </c>
      <c r="U652" s="5">
        <v>0.85736881034835</v>
      </c>
    </row>
    <row r="653" spans="1:21" x14ac:dyDescent="0.3">
      <c r="A653" s="5" t="s">
        <v>126</v>
      </c>
      <c r="B653" s="5" t="s">
        <v>127</v>
      </c>
      <c r="C653" s="5">
        <v>345</v>
      </c>
      <c r="D653" s="5">
        <v>345</v>
      </c>
      <c r="E653" s="5">
        <v>1</v>
      </c>
      <c r="F653" s="6">
        <v>51.7258</v>
      </c>
      <c r="G653" s="7">
        <v>1.72665E-44</v>
      </c>
      <c r="H653" s="5">
        <v>131.13</v>
      </c>
      <c r="I653" s="5" t="s">
        <v>11</v>
      </c>
      <c r="J653" s="5">
        <v>1</v>
      </c>
      <c r="K653" s="5" t="s">
        <v>2</v>
      </c>
      <c r="L653" s="5" t="s">
        <v>3479</v>
      </c>
      <c r="M653" s="5" t="s">
        <v>3480</v>
      </c>
      <c r="N653" s="5" t="s">
        <v>3481</v>
      </c>
      <c r="O653" s="5">
        <v>7</v>
      </c>
      <c r="P653" s="6">
        <v>11133000</v>
      </c>
      <c r="Q653" s="5">
        <v>5422900</v>
      </c>
      <c r="R653" s="5">
        <v>5710500</v>
      </c>
      <c r="S653" s="5">
        <v>0.87626999999999999</v>
      </c>
      <c r="T653" s="5">
        <f>LOG(Table2[[#This Row],[ratio heavy to light normalized]],2)</f>
        <v>-0.19055262729444752</v>
      </c>
      <c r="U653" s="5">
        <v>0.75262419526322899</v>
      </c>
    </row>
    <row r="654" spans="1:21" x14ac:dyDescent="0.3">
      <c r="A654" s="5" t="s">
        <v>1900</v>
      </c>
      <c r="B654" s="5" t="s">
        <v>1901</v>
      </c>
      <c r="C654" s="5">
        <v>211</v>
      </c>
      <c r="D654" s="5">
        <v>211</v>
      </c>
      <c r="E654" s="5">
        <v>1</v>
      </c>
      <c r="F654" s="6">
        <v>75.819400000000002</v>
      </c>
      <c r="G654" s="7">
        <v>8.6925799999999996E-8</v>
      </c>
      <c r="H654" s="5">
        <v>75.819000000000003</v>
      </c>
      <c r="I654" s="5" t="s">
        <v>11</v>
      </c>
      <c r="J654" s="5">
        <v>1</v>
      </c>
      <c r="K654" s="5" t="s">
        <v>2</v>
      </c>
      <c r="L654" s="5" t="s">
        <v>3909</v>
      </c>
      <c r="M654" s="5" t="s">
        <v>3910</v>
      </c>
      <c r="N654" s="5" t="s">
        <v>3911</v>
      </c>
      <c r="O654" s="5">
        <v>7</v>
      </c>
      <c r="P654" s="6">
        <v>1049900</v>
      </c>
      <c r="Q654" s="5">
        <v>599170</v>
      </c>
      <c r="R654" s="5">
        <v>450770</v>
      </c>
      <c r="S654" s="5">
        <v>0.87602000000000002</v>
      </c>
      <c r="T654" s="5">
        <f>LOG(Table2[[#This Row],[ratio heavy to light normalized]],2)</f>
        <v>-0.19096428719397254</v>
      </c>
      <c r="U654" s="5">
        <v>0.85337439004696203</v>
      </c>
    </row>
    <row r="655" spans="1:21" x14ac:dyDescent="0.3">
      <c r="A655" s="5" t="s">
        <v>2737</v>
      </c>
      <c r="B655" s="5" t="s">
        <v>2738</v>
      </c>
      <c r="C655" s="5">
        <v>246</v>
      </c>
      <c r="D655" s="5">
        <v>246</v>
      </c>
      <c r="E655" s="5">
        <v>1</v>
      </c>
      <c r="F655" s="6">
        <v>48.526899999999998</v>
      </c>
      <c r="G655" s="7">
        <v>7.9816999999999996E-54</v>
      </c>
      <c r="H655" s="5">
        <v>143.97999999999999</v>
      </c>
      <c r="I655" s="5" t="s">
        <v>11</v>
      </c>
      <c r="J655" s="5">
        <v>1</v>
      </c>
      <c r="K655" s="5" t="s">
        <v>2</v>
      </c>
      <c r="L655" s="5" t="s">
        <v>3473</v>
      </c>
      <c r="M655" s="5" t="s">
        <v>3474</v>
      </c>
      <c r="N655" s="5" t="s">
        <v>3475</v>
      </c>
      <c r="O655" s="5">
        <v>7</v>
      </c>
      <c r="P655" s="6">
        <v>3217300</v>
      </c>
      <c r="Q655" s="5">
        <v>1770600</v>
      </c>
      <c r="R655" s="5">
        <v>1446700</v>
      </c>
      <c r="S655" s="5">
        <v>0.87556999999999996</v>
      </c>
      <c r="T655" s="5">
        <f>LOG(Table2[[#This Row],[ratio heavy to light normalized]],2)</f>
        <v>-0.19170557115047304</v>
      </c>
      <c r="U655" s="5">
        <v>0.74966424380327401</v>
      </c>
    </row>
    <row r="656" spans="1:21" x14ac:dyDescent="0.3">
      <c r="A656" s="5" t="s">
        <v>2760</v>
      </c>
      <c r="B656" s="5" t="s">
        <v>2761</v>
      </c>
      <c r="C656" s="5">
        <v>27</v>
      </c>
      <c r="D656" s="5">
        <v>27</v>
      </c>
      <c r="E656" s="5">
        <v>1</v>
      </c>
      <c r="F656" s="6">
        <v>103.751</v>
      </c>
      <c r="G656" s="7">
        <v>9.6526299999999996E-20</v>
      </c>
      <c r="H656" s="5">
        <v>103.75</v>
      </c>
      <c r="I656" s="5" t="s">
        <v>11</v>
      </c>
      <c r="J656" s="5">
        <v>1</v>
      </c>
      <c r="K656" s="5" t="s">
        <v>2</v>
      </c>
      <c r="L656" s="5" t="s">
        <v>3906</v>
      </c>
      <c r="M656" s="5" t="s">
        <v>3907</v>
      </c>
      <c r="N656" s="5" t="s">
        <v>3908</v>
      </c>
      <c r="O656" s="5">
        <v>5</v>
      </c>
      <c r="P656" s="6">
        <v>1269600</v>
      </c>
      <c r="Q656" s="5">
        <v>594730</v>
      </c>
      <c r="R656" s="5">
        <v>674870</v>
      </c>
      <c r="S656" s="5">
        <v>0.87544</v>
      </c>
      <c r="T656" s="5">
        <f>LOG(Table2[[#This Row],[ratio heavy to light normalized]],2)</f>
        <v>-0.19191979077875623</v>
      </c>
      <c r="U656" s="5">
        <v>0.85145907997778003</v>
      </c>
    </row>
    <row r="657" spans="1:21" x14ac:dyDescent="0.3">
      <c r="A657" s="5" t="s">
        <v>1513</v>
      </c>
      <c r="B657" s="5" t="s">
        <v>1514</v>
      </c>
      <c r="C657" s="5">
        <v>84</v>
      </c>
      <c r="D657" s="5">
        <v>84</v>
      </c>
      <c r="E657" s="5">
        <v>1</v>
      </c>
      <c r="F657" s="6">
        <v>48.315100000000001</v>
      </c>
      <c r="G657" s="7">
        <v>3.8930200000000004E-6</v>
      </c>
      <c r="H657" s="5">
        <v>48.314999999999998</v>
      </c>
      <c r="I657" s="5" t="s">
        <v>11</v>
      </c>
      <c r="J657" s="5">
        <v>1</v>
      </c>
      <c r="K657" s="5" t="s">
        <v>2</v>
      </c>
      <c r="L657" s="5" t="s">
        <v>3464</v>
      </c>
      <c r="M657" s="5" t="s">
        <v>3465</v>
      </c>
      <c r="N657" s="5" t="s">
        <v>3466</v>
      </c>
      <c r="O657" s="5">
        <v>9</v>
      </c>
      <c r="P657" s="6">
        <v>4717100</v>
      </c>
      <c r="Q657" s="5">
        <v>2646000</v>
      </c>
      <c r="R657" s="5">
        <v>2071100</v>
      </c>
      <c r="S657" s="5">
        <v>0.87516000000000005</v>
      </c>
      <c r="T657" s="5">
        <f>LOG(Table2[[#This Row],[ratio heavy to light normalized]],2)</f>
        <v>-0.19238129496577047</v>
      </c>
      <c r="U657" s="5">
        <v>0.74793116764815903</v>
      </c>
    </row>
    <row r="658" spans="1:21" x14ac:dyDescent="0.3">
      <c r="A658" s="5" t="s">
        <v>3459</v>
      </c>
      <c r="B658" s="5" t="s">
        <v>3460</v>
      </c>
      <c r="C658" s="5">
        <v>111</v>
      </c>
      <c r="D658" s="5">
        <v>111</v>
      </c>
      <c r="E658" s="5">
        <v>1</v>
      </c>
      <c r="F658" s="6">
        <v>74.162000000000006</v>
      </c>
      <c r="G658" s="7">
        <v>3.2491199999999998E-5</v>
      </c>
      <c r="H658" s="5">
        <v>74.162000000000006</v>
      </c>
      <c r="I658" s="5"/>
      <c r="J658" s="5">
        <v>1</v>
      </c>
      <c r="K658" s="5" t="s">
        <v>2</v>
      </c>
      <c r="L658" s="5" t="s">
        <v>3461</v>
      </c>
      <c r="M658" s="5" t="s">
        <v>3462</v>
      </c>
      <c r="N658" s="5" t="s">
        <v>3463</v>
      </c>
      <c r="O658" s="5">
        <v>8</v>
      </c>
      <c r="P658" s="6">
        <v>9308500</v>
      </c>
      <c r="Q658" s="5">
        <v>5008900</v>
      </c>
      <c r="R658" s="5">
        <v>4299700</v>
      </c>
      <c r="S658" s="5">
        <v>0.87504000000000004</v>
      </c>
      <c r="T658" s="5">
        <f>LOG(Table2[[#This Row],[ratio heavy to light normalized]],2)</f>
        <v>-0.19257912767652119</v>
      </c>
      <c r="U658" s="5">
        <v>0.74742401278307402</v>
      </c>
    </row>
    <row r="659" spans="1:21" x14ac:dyDescent="0.3">
      <c r="A659" s="5" t="s">
        <v>4144</v>
      </c>
      <c r="B659" s="5" t="s">
        <v>4145</v>
      </c>
      <c r="C659" s="5">
        <v>19</v>
      </c>
      <c r="D659" s="5">
        <v>19</v>
      </c>
      <c r="E659" s="5">
        <v>1</v>
      </c>
      <c r="F659" s="6">
        <v>62.2</v>
      </c>
      <c r="G659" s="5">
        <v>2.03413E-4</v>
      </c>
      <c r="H659" s="5">
        <v>62.2</v>
      </c>
      <c r="I659" s="5"/>
      <c r="J659" s="5">
        <v>1</v>
      </c>
      <c r="K659" s="5" t="s">
        <v>2</v>
      </c>
      <c r="L659" s="5" t="s">
        <v>4466</v>
      </c>
      <c r="M659" s="5" t="s">
        <v>4467</v>
      </c>
      <c r="N659" s="5" t="s">
        <v>4468</v>
      </c>
      <c r="O659" s="5">
        <v>5</v>
      </c>
      <c r="P659" s="6">
        <v>616550</v>
      </c>
      <c r="Q659" s="5">
        <v>307290</v>
      </c>
      <c r="R659" s="5">
        <v>309250</v>
      </c>
      <c r="S659" s="5">
        <v>0.87483</v>
      </c>
      <c r="T659" s="5">
        <f>LOG(Table2[[#This Row],[ratio heavy to light normalized]],2)</f>
        <v>-0.19292540021109947</v>
      </c>
      <c r="U659" s="5">
        <v>0.98548659340664302</v>
      </c>
    </row>
    <row r="660" spans="1:21" x14ac:dyDescent="0.3">
      <c r="A660" s="5" t="s">
        <v>3451</v>
      </c>
      <c r="B660" s="5" t="s">
        <v>3452</v>
      </c>
      <c r="C660" s="5">
        <v>108</v>
      </c>
      <c r="D660" s="5">
        <v>108</v>
      </c>
      <c r="E660" s="5">
        <v>1</v>
      </c>
      <c r="F660" s="6">
        <v>45.915399999999998</v>
      </c>
      <c r="G660" s="7">
        <v>1.2891300000000001E-7</v>
      </c>
      <c r="H660" s="5">
        <v>79.692999999999998</v>
      </c>
      <c r="I660" s="5"/>
      <c r="J660" s="5">
        <v>1</v>
      </c>
      <c r="K660" s="5" t="s">
        <v>2</v>
      </c>
      <c r="L660" s="5" t="s">
        <v>3453</v>
      </c>
      <c r="M660" s="5" t="s">
        <v>3454</v>
      </c>
      <c r="N660" s="5" t="s">
        <v>3455</v>
      </c>
      <c r="O660" s="5">
        <v>9</v>
      </c>
      <c r="P660" s="6">
        <v>5561600</v>
      </c>
      <c r="Q660" s="5">
        <v>2807200</v>
      </c>
      <c r="R660" s="5">
        <v>2754400</v>
      </c>
      <c r="S660" s="5">
        <v>0.87407000000000001</v>
      </c>
      <c r="T660" s="5">
        <f>LOG(Table2[[#This Row],[ratio heavy to light normalized]],2)</f>
        <v>-0.19417927213069905</v>
      </c>
      <c r="U660" s="5">
        <v>0.74332599133129995</v>
      </c>
    </row>
    <row r="661" spans="1:21" x14ac:dyDescent="0.3">
      <c r="A661" s="5" t="s">
        <v>564</v>
      </c>
      <c r="B661" s="5" t="s">
        <v>565</v>
      </c>
      <c r="C661" s="5">
        <v>544</v>
      </c>
      <c r="D661" s="5">
        <v>544</v>
      </c>
      <c r="E661" s="5">
        <v>1</v>
      </c>
      <c r="F661" s="6">
        <v>50.538600000000002</v>
      </c>
      <c r="G661" s="7">
        <v>5.6524499999999998E-7</v>
      </c>
      <c r="H661" s="5">
        <v>50.539000000000001</v>
      </c>
      <c r="I661" s="5"/>
      <c r="J661" s="5">
        <v>1</v>
      </c>
      <c r="K661" s="5" t="s">
        <v>2</v>
      </c>
      <c r="L661" s="5" t="s">
        <v>3861</v>
      </c>
      <c r="M661" s="5" t="s">
        <v>3862</v>
      </c>
      <c r="N661" s="5" t="s">
        <v>3863</v>
      </c>
      <c r="O661" s="5">
        <v>17</v>
      </c>
      <c r="P661" s="6">
        <v>1650000</v>
      </c>
      <c r="Q661" s="5">
        <v>1020800</v>
      </c>
      <c r="R661" s="5">
        <v>629210</v>
      </c>
      <c r="S661" s="5">
        <v>0.87304999999999999</v>
      </c>
      <c r="T661" s="5">
        <f>LOG(Table2[[#This Row],[ratio heavy to light normalized]],2)</f>
        <v>-0.19586381481682943</v>
      </c>
      <c r="U661" s="5">
        <v>0.84356266040528805</v>
      </c>
    </row>
    <row r="662" spans="1:21" x14ac:dyDescent="0.3">
      <c r="A662" s="5" t="s">
        <v>3415</v>
      </c>
      <c r="B662" s="5" t="s">
        <v>3416</v>
      </c>
      <c r="C662" s="5">
        <v>105</v>
      </c>
      <c r="D662" s="5">
        <v>105</v>
      </c>
      <c r="E662" s="5">
        <v>1</v>
      </c>
      <c r="F662" s="6">
        <v>130.006</v>
      </c>
      <c r="G662" s="7">
        <v>1.35267E-33</v>
      </c>
      <c r="H662" s="5">
        <v>130.01</v>
      </c>
      <c r="I662" s="5" t="s">
        <v>11</v>
      </c>
      <c r="J662" s="5">
        <v>1</v>
      </c>
      <c r="K662" s="5" t="s">
        <v>2</v>
      </c>
      <c r="L662" s="5" t="s">
        <v>3417</v>
      </c>
      <c r="M662" s="5" t="s">
        <v>3418</v>
      </c>
      <c r="N662" s="5" t="s">
        <v>3419</v>
      </c>
      <c r="O662" s="5">
        <v>8</v>
      </c>
      <c r="P662" s="6">
        <v>19497000</v>
      </c>
      <c r="Q662" s="5">
        <v>8986700</v>
      </c>
      <c r="R662" s="5">
        <v>10510000</v>
      </c>
      <c r="S662" s="5">
        <v>0.87282999999999999</v>
      </c>
      <c r="T662" s="5">
        <f>LOG(Table2[[#This Row],[ratio heavy to light normalized]],2)</f>
        <v>-0.19622740556839943</v>
      </c>
      <c r="U662" s="5">
        <v>0.73809126200859498</v>
      </c>
    </row>
    <row r="663" spans="1:21" x14ac:dyDescent="0.3">
      <c r="A663" s="5" t="s">
        <v>417</v>
      </c>
      <c r="B663" s="5" t="s">
        <v>418</v>
      </c>
      <c r="C663" s="5">
        <v>596</v>
      </c>
      <c r="D663" s="5">
        <v>596</v>
      </c>
      <c r="E663" s="5">
        <v>1</v>
      </c>
      <c r="F663" s="6">
        <v>155.06800000000001</v>
      </c>
      <c r="G663" s="7">
        <v>3.4002499999999999E-51</v>
      </c>
      <c r="H663" s="5">
        <v>155.07</v>
      </c>
      <c r="I663" s="5" t="s">
        <v>11</v>
      </c>
      <c r="J663" s="5">
        <v>1</v>
      </c>
      <c r="K663" s="5" t="s">
        <v>2</v>
      </c>
      <c r="L663" s="5" t="s">
        <v>3388</v>
      </c>
      <c r="M663" s="5" t="s">
        <v>3389</v>
      </c>
      <c r="N663" s="5" t="s">
        <v>3390</v>
      </c>
      <c r="O663" s="5">
        <v>9</v>
      </c>
      <c r="P663" s="6">
        <v>6186700</v>
      </c>
      <c r="Q663" s="5">
        <v>3361700</v>
      </c>
      <c r="R663" s="5">
        <v>2825000</v>
      </c>
      <c r="S663" s="5">
        <v>0.87082000000000004</v>
      </c>
      <c r="T663" s="5">
        <f>LOG(Table2[[#This Row],[ratio heavy to light normalized]],2)</f>
        <v>-0.19955355280741457</v>
      </c>
      <c r="U663" s="5">
        <v>0.72961603054706003</v>
      </c>
    </row>
    <row r="664" spans="1:21" x14ac:dyDescent="0.3">
      <c r="A664" s="5" t="s">
        <v>2797</v>
      </c>
      <c r="B664" s="5" t="s">
        <v>2798</v>
      </c>
      <c r="C664" s="5">
        <v>108</v>
      </c>
      <c r="D664" s="5">
        <v>108</v>
      </c>
      <c r="E664" s="5">
        <v>1</v>
      </c>
      <c r="F664" s="6">
        <v>62.284500000000001</v>
      </c>
      <c r="G664" s="7">
        <v>4.6629800000000004E-12</v>
      </c>
      <c r="H664" s="5">
        <v>62.57</v>
      </c>
      <c r="I664" s="5"/>
      <c r="J664" s="5">
        <v>1</v>
      </c>
      <c r="K664" s="5" t="s">
        <v>2</v>
      </c>
      <c r="L664" s="5" t="s">
        <v>3385</v>
      </c>
      <c r="M664" s="5" t="s">
        <v>3386</v>
      </c>
      <c r="N664" s="5" t="s">
        <v>3387</v>
      </c>
      <c r="O664" s="5">
        <v>15</v>
      </c>
      <c r="P664" s="6">
        <v>35542000</v>
      </c>
      <c r="Q664" s="5">
        <v>13996000</v>
      </c>
      <c r="R664" s="5">
        <v>21546000</v>
      </c>
      <c r="S664" s="5">
        <v>0.87058000000000002</v>
      </c>
      <c r="T664" s="5">
        <f>LOG(Table2[[#This Row],[ratio heavy to light normalized]],2)</f>
        <v>-0.19995121768855115</v>
      </c>
      <c r="U664" s="5">
        <v>0.72860493907445001</v>
      </c>
    </row>
    <row r="665" spans="1:21" x14ac:dyDescent="0.3">
      <c r="A665" s="5" t="s">
        <v>937</v>
      </c>
      <c r="B665" s="5" t="s">
        <v>938</v>
      </c>
      <c r="C665" s="5">
        <v>642</v>
      </c>
      <c r="D665" s="5">
        <v>642</v>
      </c>
      <c r="E665" s="5">
        <v>1</v>
      </c>
      <c r="F665" s="6">
        <v>104.858</v>
      </c>
      <c r="G665" s="7">
        <v>3.2979099999999999E-43</v>
      </c>
      <c r="H665" s="5">
        <v>116.94</v>
      </c>
      <c r="I665" s="5"/>
      <c r="J665" s="5">
        <v>1</v>
      </c>
      <c r="K665" s="5" t="s">
        <v>2</v>
      </c>
      <c r="L665" s="5" t="s">
        <v>3382</v>
      </c>
      <c r="M665" s="5" t="s">
        <v>3383</v>
      </c>
      <c r="N665" s="5" t="s">
        <v>3384</v>
      </c>
      <c r="O665" s="5">
        <v>8</v>
      </c>
      <c r="P665" s="6">
        <v>3274900</v>
      </c>
      <c r="Q665" s="5">
        <v>1253200</v>
      </c>
      <c r="R665" s="5">
        <v>2021800</v>
      </c>
      <c r="S665" s="5">
        <v>0.87004000000000004</v>
      </c>
      <c r="T665" s="5">
        <f>LOG(Table2[[#This Row],[ratio heavy to light normalized]],2)</f>
        <v>-0.20084636464431807</v>
      </c>
      <c r="U665" s="5">
        <v>0.72633069305902598</v>
      </c>
    </row>
    <row r="666" spans="1:21" x14ac:dyDescent="0.3">
      <c r="A666" s="5" t="s">
        <v>1420</v>
      </c>
      <c r="B666" s="5" t="s">
        <v>1421</v>
      </c>
      <c r="C666" s="5">
        <v>223</v>
      </c>
      <c r="D666" s="5">
        <v>223</v>
      </c>
      <c r="E666" s="5">
        <v>1</v>
      </c>
      <c r="F666" s="6">
        <v>112.941</v>
      </c>
      <c r="G666" s="7">
        <v>2.2157600000000001E-19</v>
      </c>
      <c r="H666" s="5">
        <v>112.94</v>
      </c>
      <c r="I666" s="5" t="s">
        <v>11</v>
      </c>
      <c r="J666" s="5">
        <v>1</v>
      </c>
      <c r="K666" s="5" t="s">
        <v>2</v>
      </c>
      <c r="L666" s="5" t="s">
        <v>3371</v>
      </c>
      <c r="M666" s="5" t="s">
        <v>3372</v>
      </c>
      <c r="N666" s="5" t="s">
        <v>3373</v>
      </c>
      <c r="O666" s="5">
        <v>7</v>
      </c>
      <c r="P666" s="6">
        <v>7836000</v>
      </c>
      <c r="Q666" s="5">
        <v>4863100</v>
      </c>
      <c r="R666" s="5">
        <v>2972900</v>
      </c>
      <c r="S666" s="5">
        <v>0.86865000000000003</v>
      </c>
      <c r="T666" s="5">
        <f>LOG(Table2[[#This Row],[ratio heavy to light normalized]],2)</f>
        <v>-0.20315309733853912</v>
      </c>
      <c r="U666" s="5">
        <v>0.72048126590490702</v>
      </c>
    </row>
    <row r="667" spans="1:21" x14ac:dyDescent="0.3">
      <c r="A667" s="5" t="s">
        <v>3781</v>
      </c>
      <c r="B667" s="5" t="s">
        <v>3782</v>
      </c>
      <c r="C667" s="5">
        <v>376</v>
      </c>
      <c r="D667" s="5">
        <v>376</v>
      </c>
      <c r="E667" s="5">
        <v>1</v>
      </c>
      <c r="F667" s="6">
        <v>87.322599999999994</v>
      </c>
      <c r="G667" s="7">
        <v>5.4681100000000001E-10</v>
      </c>
      <c r="H667" s="5">
        <v>87.322999999999993</v>
      </c>
      <c r="I667" s="5"/>
      <c r="J667" s="5">
        <v>1</v>
      </c>
      <c r="K667" s="5" t="s">
        <v>2</v>
      </c>
      <c r="L667" s="5" t="s">
        <v>3783</v>
      </c>
      <c r="M667" s="5" t="s">
        <v>3784</v>
      </c>
      <c r="N667" s="5" t="s">
        <v>3785</v>
      </c>
      <c r="O667" s="5">
        <v>7</v>
      </c>
      <c r="P667" s="6">
        <v>1131600</v>
      </c>
      <c r="Q667" s="5">
        <v>649010</v>
      </c>
      <c r="R667" s="5">
        <v>482600</v>
      </c>
      <c r="S667" s="5">
        <v>0.86821999999999999</v>
      </c>
      <c r="T667" s="5">
        <f>LOG(Table2[[#This Row],[ratio heavy to light normalized]],2)</f>
        <v>-0.20386743851577935</v>
      </c>
      <c r="U667" s="5">
        <v>0.82758747258031895</v>
      </c>
    </row>
    <row r="668" spans="1:21" x14ac:dyDescent="0.3">
      <c r="A668" s="5" t="s">
        <v>2935</v>
      </c>
      <c r="B668" s="5" t="s">
        <v>2936</v>
      </c>
      <c r="C668" s="5">
        <v>145</v>
      </c>
      <c r="D668" s="5">
        <v>145</v>
      </c>
      <c r="E668" s="5">
        <v>1</v>
      </c>
      <c r="F668" s="6">
        <v>146.09899999999999</v>
      </c>
      <c r="G668" s="7">
        <v>2.8557599999999999E-64</v>
      </c>
      <c r="H668" s="5">
        <v>159.5</v>
      </c>
      <c r="I668" s="5" t="s">
        <v>11</v>
      </c>
      <c r="J668" s="5">
        <v>1</v>
      </c>
      <c r="K668" s="5" t="s">
        <v>2</v>
      </c>
      <c r="L668" s="5" t="s">
        <v>3356</v>
      </c>
      <c r="M668" s="5" t="s">
        <v>3357</v>
      </c>
      <c r="N668" s="5" t="s">
        <v>3358</v>
      </c>
      <c r="O668" s="5">
        <v>5</v>
      </c>
      <c r="P668" s="6">
        <v>74591000</v>
      </c>
      <c r="Q668" s="5">
        <v>39360000</v>
      </c>
      <c r="R668" s="5">
        <v>35231000</v>
      </c>
      <c r="S668" s="5">
        <v>0.86775999999999998</v>
      </c>
      <c r="T668" s="5">
        <f>LOG(Table2[[#This Row],[ratio heavy to light normalized]],2)</f>
        <v>-0.20463200923012087</v>
      </c>
      <c r="U668" s="5">
        <v>0.71673959453015201</v>
      </c>
    </row>
    <row r="669" spans="1:21" x14ac:dyDescent="0.3">
      <c r="A669" s="5" t="s">
        <v>1100</v>
      </c>
      <c r="B669" s="5" t="s">
        <v>1101</v>
      </c>
      <c r="C669" s="5">
        <v>131</v>
      </c>
      <c r="D669" s="5">
        <v>131</v>
      </c>
      <c r="E669" s="5">
        <v>1</v>
      </c>
      <c r="F669" s="6">
        <v>56.946800000000003</v>
      </c>
      <c r="G669" s="7">
        <v>1.8069400000000001E-10</v>
      </c>
      <c r="H669" s="5">
        <v>56.947000000000003</v>
      </c>
      <c r="I669" s="5" t="s">
        <v>11</v>
      </c>
      <c r="J669" s="5">
        <v>1</v>
      </c>
      <c r="K669" s="5" t="s">
        <v>2</v>
      </c>
      <c r="L669" s="5" t="s">
        <v>3350</v>
      </c>
      <c r="M669" s="5" t="s">
        <v>3351</v>
      </c>
      <c r="N669" s="5" t="s">
        <v>3352</v>
      </c>
      <c r="O669" s="5">
        <v>4</v>
      </c>
      <c r="P669" s="6">
        <v>2793000</v>
      </c>
      <c r="Q669" s="5">
        <v>1335700</v>
      </c>
      <c r="R669" s="5">
        <v>1457300</v>
      </c>
      <c r="S669" s="5">
        <v>0.86748999999999998</v>
      </c>
      <c r="T669" s="5">
        <f>LOG(Table2[[#This Row],[ratio heavy to light normalized]],2)</f>
        <v>-0.20508096778270243</v>
      </c>
      <c r="U669" s="5">
        <v>0.71560506120259504</v>
      </c>
    </row>
    <row r="670" spans="1:21" x14ac:dyDescent="0.3">
      <c r="A670" s="5" t="s">
        <v>564</v>
      </c>
      <c r="B670" s="5" t="s">
        <v>565</v>
      </c>
      <c r="C670" s="5">
        <v>417</v>
      </c>
      <c r="D670" s="5">
        <v>417</v>
      </c>
      <c r="E670" s="5">
        <v>1</v>
      </c>
      <c r="F670" s="6">
        <v>46.4619</v>
      </c>
      <c r="G670" s="5">
        <v>2.6599499999999999E-3</v>
      </c>
      <c r="H670" s="5">
        <v>46.462000000000003</v>
      </c>
      <c r="I670" s="5"/>
      <c r="J670" s="5">
        <v>1</v>
      </c>
      <c r="K670" s="5" t="s">
        <v>2</v>
      </c>
      <c r="L670" s="5" t="s">
        <v>3342</v>
      </c>
      <c r="M670" s="5" t="s">
        <v>3343</v>
      </c>
      <c r="N670" s="5" t="s">
        <v>3344</v>
      </c>
      <c r="O670" s="5">
        <v>2</v>
      </c>
      <c r="P670" s="6">
        <v>4752200</v>
      </c>
      <c r="Q670" s="5">
        <v>2422800</v>
      </c>
      <c r="R670" s="5">
        <v>2329400</v>
      </c>
      <c r="S670" s="5">
        <v>0.86707000000000001</v>
      </c>
      <c r="T670" s="5">
        <f>LOG(Table2[[#This Row],[ratio heavy to light normalized]],2)</f>
        <v>-0.20577962557374482</v>
      </c>
      <c r="U670" s="5">
        <v>0.71384077889852005</v>
      </c>
    </row>
    <row r="671" spans="1:21" x14ac:dyDescent="0.3">
      <c r="A671" s="5" t="s">
        <v>3728</v>
      </c>
      <c r="B671" s="5" t="s">
        <v>3729</v>
      </c>
      <c r="C671" s="5">
        <v>64</v>
      </c>
      <c r="D671" s="5">
        <v>64</v>
      </c>
      <c r="E671" s="5">
        <v>1</v>
      </c>
      <c r="F671" s="6">
        <v>98.592399999999998</v>
      </c>
      <c r="G671" s="7">
        <v>3.0441800000000003E-20</v>
      </c>
      <c r="H671" s="5">
        <v>103.85</v>
      </c>
      <c r="I671" s="5" t="s">
        <v>11</v>
      </c>
      <c r="J671" s="5">
        <v>1</v>
      </c>
      <c r="K671" s="5" t="s">
        <v>2</v>
      </c>
      <c r="L671" s="5" t="s">
        <v>3730</v>
      </c>
      <c r="M671" s="5" t="s">
        <v>3731</v>
      </c>
      <c r="N671" s="5" t="s">
        <v>3732</v>
      </c>
      <c r="O671" s="5">
        <v>12</v>
      </c>
      <c r="P671" s="6">
        <v>1348500</v>
      </c>
      <c r="Q671" s="5">
        <v>885990</v>
      </c>
      <c r="R671" s="5">
        <v>462520</v>
      </c>
      <c r="S671" s="5">
        <v>0.8659</v>
      </c>
      <c r="T671" s="5">
        <f>LOG(Table2[[#This Row],[ratio heavy to light normalized]],2)</f>
        <v>-0.20772767251547558</v>
      </c>
      <c r="U671" s="5">
        <v>0.81990746341587695</v>
      </c>
    </row>
    <row r="672" spans="1:21" x14ac:dyDescent="0.3">
      <c r="A672" s="5" t="s">
        <v>278</v>
      </c>
      <c r="B672" s="5" t="s">
        <v>279</v>
      </c>
      <c r="C672" s="5">
        <v>336</v>
      </c>
      <c r="D672" s="5">
        <v>336</v>
      </c>
      <c r="E672" s="5">
        <v>1</v>
      </c>
      <c r="F672" s="6">
        <v>51.926699999999997</v>
      </c>
      <c r="G672" s="5">
        <v>1.25463E-2</v>
      </c>
      <c r="H672" s="5">
        <v>51.927</v>
      </c>
      <c r="I672" s="5" t="s">
        <v>11</v>
      </c>
      <c r="J672" s="5">
        <v>1</v>
      </c>
      <c r="K672" s="5" t="s">
        <v>2</v>
      </c>
      <c r="L672" s="5" t="s">
        <v>3719</v>
      </c>
      <c r="M672" s="5" t="s">
        <v>3720</v>
      </c>
      <c r="N672" s="5" t="s">
        <v>3721</v>
      </c>
      <c r="O672" s="5">
        <v>6</v>
      </c>
      <c r="P672" s="6">
        <v>1331400</v>
      </c>
      <c r="Q672" s="5">
        <v>763720</v>
      </c>
      <c r="R672" s="5">
        <v>567720</v>
      </c>
      <c r="S672" s="5">
        <v>0.86538999999999999</v>
      </c>
      <c r="T672" s="5">
        <f>LOG(Table2[[#This Row],[ratio heavy to light normalized]],2)</f>
        <v>-0.20857764507020177</v>
      </c>
      <c r="U672" s="5">
        <v>0.81821871707328298</v>
      </c>
    </row>
    <row r="673" spans="1:21" x14ac:dyDescent="0.3">
      <c r="A673" s="5" t="s">
        <v>1692</v>
      </c>
      <c r="B673" s="5" t="s">
        <v>1693</v>
      </c>
      <c r="C673" s="5">
        <v>363</v>
      </c>
      <c r="D673" s="5">
        <v>363</v>
      </c>
      <c r="E673" s="5">
        <v>1</v>
      </c>
      <c r="F673" s="6">
        <v>35.015000000000001</v>
      </c>
      <c r="G673" s="5">
        <v>6.8738100000000004E-4</v>
      </c>
      <c r="H673" s="5">
        <v>35.015000000000001</v>
      </c>
      <c r="I673" s="5" t="s">
        <v>11</v>
      </c>
      <c r="J673" s="5">
        <v>1</v>
      </c>
      <c r="K673" s="5" t="s">
        <v>2</v>
      </c>
      <c r="L673" s="5" t="s">
        <v>3716</v>
      </c>
      <c r="M673" s="5" t="s">
        <v>3717</v>
      </c>
      <c r="N673" s="5" t="s">
        <v>3718</v>
      </c>
      <c r="O673" s="5">
        <v>18</v>
      </c>
      <c r="P673" s="6">
        <v>2105700</v>
      </c>
      <c r="Q673" s="5">
        <v>1003200</v>
      </c>
      <c r="R673" s="5">
        <v>1102400</v>
      </c>
      <c r="S673" s="5">
        <v>0.86519999999999997</v>
      </c>
      <c r="T673" s="5">
        <f>LOG(Table2[[#This Row],[ratio heavy to light normalized]],2)</f>
        <v>-0.20889442958747079</v>
      </c>
      <c r="U673" s="5">
        <v>0.81758953707067095</v>
      </c>
    </row>
    <row r="674" spans="1:21" x14ac:dyDescent="0.3">
      <c r="A674" s="5" t="s">
        <v>3545</v>
      </c>
      <c r="B674" s="5" t="s">
        <v>3546</v>
      </c>
      <c r="C674" s="5">
        <v>55</v>
      </c>
      <c r="D674" s="5">
        <v>55</v>
      </c>
      <c r="E674" s="5">
        <v>1</v>
      </c>
      <c r="F674" s="6">
        <v>66.2667</v>
      </c>
      <c r="G674" s="7">
        <v>8.4293900000000003E-6</v>
      </c>
      <c r="H674" s="5">
        <v>66.266999999999996</v>
      </c>
      <c r="I674" s="5" t="s">
        <v>11</v>
      </c>
      <c r="J674" s="5">
        <v>1</v>
      </c>
      <c r="K674" s="5" t="s">
        <v>2</v>
      </c>
      <c r="L674" s="5" t="s">
        <v>3713</v>
      </c>
      <c r="M674" s="5" t="s">
        <v>3714</v>
      </c>
      <c r="N674" s="5" t="s">
        <v>3715</v>
      </c>
      <c r="O674" s="5">
        <v>4</v>
      </c>
      <c r="P674" s="6">
        <v>1644400</v>
      </c>
      <c r="Q674" s="5">
        <v>934520</v>
      </c>
      <c r="R674" s="5">
        <v>709890</v>
      </c>
      <c r="S674" s="5">
        <v>0.86512999999999995</v>
      </c>
      <c r="T674" s="5">
        <f>LOG(Table2[[#This Row],[ratio heavy to light normalized]],2)</f>
        <v>-0.20901115720927393</v>
      </c>
      <c r="U674" s="5">
        <v>0.81735772868509204</v>
      </c>
    </row>
    <row r="675" spans="1:21" x14ac:dyDescent="0.3">
      <c r="A675" s="5" t="s">
        <v>4448</v>
      </c>
      <c r="B675" s="5" t="s">
        <v>4449</v>
      </c>
      <c r="C675" s="5">
        <v>170</v>
      </c>
      <c r="D675" s="5">
        <v>170</v>
      </c>
      <c r="E675" s="5">
        <v>1</v>
      </c>
      <c r="F675" s="6">
        <v>67.994699999999995</v>
      </c>
      <c r="G675" s="7">
        <v>5.2977700000000003E-14</v>
      </c>
      <c r="H675" s="5">
        <v>67.995000000000005</v>
      </c>
      <c r="I675" s="5" t="s">
        <v>11</v>
      </c>
      <c r="J675" s="5">
        <v>1</v>
      </c>
      <c r="K675" s="5" t="s">
        <v>2</v>
      </c>
      <c r="L675" s="5" t="s">
        <v>4450</v>
      </c>
      <c r="M675" s="5" t="s">
        <v>4451</v>
      </c>
      <c r="N675" s="5" t="s">
        <v>4452</v>
      </c>
      <c r="O675" s="5">
        <v>10</v>
      </c>
      <c r="P675" s="6">
        <v>863190</v>
      </c>
      <c r="Q675" s="5">
        <v>373840</v>
      </c>
      <c r="R675" s="5">
        <v>489340</v>
      </c>
      <c r="S675" s="5">
        <v>0.86443000000000003</v>
      </c>
      <c r="T675" s="5">
        <f>LOG(Table2[[#This Row],[ratio heavy to light normalized]],2)</f>
        <v>-0.21017895316172816</v>
      </c>
      <c r="U675" s="5">
        <v>0.98154199956454302</v>
      </c>
    </row>
    <row r="676" spans="1:21" x14ac:dyDescent="0.3">
      <c r="A676" s="5" t="s">
        <v>633</v>
      </c>
      <c r="B676" s="5" t="s">
        <v>634</v>
      </c>
      <c r="C676" s="5">
        <v>162</v>
      </c>
      <c r="D676" s="5">
        <v>162</v>
      </c>
      <c r="E676" s="5">
        <v>1</v>
      </c>
      <c r="F676" s="6">
        <v>52.0715</v>
      </c>
      <c r="G676" s="7">
        <v>1.6522100000000001E-12</v>
      </c>
      <c r="H676" s="5">
        <v>97.456000000000003</v>
      </c>
      <c r="I676" s="5"/>
      <c r="J676" s="5">
        <v>1</v>
      </c>
      <c r="K676" s="5" t="s">
        <v>2</v>
      </c>
      <c r="L676" s="5" t="s">
        <v>3300</v>
      </c>
      <c r="M676" s="5" t="s">
        <v>3301</v>
      </c>
      <c r="N676" s="5" t="s">
        <v>3302</v>
      </c>
      <c r="O676" s="5">
        <v>8</v>
      </c>
      <c r="P676" s="6">
        <v>3676600</v>
      </c>
      <c r="Q676" s="5">
        <v>1740300</v>
      </c>
      <c r="R676" s="5">
        <v>1936300</v>
      </c>
      <c r="S676" s="5">
        <v>0.86404999999999998</v>
      </c>
      <c r="T676" s="5">
        <f>LOG(Table2[[#This Row],[ratio heavy to light normalized]],2)</f>
        <v>-0.21081329561795584</v>
      </c>
      <c r="U676" s="5">
        <v>0.70117523062022602</v>
      </c>
    </row>
    <row r="677" spans="1:21" x14ac:dyDescent="0.3">
      <c r="A677" s="5" t="s">
        <v>368</v>
      </c>
      <c r="B677" s="5" t="s">
        <v>369</v>
      </c>
      <c r="C677" s="5">
        <v>462</v>
      </c>
      <c r="D677" s="5">
        <v>462</v>
      </c>
      <c r="E677" s="5">
        <v>1</v>
      </c>
      <c r="F677" s="6">
        <v>136.34700000000001</v>
      </c>
      <c r="G677" s="7">
        <v>1.30662E-53</v>
      </c>
      <c r="H677" s="5">
        <v>136.35</v>
      </c>
      <c r="I677" s="5" t="s">
        <v>11</v>
      </c>
      <c r="J677" s="5">
        <v>1</v>
      </c>
      <c r="K677" s="5" t="s">
        <v>2</v>
      </c>
      <c r="L677" s="5" t="s">
        <v>3294</v>
      </c>
      <c r="M677" s="5" t="s">
        <v>3295</v>
      </c>
      <c r="N677" s="5" t="s">
        <v>3296</v>
      </c>
      <c r="O677" s="5">
        <v>13</v>
      </c>
      <c r="P677" s="6">
        <v>3425000</v>
      </c>
      <c r="Q677" s="5">
        <v>1800800</v>
      </c>
      <c r="R677" s="5">
        <v>1624200</v>
      </c>
      <c r="S677" s="5">
        <v>0.86323000000000005</v>
      </c>
      <c r="T677" s="5">
        <f>LOG(Table2[[#This Row],[ratio heavy to light normalized]],2)</f>
        <v>-0.21218309092896709</v>
      </c>
      <c r="U677" s="5">
        <v>0.69774274855799601</v>
      </c>
    </row>
    <row r="678" spans="1:21" x14ac:dyDescent="0.3">
      <c r="A678" s="5" t="s">
        <v>318</v>
      </c>
      <c r="B678" s="5" t="s">
        <v>319</v>
      </c>
      <c r="C678" s="5">
        <v>31</v>
      </c>
      <c r="D678" s="5">
        <v>31</v>
      </c>
      <c r="E678" s="5">
        <v>1</v>
      </c>
      <c r="F678" s="6">
        <v>73.847800000000007</v>
      </c>
      <c r="G678" s="7">
        <v>1.19755E-7</v>
      </c>
      <c r="H678" s="5">
        <v>73.847999999999999</v>
      </c>
      <c r="I678" s="5"/>
      <c r="J678" s="5">
        <v>1</v>
      </c>
      <c r="K678" s="5" t="s">
        <v>2</v>
      </c>
      <c r="L678" s="5" t="s">
        <v>3693</v>
      </c>
      <c r="M678" s="5" t="s">
        <v>3694</v>
      </c>
      <c r="N678" s="5" t="s">
        <v>3695</v>
      </c>
      <c r="O678" s="5">
        <v>7</v>
      </c>
      <c r="P678" s="6">
        <v>2094600</v>
      </c>
      <c r="Q678" s="5">
        <v>1010400</v>
      </c>
      <c r="R678" s="5">
        <v>1084200</v>
      </c>
      <c r="S678" s="5">
        <v>0.86302999999999996</v>
      </c>
      <c r="T678" s="5">
        <f>LOG(Table2[[#This Row],[ratio heavy to light normalized]],2)</f>
        <v>-0.21251738473113937</v>
      </c>
      <c r="U678" s="5">
        <v>0.810402275114538</v>
      </c>
    </row>
    <row r="679" spans="1:21" x14ac:dyDescent="0.3">
      <c r="A679" s="5" t="s">
        <v>3688</v>
      </c>
      <c r="B679" s="5" t="s">
        <v>3689</v>
      </c>
      <c r="C679" s="5">
        <v>133</v>
      </c>
      <c r="D679" s="5">
        <v>133</v>
      </c>
      <c r="E679" s="5">
        <v>1</v>
      </c>
      <c r="F679" s="6">
        <v>107.154</v>
      </c>
      <c r="G679" s="7">
        <v>3.3120499999999999E-15</v>
      </c>
      <c r="H679" s="5">
        <v>107.15</v>
      </c>
      <c r="I679" s="5" t="s">
        <v>11</v>
      </c>
      <c r="J679" s="5">
        <v>1</v>
      </c>
      <c r="K679" s="5" t="s">
        <v>2</v>
      </c>
      <c r="L679" s="5" t="s">
        <v>3690</v>
      </c>
      <c r="M679" s="5" t="s">
        <v>3691</v>
      </c>
      <c r="N679" s="5" t="s">
        <v>3692</v>
      </c>
      <c r="O679" s="5">
        <v>9</v>
      </c>
      <c r="P679" s="6">
        <v>1228000</v>
      </c>
      <c r="Q679" s="5">
        <v>718710</v>
      </c>
      <c r="R679" s="5">
        <v>509300</v>
      </c>
      <c r="S679" s="5">
        <v>0.86299000000000003</v>
      </c>
      <c r="T679" s="5">
        <f>LOG(Table2[[#This Row],[ratio heavy to light normalized]],2)</f>
        <v>-0.21258425278787774</v>
      </c>
      <c r="U679" s="5">
        <v>0.81026976958699304</v>
      </c>
    </row>
    <row r="680" spans="1:21" x14ac:dyDescent="0.3">
      <c r="A680" s="5" t="s">
        <v>2813</v>
      </c>
      <c r="B680" s="5" t="s">
        <v>2814</v>
      </c>
      <c r="C680" s="5">
        <v>333</v>
      </c>
      <c r="D680" s="5">
        <v>333</v>
      </c>
      <c r="E680" s="5">
        <v>1</v>
      </c>
      <c r="F680" s="6">
        <v>36.527900000000002</v>
      </c>
      <c r="G680" s="5">
        <v>5.5828599999999999E-2</v>
      </c>
      <c r="H680" s="5">
        <v>36.527999999999999</v>
      </c>
      <c r="I680" s="5" t="s">
        <v>11</v>
      </c>
      <c r="J680" s="5">
        <v>1</v>
      </c>
      <c r="K680" s="5" t="s">
        <v>2</v>
      </c>
      <c r="L680" s="5" t="s">
        <v>2815</v>
      </c>
      <c r="M680" s="5" t="s">
        <v>2816</v>
      </c>
      <c r="N680" s="5" t="s">
        <v>2817</v>
      </c>
      <c r="O680" s="5">
        <v>5</v>
      </c>
      <c r="P680" s="6">
        <v>1012400</v>
      </c>
      <c r="Q680" s="5">
        <v>538560</v>
      </c>
      <c r="R680" s="5">
        <v>473800</v>
      </c>
      <c r="S680" s="5">
        <v>1.0285</v>
      </c>
      <c r="T680" s="5">
        <f>LOG(Table2[[#This Row],[ratio heavy to light normalized]],2)</f>
        <v>4.0541793862846835E-2</v>
      </c>
      <c r="U680" s="5">
        <v>0.58412949575789197</v>
      </c>
    </row>
    <row r="681" spans="1:21" x14ac:dyDescent="0.3">
      <c r="A681" s="5" t="s">
        <v>121</v>
      </c>
      <c r="B681" s="5" t="s">
        <v>122</v>
      </c>
      <c r="C681" s="5">
        <v>345</v>
      </c>
      <c r="D681" s="5">
        <v>345</v>
      </c>
      <c r="E681" s="5">
        <v>1</v>
      </c>
      <c r="F681" s="6">
        <v>67.095299999999995</v>
      </c>
      <c r="G681" s="7">
        <v>9.8822700000000005E-9</v>
      </c>
      <c r="H681" s="5">
        <v>67.094999999999999</v>
      </c>
      <c r="I681" s="5" t="s">
        <v>11</v>
      </c>
      <c r="J681" s="5">
        <v>1</v>
      </c>
      <c r="K681" s="5" t="s">
        <v>2</v>
      </c>
      <c r="L681" s="5" t="s">
        <v>3685</v>
      </c>
      <c r="M681" s="5" t="s">
        <v>3686</v>
      </c>
      <c r="N681" s="5" t="s">
        <v>3687</v>
      </c>
      <c r="O681" s="5">
        <v>7</v>
      </c>
      <c r="P681" s="6">
        <v>2584800</v>
      </c>
      <c r="Q681" s="5">
        <v>1398000</v>
      </c>
      <c r="R681" s="5">
        <v>1186700</v>
      </c>
      <c r="S681" s="5">
        <v>0.86238000000000004</v>
      </c>
      <c r="T681" s="5">
        <f>LOG(Table2[[#This Row],[ratio heavy to light normalized]],2)</f>
        <v>-0.21360437486211054</v>
      </c>
      <c r="U681" s="5">
        <v>0.80824897529292605</v>
      </c>
    </row>
    <row r="682" spans="1:21" x14ac:dyDescent="0.3">
      <c r="A682" s="5" t="s">
        <v>303</v>
      </c>
      <c r="B682" s="5" t="s">
        <v>304</v>
      </c>
      <c r="C682" s="5">
        <v>175</v>
      </c>
      <c r="D682" s="5">
        <v>175</v>
      </c>
      <c r="E682" s="5">
        <v>1</v>
      </c>
      <c r="F682" s="6">
        <v>46.964100000000002</v>
      </c>
      <c r="G682" s="5">
        <v>3.8687699999999999E-4</v>
      </c>
      <c r="H682" s="5">
        <v>46.963999999999999</v>
      </c>
      <c r="I682" s="5"/>
      <c r="J682" s="5">
        <v>1</v>
      </c>
      <c r="K682" s="5" t="s">
        <v>2</v>
      </c>
      <c r="L682" s="5" t="s">
        <v>3674</v>
      </c>
      <c r="M682" s="5" t="s">
        <v>3675</v>
      </c>
      <c r="N682" s="5" t="s">
        <v>3676</v>
      </c>
      <c r="O682" s="5">
        <v>4</v>
      </c>
      <c r="P682" s="6">
        <v>1473500</v>
      </c>
      <c r="Q682" s="5">
        <v>846100</v>
      </c>
      <c r="R682" s="5">
        <v>627390</v>
      </c>
      <c r="S682" s="5">
        <v>0.86226999999999998</v>
      </c>
      <c r="T682" s="5">
        <f>LOG(Table2[[#This Row],[ratio heavy to light normalized]],2)</f>
        <v>-0.21378840809170846</v>
      </c>
      <c r="U682" s="5">
        <v>0.80788455338800202</v>
      </c>
    </row>
    <row r="683" spans="1:21" x14ac:dyDescent="0.3">
      <c r="A683" s="5" t="s">
        <v>3269</v>
      </c>
      <c r="B683" s="5" t="s">
        <v>3270</v>
      </c>
      <c r="C683" s="5">
        <v>301</v>
      </c>
      <c r="D683" s="5">
        <v>301</v>
      </c>
      <c r="E683" s="5">
        <v>1</v>
      </c>
      <c r="F683" s="6">
        <v>52.548999999999999</v>
      </c>
      <c r="G683" s="5">
        <v>1.0893399999999999E-2</v>
      </c>
      <c r="H683" s="5">
        <v>52.548999999999999</v>
      </c>
      <c r="I683" s="5" t="s">
        <v>11</v>
      </c>
      <c r="J683" s="5">
        <v>1</v>
      </c>
      <c r="K683" s="5" t="s">
        <v>2</v>
      </c>
      <c r="L683" s="5" t="s">
        <v>3271</v>
      </c>
      <c r="M683" s="5" t="s">
        <v>3272</v>
      </c>
      <c r="N683" s="5" t="s">
        <v>3273</v>
      </c>
      <c r="O683" s="5">
        <v>2</v>
      </c>
      <c r="P683" s="6">
        <v>23418000</v>
      </c>
      <c r="Q683" s="5">
        <v>12402000</v>
      </c>
      <c r="R683" s="5">
        <v>11015000</v>
      </c>
      <c r="S683" s="5">
        <v>0.86190999999999995</v>
      </c>
      <c r="T683" s="5">
        <f>LOG(Table2[[#This Row],[ratio heavy to light normalized]],2)</f>
        <v>-0.21439086284964262</v>
      </c>
      <c r="U683" s="5">
        <v>0.69222345405777996</v>
      </c>
    </row>
    <row r="684" spans="1:21" x14ac:dyDescent="0.3">
      <c r="A684" s="5" t="s">
        <v>1283</v>
      </c>
      <c r="B684" s="5" t="s">
        <v>1284</v>
      </c>
      <c r="C684" s="5">
        <v>24</v>
      </c>
      <c r="D684" s="5">
        <v>24</v>
      </c>
      <c r="E684" s="5">
        <v>1</v>
      </c>
      <c r="F684" s="6">
        <v>119.015</v>
      </c>
      <c r="G684" s="7">
        <v>5.4390899999999998E-30</v>
      </c>
      <c r="H684" s="5">
        <v>119.01</v>
      </c>
      <c r="I684" s="5" t="s">
        <v>11</v>
      </c>
      <c r="J684" s="5">
        <v>1</v>
      </c>
      <c r="K684" s="5" t="s">
        <v>2</v>
      </c>
      <c r="L684" s="5" t="s">
        <v>3671</v>
      </c>
      <c r="M684" s="5" t="s">
        <v>3672</v>
      </c>
      <c r="N684" s="5" t="s">
        <v>3673</v>
      </c>
      <c r="O684" s="5">
        <v>7</v>
      </c>
      <c r="P684" s="6">
        <v>2500100</v>
      </c>
      <c r="Q684" s="5">
        <v>1304000</v>
      </c>
      <c r="R684" s="5">
        <v>1196000</v>
      </c>
      <c r="S684" s="5">
        <v>0.86170999999999998</v>
      </c>
      <c r="T684" s="5">
        <f>LOG(Table2[[#This Row],[ratio heavy to light normalized]],2)</f>
        <v>-0.2147256686763013</v>
      </c>
      <c r="U684" s="5">
        <v>0.80602924182609403</v>
      </c>
    </row>
    <row r="685" spans="1:21" x14ac:dyDescent="0.3">
      <c r="A685" s="5" t="s">
        <v>564</v>
      </c>
      <c r="B685" s="5" t="s">
        <v>565</v>
      </c>
      <c r="C685" s="5">
        <v>299</v>
      </c>
      <c r="D685" s="5">
        <v>299</v>
      </c>
      <c r="E685" s="5">
        <v>1</v>
      </c>
      <c r="F685" s="6">
        <v>79.021699999999996</v>
      </c>
      <c r="G685" s="7">
        <v>8.0457999999999999E-15</v>
      </c>
      <c r="H685" s="5">
        <v>79.022000000000006</v>
      </c>
      <c r="I685" s="5"/>
      <c r="J685" s="5">
        <v>1</v>
      </c>
      <c r="K685" s="5" t="s">
        <v>2</v>
      </c>
      <c r="L685" s="5" t="s">
        <v>3668</v>
      </c>
      <c r="M685" s="5" t="s">
        <v>3669</v>
      </c>
      <c r="N685" s="5" t="s">
        <v>3670</v>
      </c>
      <c r="O685" s="5">
        <v>8</v>
      </c>
      <c r="P685" s="6">
        <v>1801700</v>
      </c>
      <c r="Q685" s="5">
        <v>888480</v>
      </c>
      <c r="R685" s="5">
        <v>913210</v>
      </c>
      <c r="S685" s="5">
        <v>0.86170000000000002</v>
      </c>
      <c r="T685" s="5">
        <f>LOG(Table2[[#This Row],[ratio heavy to light normalized]],2)</f>
        <v>-0.21474241100738792</v>
      </c>
      <c r="U685" s="5">
        <v>0.80599611019577999</v>
      </c>
    </row>
    <row r="686" spans="1:21" x14ac:dyDescent="0.3">
      <c r="A686" s="5" t="s">
        <v>4401</v>
      </c>
      <c r="B686" s="5" t="s">
        <v>4402</v>
      </c>
      <c r="C686" s="5" t="s">
        <v>4403</v>
      </c>
      <c r="D686" s="5">
        <v>326</v>
      </c>
      <c r="E686" s="5">
        <v>1</v>
      </c>
      <c r="F686" s="6">
        <v>97.551299999999998</v>
      </c>
      <c r="G686" s="7">
        <v>3.1718199999999998E-18</v>
      </c>
      <c r="H686" s="5">
        <v>97.551000000000002</v>
      </c>
      <c r="I686" s="5" t="s">
        <v>11</v>
      </c>
      <c r="J686" s="5">
        <v>1</v>
      </c>
      <c r="K686" s="5" t="s">
        <v>2</v>
      </c>
      <c r="L686" s="5" t="s">
        <v>4404</v>
      </c>
      <c r="M686" s="5" t="s">
        <v>4405</v>
      </c>
      <c r="N686" s="5" t="s">
        <v>4406</v>
      </c>
      <c r="O686" s="5">
        <v>14</v>
      </c>
      <c r="P686" s="6">
        <v>745660</v>
      </c>
      <c r="Q686" s="5">
        <v>425630</v>
      </c>
      <c r="R686" s="5">
        <v>320030</v>
      </c>
      <c r="S686" s="5">
        <v>0.86116000000000004</v>
      </c>
      <c r="T686" s="5">
        <f>LOG(Table2[[#This Row],[ratio heavy to light normalized]],2)</f>
        <v>-0.21564678553299235</v>
      </c>
      <c r="U686" s="5">
        <v>0.97051877734437797</v>
      </c>
    </row>
    <row r="687" spans="1:21" x14ac:dyDescent="0.3">
      <c r="A687" s="5" t="s">
        <v>960</v>
      </c>
      <c r="B687" s="5" t="s">
        <v>961</v>
      </c>
      <c r="C687" s="5">
        <v>270</v>
      </c>
      <c r="D687" s="5">
        <v>270</v>
      </c>
      <c r="E687" s="5">
        <v>1</v>
      </c>
      <c r="F687" s="6">
        <v>92.611000000000004</v>
      </c>
      <c r="G687" s="7">
        <v>2.53517E-12</v>
      </c>
      <c r="H687" s="5">
        <v>92.611000000000004</v>
      </c>
      <c r="I687" s="5" t="s">
        <v>11</v>
      </c>
      <c r="J687" s="5">
        <v>1</v>
      </c>
      <c r="K687" s="5" t="s">
        <v>2</v>
      </c>
      <c r="L687" s="5" t="s">
        <v>4388</v>
      </c>
      <c r="M687" s="5" t="s">
        <v>4389</v>
      </c>
      <c r="N687" s="5" t="s">
        <v>4390</v>
      </c>
      <c r="O687" s="5">
        <v>11</v>
      </c>
      <c r="P687" s="6">
        <v>678410</v>
      </c>
      <c r="Q687" s="5">
        <v>313960</v>
      </c>
      <c r="R687" s="5">
        <v>364460</v>
      </c>
      <c r="S687" s="5">
        <v>0.86070999999999998</v>
      </c>
      <c r="T687" s="5">
        <f>LOG(Table2[[#This Row],[ratio heavy to light normalized]],2)</f>
        <v>-0.21640086427666136</v>
      </c>
      <c r="U687" s="5">
        <v>0.96899893895596301</v>
      </c>
    </row>
    <row r="688" spans="1:21" x14ac:dyDescent="0.3">
      <c r="A688" s="5" t="s">
        <v>1136</v>
      </c>
      <c r="B688" s="5" t="s">
        <v>1137</v>
      </c>
      <c r="C688" s="5">
        <v>421</v>
      </c>
      <c r="D688" s="5">
        <v>421</v>
      </c>
      <c r="E688" s="5">
        <v>1</v>
      </c>
      <c r="F688" s="6">
        <v>108.667</v>
      </c>
      <c r="G688" s="7">
        <v>1.2541899999999999E-17</v>
      </c>
      <c r="H688" s="5">
        <v>108.67</v>
      </c>
      <c r="I688" s="5" t="s">
        <v>11</v>
      </c>
      <c r="J688" s="5">
        <v>1</v>
      </c>
      <c r="K688" s="5" t="s">
        <v>2</v>
      </c>
      <c r="L688" s="5" t="s">
        <v>3229</v>
      </c>
      <c r="M688" s="5" t="s">
        <v>3230</v>
      </c>
      <c r="N688" s="5" t="s">
        <v>3231</v>
      </c>
      <c r="O688" s="5">
        <v>6</v>
      </c>
      <c r="P688" s="6">
        <v>11707000</v>
      </c>
      <c r="Q688" s="5">
        <v>6409500</v>
      </c>
      <c r="R688" s="5">
        <v>5297400</v>
      </c>
      <c r="S688" s="5">
        <v>0.85963000000000001</v>
      </c>
      <c r="T688" s="5">
        <f>LOG(Table2[[#This Row],[ratio heavy to light normalized]],2)</f>
        <v>-0.2182122630104579</v>
      </c>
      <c r="U688" s="5">
        <v>0.68270885157378003</v>
      </c>
    </row>
    <row r="689" spans="1:21" x14ac:dyDescent="0.3">
      <c r="A689" s="5" t="s">
        <v>508</v>
      </c>
      <c r="B689" s="5" t="s">
        <v>509</v>
      </c>
      <c r="C689" s="5">
        <v>307</v>
      </c>
      <c r="D689" s="5">
        <v>307</v>
      </c>
      <c r="E689" s="5">
        <v>1</v>
      </c>
      <c r="F689" s="6">
        <v>37.012700000000002</v>
      </c>
      <c r="G689" s="7">
        <v>1.05315E-6</v>
      </c>
      <c r="H689" s="5">
        <v>76.221000000000004</v>
      </c>
      <c r="I689" s="5"/>
      <c r="J689" s="5">
        <v>1</v>
      </c>
      <c r="K689" s="5" t="s">
        <v>2</v>
      </c>
      <c r="L689" s="5" t="s">
        <v>3646</v>
      </c>
      <c r="M689" s="5" t="s">
        <v>3647</v>
      </c>
      <c r="N689" s="5" t="s">
        <v>3648</v>
      </c>
      <c r="O689" s="5">
        <v>4</v>
      </c>
      <c r="P689" s="6">
        <v>2301500</v>
      </c>
      <c r="Q689" s="5">
        <v>1364400</v>
      </c>
      <c r="R689" s="5">
        <v>937110</v>
      </c>
      <c r="S689" s="5">
        <v>0.85938000000000003</v>
      </c>
      <c r="T689" s="5">
        <f>LOG(Table2[[#This Row],[ratio heavy to light normalized]],2)</f>
        <v>-0.21863189263770266</v>
      </c>
      <c r="U689" s="5">
        <v>0.79830871740120002</v>
      </c>
    </row>
    <row r="690" spans="1:21" x14ac:dyDescent="0.3">
      <c r="A690" s="5" t="s">
        <v>1908</v>
      </c>
      <c r="B690" s="5" t="s">
        <v>1909</v>
      </c>
      <c r="C690" s="5">
        <v>182</v>
      </c>
      <c r="D690" s="5">
        <v>182</v>
      </c>
      <c r="E690" s="5">
        <v>1</v>
      </c>
      <c r="F690" s="6">
        <v>76.150599999999997</v>
      </c>
      <c r="G690" s="7">
        <v>1.10065E-15</v>
      </c>
      <c r="H690" s="5">
        <v>76.150999999999996</v>
      </c>
      <c r="I690" s="5" t="s">
        <v>11</v>
      </c>
      <c r="J690" s="5">
        <v>1</v>
      </c>
      <c r="K690" s="5" t="s">
        <v>2</v>
      </c>
      <c r="L690" s="5" t="s">
        <v>4371</v>
      </c>
      <c r="M690" s="5" t="s">
        <v>4372</v>
      </c>
      <c r="N690" s="5" t="s">
        <v>4373</v>
      </c>
      <c r="O690" s="5">
        <v>4</v>
      </c>
      <c r="P690" s="6">
        <v>678970</v>
      </c>
      <c r="Q690" s="5">
        <v>383920</v>
      </c>
      <c r="R690" s="5">
        <v>295050</v>
      </c>
      <c r="S690" s="5">
        <v>0.85933999999999999</v>
      </c>
      <c r="T690" s="5">
        <f>LOG(Table2[[#This Row],[ratio heavy to light normalized]],2)</f>
        <v>-0.21869904470627236</v>
      </c>
      <c r="U690" s="5">
        <v>0.96436769626321295</v>
      </c>
    </row>
    <row r="691" spans="1:21" x14ac:dyDescent="0.3">
      <c r="A691" s="5" t="s">
        <v>3007</v>
      </c>
      <c r="B691" s="5" t="s">
        <v>3008</v>
      </c>
      <c r="C691" s="5">
        <v>290</v>
      </c>
      <c r="D691" s="5">
        <v>290</v>
      </c>
      <c r="E691" s="5">
        <v>1</v>
      </c>
      <c r="F691" s="6">
        <v>93.493700000000004</v>
      </c>
      <c r="G691" s="7">
        <v>3.8292199999999999E-18</v>
      </c>
      <c r="H691" s="5">
        <v>93.494</v>
      </c>
      <c r="I691" s="5" t="s">
        <v>11</v>
      </c>
      <c r="J691" s="5">
        <v>1</v>
      </c>
      <c r="K691" s="5" t="s">
        <v>2</v>
      </c>
      <c r="L691" s="5" t="s">
        <v>3635</v>
      </c>
      <c r="M691" s="5" t="s">
        <v>3636</v>
      </c>
      <c r="N691" s="5" t="s">
        <v>3637</v>
      </c>
      <c r="O691" s="5">
        <v>9</v>
      </c>
      <c r="P691" s="6">
        <v>1990300</v>
      </c>
      <c r="Q691" s="5">
        <v>1075100</v>
      </c>
      <c r="R691" s="5">
        <v>915150</v>
      </c>
      <c r="S691" s="5">
        <v>0.85924</v>
      </c>
      <c r="T691" s="5">
        <f>LOG(Table2[[#This Row],[ratio heavy to light normalized]],2)</f>
        <v>-0.21886693855381126</v>
      </c>
      <c r="U691" s="5">
        <v>0.79784477713921897</v>
      </c>
    </row>
    <row r="692" spans="1:21" x14ac:dyDescent="0.3">
      <c r="A692" s="5" t="s">
        <v>2855</v>
      </c>
      <c r="B692" s="5" t="s">
        <v>2856</v>
      </c>
      <c r="C692" s="5">
        <v>312</v>
      </c>
      <c r="D692" s="5">
        <v>312</v>
      </c>
      <c r="E692" s="5">
        <v>1</v>
      </c>
      <c r="F692" s="6">
        <v>33.377800000000001</v>
      </c>
      <c r="G692" s="5">
        <v>8.3582600000000007E-2</v>
      </c>
      <c r="H692" s="5">
        <v>33.378</v>
      </c>
      <c r="I692" s="5" t="s">
        <v>11</v>
      </c>
      <c r="J692" s="5">
        <v>1</v>
      </c>
      <c r="K692" s="5" t="s">
        <v>2</v>
      </c>
      <c r="L692" s="5" t="s">
        <v>2857</v>
      </c>
      <c r="M692" s="5" t="s">
        <v>2858</v>
      </c>
      <c r="N692" s="5" t="s">
        <v>2859</v>
      </c>
      <c r="O692" s="5">
        <v>1</v>
      </c>
      <c r="P692" s="6">
        <v>3065000</v>
      </c>
      <c r="Q692" s="5">
        <v>1804600</v>
      </c>
      <c r="R692" s="5">
        <v>1260400</v>
      </c>
      <c r="S692" s="5">
        <v>0.83789999999999998</v>
      </c>
      <c r="T692" s="5">
        <f>LOG(Table2[[#This Row],[ratio heavy to light normalized]],2)</f>
        <v>-0.25515002054834335</v>
      </c>
      <c r="U692" s="5">
        <v>0.593513757249576</v>
      </c>
    </row>
    <row r="693" spans="1:21" x14ac:dyDescent="0.3">
      <c r="A693" s="5" t="s">
        <v>1496</v>
      </c>
      <c r="B693" s="5" t="s">
        <v>1497</v>
      </c>
      <c r="C693" s="5">
        <v>185</v>
      </c>
      <c r="D693" s="5">
        <v>185</v>
      </c>
      <c r="E693" s="5">
        <v>1</v>
      </c>
      <c r="F693" s="6">
        <v>84.4756</v>
      </c>
      <c r="G693" s="7">
        <v>1.44896E-7</v>
      </c>
      <c r="H693" s="5">
        <v>84.475999999999999</v>
      </c>
      <c r="I693" s="5"/>
      <c r="J693" s="5">
        <v>1</v>
      </c>
      <c r="K693" s="5" t="s">
        <v>2</v>
      </c>
      <c r="L693" s="5" t="s">
        <v>4362</v>
      </c>
      <c r="M693" s="5" t="s">
        <v>4363</v>
      </c>
      <c r="N693" s="5" t="s">
        <v>4364</v>
      </c>
      <c r="O693" s="5">
        <v>7</v>
      </c>
      <c r="P693" s="6">
        <v>588780</v>
      </c>
      <c r="Q693" s="5">
        <v>321980</v>
      </c>
      <c r="R693" s="5">
        <v>266810</v>
      </c>
      <c r="S693" s="5">
        <v>0.85902000000000001</v>
      </c>
      <c r="T693" s="5">
        <f>LOG(Table2[[#This Row],[ratio heavy to light normalized]],2)</f>
        <v>-0.21923637380892974</v>
      </c>
      <c r="U693" s="5">
        <v>0.96328505005932996</v>
      </c>
    </row>
    <row r="694" spans="1:21" x14ac:dyDescent="0.3">
      <c r="A694" s="5" t="s">
        <v>121</v>
      </c>
      <c r="B694" s="5" t="s">
        <v>122</v>
      </c>
      <c r="C694" s="5">
        <v>320</v>
      </c>
      <c r="D694" s="5">
        <v>320</v>
      </c>
      <c r="E694" s="5">
        <v>1</v>
      </c>
      <c r="F694" s="6">
        <v>60.397799999999997</v>
      </c>
      <c r="G694" s="5">
        <v>3.0087600000000001E-3</v>
      </c>
      <c r="H694" s="5">
        <v>60.398000000000003</v>
      </c>
      <c r="I694" s="5" t="s">
        <v>11</v>
      </c>
      <c r="J694" s="5">
        <v>1</v>
      </c>
      <c r="K694" s="5" t="s">
        <v>2</v>
      </c>
      <c r="L694" s="5" t="s">
        <v>3629</v>
      </c>
      <c r="M694" s="5" t="s">
        <v>3630</v>
      </c>
      <c r="N694" s="5" t="s">
        <v>3631</v>
      </c>
      <c r="O694" s="5">
        <v>6</v>
      </c>
      <c r="P694" s="6">
        <v>1278500</v>
      </c>
      <c r="Q694" s="5">
        <v>710410</v>
      </c>
      <c r="R694" s="5">
        <v>568090</v>
      </c>
      <c r="S694" s="5">
        <v>0.85863999999999996</v>
      </c>
      <c r="T694" s="5">
        <f>LOG(Table2[[#This Row],[ratio heavy to light normalized]],2)</f>
        <v>-0.21987471215817445</v>
      </c>
      <c r="U694" s="5">
        <v>0.79585641633328397</v>
      </c>
    </row>
    <row r="695" spans="1:21" x14ac:dyDescent="0.3">
      <c r="A695" s="5" t="s">
        <v>3202</v>
      </c>
      <c r="B695" s="5" t="s">
        <v>3203</v>
      </c>
      <c r="C695" s="5">
        <v>40</v>
      </c>
      <c r="D695" s="5">
        <v>40</v>
      </c>
      <c r="E695" s="5">
        <v>1</v>
      </c>
      <c r="F695" s="6">
        <v>69.715999999999994</v>
      </c>
      <c r="G695" s="7">
        <v>2.6373000000000001E-20</v>
      </c>
      <c r="H695" s="5">
        <v>103.88</v>
      </c>
      <c r="I695" s="5" t="s">
        <v>11</v>
      </c>
      <c r="J695" s="5">
        <v>1</v>
      </c>
      <c r="K695" s="5" t="s">
        <v>2</v>
      </c>
      <c r="L695" s="5" t="s">
        <v>3204</v>
      </c>
      <c r="M695" s="5" t="s">
        <v>3205</v>
      </c>
      <c r="N695" s="5" t="s">
        <v>3206</v>
      </c>
      <c r="O695" s="5">
        <v>10</v>
      </c>
      <c r="P695" s="6">
        <v>8857300</v>
      </c>
      <c r="Q695" s="5">
        <v>5022700</v>
      </c>
      <c r="R695" s="5">
        <v>3834600</v>
      </c>
      <c r="S695" s="5">
        <v>0.85833999999999999</v>
      </c>
      <c r="T695" s="5">
        <f>LOG(Table2[[#This Row],[ratio heavy to light normalized]],2)</f>
        <v>-0.22037886307044019</v>
      </c>
      <c r="U695" s="5">
        <v>0.67733659986735995</v>
      </c>
    </row>
    <row r="696" spans="1:21" x14ac:dyDescent="0.3">
      <c r="A696" s="5" t="s">
        <v>1919</v>
      </c>
      <c r="B696" s="5" t="s">
        <v>1920</v>
      </c>
      <c r="C696" s="5">
        <v>227</v>
      </c>
      <c r="D696" s="5">
        <v>227</v>
      </c>
      <c r="E696" s="5">
        <v>1</v>
      </c>
      <c r="F696" s="6">
        <v>68.734700000000004</v>
      </c>
      <c r="G696" s="5">
        <v>1.5733300000000001E-4</v>
      </c>
      <c r="H696" s="5">
        <v>68.734999999999999</v>
      </c>
      <c r="I696" s="5"/>
      <c r="J696" s="5">
        <v>1</v>
      </c>
      <c r="K696" s="5" t="s">
        <v>2</v>
      </c>
      <c r="L696" s="5" t="s">
        <v>4336</v>
      </c>
      <c r="M696" s="5" t="s">
        <v>4337</v>
      </c>
      <c r="N696" s="5" t="s">
        <v>4338</v>
      </c>
      <c r="O696" s="5">
        <v>6</v>
      </c>
      <c r="P696" s="6">
        <v>999390</v>
      </c>
      <c r="Q696" s="5">
        <v>617030</v>
      </c>
      <c r="R696" s="5">
        <v>382360</v>
      </c>
      <c r="S696" s="5">
        <v>0.85797000000000001</v>
      </c>
      <c r="T696" s="5">
        <f>LOG(Table2[[#This Row],[ratio heavy to light normalized]],2)</f>
        <v>-0.22100089192699662</v>
      </c>
      <c r="U696" s="5">
        <v>0.95973026907499404</v>
      </c>
    </row>
    <row r="697" spans="1:21" x14ac:dyDescent="0.3">
      <c r="A697" s="5" t="s">
        <v>3621</v>
      </c>
      <c r="B697" s="5" t="s">
        <v>3622</v>
      </c>
      <c r="C697" s="5">
        <v>454</v>
      </c>
      <c r="D697" s="5">
        <v>454</v>
      </c>
      <c r="E697" s="5">
        <v>1</v>
      </c>
      <c r="F697" s="6">
        <v>123.633</v>
      </c>
      <c r="G697" s="7">
        <v>1.0343800000000001E-47</v>
      </c>
      <c r="H697" s="5">
        <v>123.63</v>
      </c>
      <c r="I697" s="5" t="s">
        <v>11</v>
      </c>
      <c r="J697" s="5">
        <v>1</v>
      </c>
      <c r="K697" s="5" t="s">
        <v>2</v>
      </c>
      <c r="L697" s="5" t="s">
        <v>3623</v>
      </c>
      <c r="M697" s="5" t="s">
        <v>3624</v>
      </c>
      <c r="N697" s="5" t="s">
        <v>3625</v>
      </c>
      <c r="O697" s="5">
        <v>10</v>
      </c>
      <c r="P697" s="6">
        <v>2442000</v>
      </c>
      <c r="Q697" s="5">
        <v>1184200</v>
      </c>
      <c r="R697" s="5">
        <v>1257900</v>
      </c>
      <c r="S697" s="5">
        <v>0.8579</v>
      </c>
      <c r="T697" s="5">
        <f>LOG(Table2[[#This Row],[ratio heavy to light normalized]],2)</f>
        <v>-0.22111860323719876</v>
      </c>
      <c r="U697" s="5">
        <v>0.79340401817564399</v>
      </c>
    </row>
    <row r="698" spans="1:21" x14ac:dyDescent="0.3">
      <c r="A698" s="5" t="s">
        <v>417</v>
      </c>
      <c r="B698" s="5" t="s">
        <v>418</v>
      </c>
      <c r="C698" s="5">
        <v>31</v>
      </c>
      <c r="D698" s="5">
        <v>31</v>
      </c>
      <c r="E698" s="5">
        <v>1</v>
      </c>
      <c r="F698" s="6">
        <v>133.86199999999999</v>
      </c>
      <c r="G698" s="7">
        <v>3.84025E-33</v>
      </c>
      <c r="H698" s="5">
        <v>133.86000000000001</v>
      </c>
      <c r="I698" s="5" t="s">
        <v>11</v>
      </c>
      <c r="J698" s="5">
        <v>1</v>
      </c>
      <c r="K698" s="5" t="s">
        <v>2</v>
      </c>
      <c r="L698" s="5" t="s">
        <v>3188</v>
      </c>
      <c r="M698" s="5" t="s">
        <v>3189</v>
      </c>
      <c r="N698" s="5" t="s">
        <v>3190</v>
      </c>
      <c r="O698" s="5">
        <v>6</v>
      </c>
      <c r="P698" s="6">
        <v>10327000</v>
      </c>
      <c r="Q698" s="5">
        <v>5230300</v>
      </c>
      <c r="R698" s="5">
        <v>5096400</v>
      </c>
      <c r="S698" s="5">
        <v>0.85772999999999999</v>
      </c>
      <c r="T698" s="5">
        <f>LOG(Table2[[#This Row],[ratio heavy to light normalized]],2)</f>
        <v>-0.22140451355323873</v>
      </c>
      <c r="U698" s="5">
        <v>0.67479911221789901</v>
      </c>
    </row>
    <row r="699" spans="1:21" x14ac:dyDescent="0.3">
      <c r="A699" s="5" t="s">
        <v>1692</v>
      </c>
      <c r="B699" s="5" t="s">
        <v>1693</v>
      </c>
      <c r="C699" s="5">
        <v>19</v>
      </c>
      <c r="D699" s="5">
        <v>19</v>
      </c>
      <c r="E699" s="5">
        <v>1</v>
      </c>
      <c r="F699" s="6">
        <v>65.106800000000007</v>
      </c>
      <c r="G699" s="7">
        <v>1.0412599999999999E-11</v>
      </c>
      <c r="H699" s="5">
        <v>65.106999999999999</v>
      </c>
      <c r="I699" s="5" t="s">
        <v>11</v>
      </c>
      <c r="J699" s="5">
        <v>1</v>
      </c>
      <c r="K699" s="5" t="s">
        <v>2</v>
      </c>
      <c r="L699" s="5" t="s">
        <v>3170</v>
      </c>
      <c r="M699" s="5" t="s">
        <v>3171</v>
      </c>
      <c r="N699" s="5" t="s">
        <v>3172</v>
      </c>
      <c r="O699" s="5">
        <v>4</v>
      </c>
      <c r="P699" s="6">
        <v>2832500</v>
      </c>
      <c r="Q699" s="5">
        <v>1630900</v>
      </c>
      <c r="R699" s="5">
        <v>1201500</v>
      </c>
      <c r="S699" s="5">
        <v>0.85689000000000004</v>
      </c>
      <c r="T699" s="5">
        <f>LOG(Table2[[#This Row],[ratio heavy to light normalized]],2)</f>
        <v>-0.22281807916112661</v>
      </c>
      <c r="U699" s="5">
        <v>0.67130796770578904</v>
      </c>
    </row>
    <row r="700" spans="1:21" x14ac:dyDescent="0.3">
      <c r="A700" s="5" t="s">
        <v>3602</v>
      </c>
      <c r="B700" s="5" t="s">
        <v>3603</v>
      </c>
      <c r="C700" s="5">
        <v>167</v>
      </c>
      <c r="D700" s="5">
        <v>167</v>
      </c>
      <c r="E700" s="5">
        <v>1</v>
      </c>
      <c r="F700" s="6">
        <v>36.480699999999999</v>
      </c>
      <c r="G700" s="5">
        <v>6.6765300000000004E-4</v>
      </c>
      <c r="H700" s="5">
        <v>36.481000000000002</v>
      </c>
      <c r="I700" s="5" t="s">
        <v>11</v>
      </c>
      <c r="J700" s="5">
        <v>1</v>
      </c>
      <c r="K700" s="5" t="s">
        <v>2</v>
      </c>
      <c r="L700" s="5" t="s">
        <v>3604</v>
      </c>
      <c r="M700" s="5" t="s">
        <v>3605</v>
      </c>
      <c r="N700" s="5" t="s">
        <v>3606</v>
      </c>
      <c r="O700" s="5">
        <v>18</v>
      </c>
      <c r="P700" s="6">
        <v>1357800</v>
      </c>
      <c r="Q700" s="5">
        <v>757790</v>
      </c>
      <c r="R700" s="5">
        <v>600000</v>
      </c>
      <c r="S700" s="5">
        <v>0.85648999999999997</v>
      </c>
      <c r="T700" s="5">
        <f>LOG(Table2[[#This Row],[ratio heavy to light normalized]],2)</f>
        <v>-0.22349169275161987</v>
      </c>
      <c r="U700" s="5">
        <v>0.78873102584325605</v>
      </c>
    </row>
    <row r="701" spans="1:21" x14ac:dyDescent="0.3">
      <c r="A701" s="5" t="s">
        <v>4303</v>
      </c>
      <c r="B701" s="5" t="s">
        <v>4304</v>
      </c>
      <c r="C701" s="5">
        <v>139</v>
      </c>
      <c r="D701" s="5">
        <v>139</v>
      </c>
      <c r="E701" s="5">
        <v>1</v>
      </c>
      <c r="F701" s="6">
        <v>56.204799999999999</v>
      </c>
      <c r="G701" s="5">
        <v>1.2404199999999999E-4</v>
      </c>
      <c r="H701" s="5">
        <v>56.204999999999998</v>
      </c>
      <c r="I701" s="5" t="s">
        <v>11</v>
      </c>
      <c r="J701" s="5">
        <v>1</v>
      </c>
      <c r="K701" s="5" t="s">
        <v>2</v>
      </c>
      <c r="L701" s="5" t="s">
        <v>4305</v>
      </c>
      <c r="M701" s="5" t="s">
        <v>4306</v>
      </c>
      <c r="N701" s="5" t="s">
        <v>4307</v>
      </c>
      <c r="O701" s="5">
        <v>10</v>
      </c>
      <c r="P701" s="6">
        <v>519860</v>
      </c>
      <c r="Q701" s="5">
        <v>331960</v>
      </c>
      <c r="R701" s="5">
        <v>187890</v>
      </c>
      <c r="S701" s="5">
        <v>0.85429999999999995</v>
      </c>
      <c r="T701" s="5">
        <f>LOG(Table2[[#This Row],[ratio heavy to light normalized]],2)</f>
        <v>-0.22718531250080656</v>
      </c>
      <c r="U701" s="5">
        <v>0.94727798000762997</v>
      </c>
    </row>
    <row r="702" spans="1:21" x14ac:dyDescent="0.3">
      <c r="A702" s="5" t="s">
        <v>1267</v>
      </c>
      <c r="B702" s="5" t="s">
        <v>1268</v>
      </c>
      <c r="C702" s="5">
        <v>244</v>
      </c>
      <c r="D702" s="5">
        <v>244</v>
      </c>
      <c r="E702" s="5">
        <v>1</v>
      </c>
      <c r="F702" s="6">
        <v>116.30500000000001</v>
      </c>
      <c r="G702" s="7">
        <v>3.17603E-20</v>
      </c>
      <c r="H702" s="5">
        <v>116.3</v>
      </c>
      <c r="I702" s="5" t="s">
        <v>11</v>
      </c>
      <c r="J702" s="5">
        <v>1</v>
      </c>
      <c r="K702" s="5" t="s">
        <v>2</v>
      </c>
      <c r="L702" s="5" t="s">
        <v>3582</v>
      </c>
      <c r="M702" s="5" t="s">
        <v>3583</v>
      </c>
      <c r="N702" s="5" t="s">
        <v>3584</v>
      </c>
      <c r="O702" s="5">
        <v>9</v>
      </c>
      <c r="P702" s="6">
        <v>1807900</v>
      </c>
      <c r="Q702" s="5">
        <v>966490</v>
      </c>
      <c r="R702" s="5">
        <v>841420</v>
      </c>
      <c r="S702" s="5">
        <v>0.85416000000000003</v>
      </c>
      <c r="T702" s="5">
        <f>LOG(Table2[[#This Row],[ratio heavy to light normalized]],2)</f>
        <v>-0.22742175620587007</v>
      </c>
      <c r="U702" s="5">
        <v>0.78100887149549503</v>
      </c>
    </row>
    <row r="703" spans="1:21" x14ac:dyDescent="0.3">
      <c r="A703" s="5" t="s">
        <v>3120</v>
      </c>
      <c r="B703" s="5" t="s">
        <v>3121</v>
      </c>
      <c r="C703" s="5">
        <v>87</v>
      </c>
      <c r="D703" s="5">
        <v>87</v>
      </c>
      <c r="E703" s="5">
        <v>1</v>
      </c>
      <c r="F703" s="6">
        <v>85.808199999999999</v>
      </c>
      <c r="G703" s="7">
        <v>4.5663699999999998E-18</v>
      </c>
      <c r="H703" s="5">
        <v>85.808000000000007</v>
      </c>
      <c r="I703" s="5"/>
      <c r="J703" s="5">
        <v>1</v>
      </c>
      <c r="K703" s="5" t="s">
        <v>2</v>
      </c>
      <c r="L703" s="5" t="s">
        <v>3122</v>
      </c>
      <c r="M703" s="5" t="s">
        <v>3123</v>
      </c>
      <c r="N703" s="5" t="s">
        <v>3124</v>
      </c>
      <c r="O703" s="5">
        <v>13</v>
      </c>
      <c r="P703" s="6">
        <v>10844000</v>
      </c>
      <c r="Q703" s="5">
        <v>6087000</v>
      </c>
      <c r="R703" s="5">
        <v>4757400</v>
      </c>
      <c r="S703" s="5">
        <v>0.85385999999999995</v>
      </c>
      <c r="T703" s="5">
        <f>LOG(Table2[[#This Row],[ratio heavy to light normalized]],2)</f>
        <v>-0.22792855181331909</v>
      </c>
      <c r="U703" s="5">
        <v>0.65874593935282</v>
      </c>
    </row>
    <row r="704" spans="1:21" x14ac:dyDescent="0.3">
      <c r="A704" s="5" t="s">
        <v>4298</v>
      </c>
      <c r="B704" s="5" t="s">
        <v>4299</v>
      </c>
      <c r="C704" s="5">
        <v>318</v>
      </c>
      <c r="D704" s="5">
        <v>318</v>
      </c>
      <c r="E704" s="5">
        <v>1</v>
      </c>
      <c r="F704" s="6">
        <v>60.6282</v>
      </c>
      <c r="G704" s="7">
        <v>2.00271E-5</v>
      </c>
      <c r="H704" s="5">
        <v>60.628</v>
      </c>
      <c r="I704" s="5"/>
      <c r="J704" s="5">
        <v>1</v>
      </c>
      <c r="K704" s="5" t="s">
        <v>2</v>
      </c>
      <c r="L704" s="5" t="s">
        <v>4300</v>
      </c>
      <c r="M704" s="5" t="s">
        <v>4301</v>
      </c>
      <c r="N704" s="5" t="s">
        <v>4302</v>
      </c>
      <c r="O704" s="5">
        <v>6</v>
      </c>
      <c r="P704" s="6">
        <v>504990</v>
      </c>
      <c r="Q704" s="5">
        <v>271610</v>
      </c>
      <c r="R704" s="5">
        <v>233370</v>
      </c>
      <c r="S704" s="5">
        <v>0.85384000000000004</v>
      </c>
      <c r="T704" s="5">
        <f>LOG(Table2[[#This Row],[ratio heavy to light normalized]],2)</f>
        <v>-0.22796234451791472</v>
      </c>
      <c r="U704" s="5">
        <v>0.94571427867855196</v>
      </c>
    </row>
    <row r="705" spans="1:21" x14ac:dyDescent="0.3">
      <c r="A705" s="5" t="s">
        <v>4293</v>
      </c>
      <c r="B705" s="5" t="s">
        <v>4294</v>
      </c>
      <c r="C705" s="5">
        <v>171</v>
      </c>
      <c r="D705" s="5">
        <v>171</v>
      </c>
      <c r="E705" s="5">
        <v>1</v>
      </c>
      <c r="F705" s="6">
        <v>96.252899999999997</v>
      </c>
      <c r="G705" s="7">
        <v>3.8619000000000003E-11</v>
      </c>
      <c r="H705" s="5">
        <v>96.253</v>
      </c>
      <c r="I705" s="5" t="s">
        <v>11</v>
      </c>
      <c r="J705" s="5">
        <v>1</v>
      </c>
      <c r="K705" s="5" t="s">
        <v>2</v>
      </c>
      <c r="L705" s="5" t="s">
        <v>4295</v>
      </c>
      <c r="M705" s="5" t="s">
        <v>4296</v>
      </c>
      <c r="N705" s="5" t="s">
        <v>4297</v>
      </c>
      <c r="O705" s="5">
        <v>3</v>
      </c>
      <c r="P705" s="6">
        <v>370510</v>
      </c>
      <c r="Q705" s="5">
        <v>202780</v>
      </c>
      <c r="R705" s="5">
        <v>167720</v>
      </c>
      <c r="S705" s="5">
        <v>0.85338999999999998</v>
      </c>
      <c r="T705" s="5">
        <f>LOG(Table2[[#This Row],[ratio heavy to light normalized]],2)</f>
        <v>-0.22872288970917218</v>
      </c>
      <c r="U705" s="5">
        <v>0.94418395795355203</v>
      </c>
    </row>
    <row r="706" spans="1:21" x14ac:dyDescent="0.3">
      <c r="A706" s="5" t="s">
        <v>648</v>
      </c>
      <c r="B706" s="5" t="s">
        <v>649</v>
      </c>
      <c r="C706" s="5">
        <v>76</v>
      </c>
      <c r="D706" s="5">
        <v>76</v>
      </c>
      <c r="E706" s="5">
        <v>1</v>
      </c>
      <c r="F706" s="6">
        <v>110.29300000000001</v>
      </c>
      <c r="G706" s="7">
        <v>5.9506900000000002E-26</v>
      </c>
      <c r="H706" s="5">
        <v>110.29</v>
      </c>
      <c r="I706" s="5" t="s">
        <v>11</v>
      </c>
      <c r="J706" s="5">
        <v>1</v>
      </c>
      <c r="K706" s="5" t="s">
        <v>2</v>
      </c>
      <c r="L706" s="5" t="s">
        <v>3114</v>
      </c>
      <c r="M706" s="5" t="s">
        <v>3115</v>
      </c>
      <c r="N706" s="5" t="s">
        <v>3116</v>
      </c>
      <c r="O706" s="5">
        <v>12</v>
      </c>
      <c r="P706" s="6">
        <v>3231200</v>
      </c>
      <c r="Q706" s="5">
        <v>1710900</v>
      </c>
      <c r="R706" s="5">
        <v>1520200</v>
      </c>
      <c r="S706" s="5">
        <v>0.85321999999999998</v>
      </c>
      <c r="T706" s="5">
        <f>LOG(Table2[[#This Row],[ratio heavy to light normalized]],2)</f>
        <v>-0.22901031115609016</v>
      </c>
      <c r="U706" s="5">
        <v>0.65609902594482905</v>
      </c>
    </row>
    <row r="707" spans="1:21" x14ac:dyDescent="0.3">
      <c r="A707" s="5" t="s">
        <v>3084</v>
      </c>
      <c r="B707" s="5" t="s">
        <v>3085</v>
      </c>
      <c r="C707" s="5">
        <v>22</v>
      </c>
      <c r="D707" s="5">
        <v>22</v>
      </c>
      <c r="E707" s="5">
        <v>1</v>
      </c>
      <c r="F707" s="6">
        <v>100.11499999999999</v>
      </c>
      <c r="G707" s="7">
        <v>2.1432900000000001E-22</v>
      </c>
      <c r="H707" s="5">
        <v>100.11</v>
      </c>
      <c r="I707" s="5" t="s">
        <v>11</v>
      </c>
      <c r="J707" s="5">
        <v>1</v>
      </c>
      <c r="K707" s="5" t="s">
        <v>2</v>
      </c>
      <c r="L707" s="5" t="s">
        <v>3086</v>
      </c>
      <c r="M707" s="5" t="s">
        <v>3087</v>
      </c>
      <c r="N707" s="5" t="s">
        <v>3088</v>
      </c>
      <c r="O707" s="5">
        <v>7</v>
      </c>
      <c r="P707" s="6">
        <v>10875000</v>
      </c>
      <c r="Q707" s="5">
        <v>5020600</v>
      </c>
      <c r="R707" s="5">
        <v>5854600</v>
      </c>
      <c r="S707" s="5">
        <v>0.85141</v>
      </c>
      <c r="T707" s="5">
        <f>LOG(Table2[[#This Row],[ratio heavy to light normalized]],2)</f>
        <v>-0.23207405989378754</v>
      </c>
      <c r="U707" s="5">
        <v>0.64862594938400797</v>
      </c>
    </row>
    <row r="708" spans="1:21" x14ac:dyDescent="0.3">
      <c r="A708" s="5" t="s">
        <v>2586</v>
      </c>
      <c r="B708" s="5" t="s">
        <v>2587</v>
      </c>
      <c r="C708" s="5">
        <v>272</v>
      </c>
      <c r="D708" s="5">
        <v>272</v>
      </c>
      <c r="E708" s="5">
        <v>1</v>
      </c>
      <c r="F708" s="6">
        <v>83.417500000000004</v>
      </c>
      <c r="G708" s="7">
        <v>7.1666899999999995E-16</v>
      </c>
      <c r="H708" s="5">
        <v>83.418000000000006</v>
      </c>
      <c r="I708" s="5"/>
      <c r="J708" s="5">
        <v>1</v>
      </c>
      <c r="K708" s="5" t="s">
        <v>2</v>
      </c>
      <c r="L708" s="5" t="s">
        <v>3073</v>
      </c>
      <c r="M708" s="5" t="s">
        <v>3074</v>
      </c>
      <c r="N708" s="5" t="s">
        <v>3075</v>
      </c>
      <c r="O708" s="5">
        <v>17</v>
      </c>
      <c r="P708" s="6">
        <v>2764400</v>
      </c>
      <c r="Q708" s="5">
        <v>1627000</v>
      </c>
      <c r="R708" s="5">
        <v>1137500</v>
      </c>
      <c r="S708" s="5">
        <v>0.85084000000000004</v>
      </c>
      <c r="T708" s="5">
        <f>LOG(Table2[[#This Row],[ratio heavy to light normalized]],2)</f>
        <v>-0.23304023548966535</v>
      </c>
      <c r="U708" s="5">
        <v>0.64627653408733399</v>
      </c>
    </row>
    <row r="709" spans="1:21" x14ac:dyDescent="0.3">
      <c r="A709" s="5" t="s">
        <v>2705</v>
      </c>
      <c r="B709" s="5" t="s">
        <v>2706</v>
      </c>
      <c r="C709" s="5">
        <v>251</v>
      </c>
      <c r="D709" s="5">
        <v>251</v>
      </c>
      <c r="E709" s="5">
        <v>1</v>
      </c>
      <c r="F709" s="6">
        <v>116.539</v>
      </c>
      <c r="G709" s="7">
        <v>1.95927E-26</v>
      </c>
      <c r="H709" s="5">
        <v>116.54</v>
      </c>
      <c r="I709" s="5" t="s">
        <v>11</v>
      </c>
      <c r="J709" s="5">
        <v>1</v>
      </c>
      <c r="K709" s="5" t="s">
        <v>2</v>
      </c>
      <c r="L709" s="5" t="s">
        <v>3523</v>
      </c>
      <c r="M709" s="5" t="s">
        <v>3524</v>
      </c>
      <c r="N709" s="5" t="s">
        <v>3525</v>
      </c>
      <c r="O709" s="5">
        <v>12</v>
      </c>
      <c r="P709" s="6">
        <v>1786000</v>
      </c>
      <c r="Q709" s="5">
        <v>944800</v>
      </c>
      <c r="R709" s="5">
        <v>841220</v>
      </c>
      <c r="S709" s="5">
        <v>0.84999000000000002</v>
      </c>
      <c r="T709" s="5">
        <f>LOG(Table2[[#This Row],[ratio heavy to light normalized]],2)</f>
        <v>-0.23448222661969817</v>
      </c>
      <c r="U709" s="5">
        <v>0.767190377810545</v>
      </c>
    </row>
    <row r="710" spans="1:21" x14ac:dyDescent="0.3">
      <c r="A710" s="5" t="s">
        <v>2322</v>
      </c>
      <c r="B710" s="5" t="s">
        <v>2323</v>
      </c>
      <c r="C710" s="5">
        <v>37</v>
      </c>
      <c r="D710" s="5">
        <v>37</v>
      </c>
      <c r="E710" s="5">
        <v>1</v>
      </c>
      <c r="F710" s="6">
        <v>48.740900000000003</v>
      </c>
      <c r="G710" s="5">
        <v>1.42951E-2</v>
      </c>
      <c r="H710" s="5">
        <v>48.741</v>
      </c>
      <c r="I710" s="5" t="s">
        <v>11</v>
      </c>
      <c r="J710" s="5">
        <v>1</v>
      </c>
      <c r="K710" s="5" t="s">
        <v>2</v>
      </c>
      <c r="L710" s="5" t="s">
        <v>3059</v>
      </c>
      <c r="M710" s="5" t="s">
        <v>3060</v>
      </c>
      <c r="N710" s="5" t="s">
        <v>3061</v>
      </c>
      <c r="O710" s="5">
        <v>9</v>
      </c>
      <c r="P710" s="6">
        <v>3199600</v>
      </c>
      <c r="Q710" s="5">
        <v>1777600</v>
      </c>
      <c r="R710" s="5">
        <v>1422000</v>
      </c>
      <c r="S710" s="5">
        <v>0.84945999999999999</v>
      </c>
      <c r="T710" s="5">
        <f>LOG(Table2[[#This Row],[ratio heavy to light normalized]],2)</f>
        <v>-0.23538208056828211</v>
      </c>
      <c r="U710" s="5">
        <v>0.64059660571229504</v>
      </c>
    </row>
    <row r="711" spans="1:21" x14ac:dyDescent="0.3">
      <c r="A711" s="5" t="s">
        <v>3051</v>
      </c>
      <c r="B711" s="5" t="s">
        <v>3052</v>
      </c>
      <c r="C711" s="5">
        <v>288</v>
      </c>
      <c r="D711" s="5">
        <v>288</v>
      </c>
      <c r="E711" s="5">
        <v>1</v>
      </c>
      <c r="F711" s="6">
        <v>45.432899999999997</v>
      </c>
      <c r="G711" s="7">
        <v>5.8007999999999998E-11</v>
      </c>
      <c r="H711" s="5">
        <v>87.298000000000002</v>
      </c>
      <c r="I711" s="5"/>
      <c r="J711" s="5">
        <v>1</v>
      </c>
      <c r="K711" s="5" t="s">
        <v>2</v>
      </c>
      <c r="L711" s="5" t="s">
        <v>3053</v>
      </c>
      <c r="M711" s="5" t="s">
        <v>3054</v>
      </c>
      <c r="N711" s="5" t="s">
        <v>3055</v>
      </c>
      <c r="O711" s="5">
        <v>7</v>
      </c>
      <c r="P711" s="6">
        <v>3140400</v>
      </c>
      <c r="Q711" s="5">
        <v>1410400</v>
      </c>
      <c r="R711" s="5">
        <v>1730000</v>
      </c>
      <c r="S711" s="5">
        <v>0.84914999999999996</v>
      </c>
      <c r="T711" s="5">
        <f>LOG(Table2[[#This Row],[ratio heavy to light normalized]],2)</f>
        <v>-0.23590867050669176</v>
      </c>
      <c r="U711" s="5">
        <v>0.63932228892587795</v>
      </c>
    </row>
    <row r="712" spans="1:21" x14ac:dyDescent="0.3">
      <c r="A712" s="5" t="s">
        <v>61</v>
      </c>
      <c r="B712" s="5" t="s">
        <v>62</v>
      </c>
      <c r="C712" s="5">
        <v>80</v>
      </c>
      <c r="D712" s="5">
        <v>80</v>
      </c>
      <c r="E712" s="5">
        <v>1</v>
      </c>
      <c r="F712" s="6">
        <v>60.972900000000003</v>
      </c>
      <c r="G712" s="5">
        <v>2.7371900000000001E-4</v>
      </c>
      <c r="H712" s="5">
        <v>60.972999999999999</v>
      </c>
      <c r="I712" s="5" t="s">
        <v>11</v>
      </c>
      <c r="J712" s="5">
        <v>1</v>
      </c>
      <c r="K712" s="5" t="s">
        <v>2</v>
      </c>
      <c r="L712" s="5" t="s">
        <v>3048</v>
      </c>
      <c r="M712" s="5" t="s">
        <v>3049</v>
      </c>
      <c r="N712" s="5" t="s">
        <v>3050</v>
      </c>
      <c r="O712" s="5">
        <v>5</v>
      </c>
      <c r="P712" s="6">
        <v>3363000</v>
      </c>
      <c r="Q712" s="5">
        <v>1598800</v>
      </c>
      <c r="R712" s="5">
        <v>1764200</v>
      </c>
      <c r="S712" s="5">
        <v>0.84904000000000002</v>
      </c>
      <c r="T712" s="5">
        <f>LOG(Table2[[#This Row],[ratio heavy to light normalized]],2)</f>
        <v>-0.23609557121240743</v>
      </c>
      <c r="U712" s="5">
        <v>0.63887025575844703</v>
      </c>
    </row>
    <row r="713" spans="1:21" x14ac:dyDescent="0.3">
      <c r="A713" s="5" t="s">
        <v>2844</v>
      </c>
      <c r="B713" s="5" t="s">
        <v>2845</v>
      </c>
      <c r="C713" s="5">
        <v>7</v>
      </c>
      <c r="D713" s="5">
        <v>7</v>
      </c>
      <c r="E713" s="5">
        <v>1</v>
      </c>
      <c r="F713" s="6">
        <v>68.830200000000005</v>
      </c>
      <c r="G713" s="7">
        <v>7.9362599999999992E-9</v>
      </c>
      <c r="H713" s="5">
        <v>68.83</v>
      </c>
      <c r="I713" s="5" t="s">
        <v>11</v>
      </c>
      <c r="J713" s="5">
        <v>1</v>
      </c>
      <c r="K713" s="5" t="s">
        <v>2</v>
      </c>
      <c r="L713" s="5" t="s">
        <v>3031</v>
      </c>
      <c r="M713" s="5" t="s">
        <v>3032</v>
      </c>
      <c r="N713" s="5" t="s">
        <v>3033</v>
      </c>
      <c r="O713" s="5">
        <v>5</v>
      </c>
      <c r="P713" s="6">
        <v>9515000</v>
      </c>
      <c r="Q713" s="5">
        <v>5258000</v>
      </c>
      <c r="R713" s="5">
        <v>4257000</v>
      </c>
      <c r="S713" s="5">
        <v>0.84840000000000004</v>
      </c>
      <c r="T713" s="5">
        <f>LOG(Table2[[#This Row],[ratio heavy to light normalized]],2)</f>
        <v>-0.23718347401889431</v>
      </c>
      <c r="U713" s="5">
        <v>0.63624174951578705</v>
      </c>
    </row>
    <row r="714" spans="1:21" x14ac:dyDescent="0.3">
      <c r="A714" s="5" t="s">
        <v>2559</v>
      </c>
      <c r="B714" s="5" t="s">
        <v>2560</v>
      </c>
      <c r="C714" s="5">
        <v>24</v>
      </c>
      <c r="D714" s="5">
        <v>24</v>
      </c>
      <c r="E714" s="5">
        <v>1</v>
      </c>
      <c r="F714" s="6">
        <v>41.9666</v>
      </c>
      <c r="G714" s="5">
        <v>1.1881400000000001E-3</v>
      </c>
      <c r="H714" s="5">
        <v>41.966999999999999</v>
      </c>
      <c r="I714" s="5"/>
      <c r="J714" s="5">
        <v>1</v>
      </c>
      <c r="K714" s="5" t="s">
        <v>2</v>
      </c>
      <c r="L714" s="5" t="s">
        <v>4205</v>
      </c>
      <c r="M714" s="5" t="s">
        <v>4206</v>
      </c>
      <c r="N714" s="5" t="s">
        <v>4207</v>
      </c>
      <c r="O714" s="5">
        <v>14</v>
      </c>
      <c r="P714" s="6">
        <v>786700</v>
      </c>
      <c r="Q714" s="5">
        <v>458230</v>
      </c>
      <c r="R714" s="5">
        <v>328460</v>
      </c>
      <c r="S714" s="5">
        <v>0.84799000000000002</v>
      </c>
      <c r="T714" s="5">
        <f>LOG(Table2[[#This Row],[ratio heavy to light normalized]],2)</f>
        <v>-0.23788084311241867</v>
      </c>
      <c r="U714" s="5">
        <v>0.92577470233660797</v>
      </c>
    </row>
    <row r="715" spans="1:21" x14ac:dyDescent="0.3">
      <c r="A715" s="5" t="s">
        <v>4185</v>
      </c>
      <c r="B715" s="5" t="s">
        <v>4186</v>
      </c>
      <c r="C715" s="5">
        <v>346</v>
      </c>
      <c r="D715" s="5">
        <v>346</v>
      </c>
      <c r="E715" s="5">
        <v>1</v>
      </c>
      <c r="F715" s="6">
        <v>78.285399999999996</v>
      </c>
      <c r="G715" s="7">
        <v>8.8046599999999998E-15</v>
      </c>
      <c r="H715" s="5">
        <v>78.284999999999997</v>
      </c>
      <c r="I715" s="5"/>
      <c r="J715" s="5">
        <v>1</v>
      </c>
      <c r="K715" s="5" t="s">
        <v>2</v>
      </c>
      <c r="L715" s="5" t="s">
        <v>4187</v>
      </c>
      <c r="M715" s="5" t="s">
        <v>4188</v>
      </c>
      <c r="N715" s="5" t="s">
        <v>4189</v>
      </c>
      <c r="O715" s="5">
        <v>15</v>
      </c>
      <c r="P715" s="6">
        <v>746690</v>
      </c>
      <c r="Q715" s="5">
        <v>366510</v>
      </c>
      <c r="R715" s="5">
        <v>380180</v>
      </c>
      <c r="S715" s="5">
        <v>0.84706000000000004</v>
      </c>
      <c r="T715" s="5">
        <f>LOG(Table2[[#This Row],[ratio heavy to light normalized]],2)</f>
        <v>-0.23946393095366847</v>
      </c>
      <c r="U715" s="5">
        <v>0.92259613729349299</v>
      </c>
    </row>
    <row r="716" spans="1:21" x14ac:dyDescent="0.3">
      <c r="A716" s="5" t="s">
        <v>1009</v>
      </c>
      <c r="B716" s="5" t="s">
        <v>1010</v>
      </c>
      <c r="C716" s="5">
        <v>57</v>
      </c>
      <c r="D716" s="5">
        <v>57</v>
      </c>
      <c r="E716" s="5">
        <v>1</v>
      </c>
      <c r="F716" s="6">
        <v>93.0578</v>
      </c>
      <c r="G716" s="7">
        <v>2.6054100000000001E-11</v>
      </c>
      <c r="H716" s="5">
        <v>93.058000000000007</v>
      </c>
      <c r="I716" s="5"/>
      <c r="J716" s="5">
        <v>1</v>
      </c>
      <c r="K716" s="5" t="s">
        <v>2</v>
      </c>
      <c r="L716" s="5" t="s">
        <v>2983</v>
      </c>
      <c r="M716" s="5" t="s">
        <v>2984</v>
      </c>
      <c r="N716" s="5" t="s">
        <v>2985</v>
      </c>
      <c r="O716" s="5">
        <v>8</v>
      </c>
      <c r="P716" s="6">
        <v>3351300</v>
      </c>
      <c r="Q716" s="5">
        <v>1718300</v>
      </c>
      <c r="R716" s="5">
        <v>1633000</v>
      </c>
      <c r="S716" s="5">
        <v>0.84565000000000001</v>
      </c>
      <c r="T716" s="5">
        <f>LOG(Table2[[#This Row],[ratio heavy to light normalized]],2)</f>
        <v>-0.24186741469056183</v>
      </c>
      <c r="U716" s="5">
        <v>0.624977341196434</v>
      </c>
    </row>
    <row r="717" spans="1:21" x14ac:dyDescent="0.3">
      <c r="A717" s="5" t="s">
        <v>210</v>
      </c>
      <c r="B717" s="5" t="s">
        <v>211</v>
      </c>
      <c r="C717" s="5">
        <v>219</v>
      </c>
      <c r="D717" s="5">
        <v>219</v>
      </c>
      <c r="E717" s="5">
        <v>1</v>
      </c>
      <c r="F717" s="6">
        <v>86.624300000000005</v>
      </c>
      <c r="G717" s="7">
        <v>1.22938E-8</v>
      </c>
      <c r="H717" s="5">
        <v>86.623999999999995</v>
      </c>
      <c r="I717" s="5" t="s">
        <v>11</v>
      </c>
      <c r="J717" s="5">
        <v>1</v>
      </c>
      <c r="K717" s="5" t="s">
        <v>2</v>
      </c>
      <c r="L717" s="5" t="s">
        <v>3476</v>
      </c>
      <c r="M717" s="5" t="s">
        <v>3477</v>
      </c>
      <c r="N717" s="5" t="s">
        <v>3478</v>
      </c>
      <c r="O717" s="5">
        <v>7</v>
      </c>
      <c r="P717" s="6">
        <v>1283600</v>
      </c>
      <c r="Q717" s="5">
        <v>728640</v>
      </c>
      <c r="R717" s="5">
        <v>554940</v>
      </c>
      <c r="S717" s="5">
        <v>0.84494000000000002</v>
      </c>
      <c r="T717" s="5">
        <f>LOG(Table2[[#This Row],[ratio heavy to light normalized]],2)</f>
        <v>-0.24307919701419164</v>
      </c>
      <c r="U717" s="5">
        <v>0.75046451443229001</v>
      </c>
    </row>
    <row r="718" spans="1:21" x14ac:dyDescent="0.3">
      <c r="A718" s="5" t="s">
        <v>1443</v>
      </c>
      <c r="B718" s="5" t="s">
        <v>1444</v>
      </c>
      <c r="C718" s="5">
        <v>96</v>
      </c>
      <c r="D718" s="5">
        <v>96</v>
      </c>
      <c r="E718" s="5">
        <v>1</v>
      </c>
      <c r="F718" s="6">
        <v>64.121200000000002</v>
      </c>
      <c r="G718" s="7">
        <v>1.26883E-5</v>
      </c>
      <c r="H718" s="5">
        <v>64.120999999999995</v>
      </c>
      <c r="I718" s="5" t="s">
        <v>11</v>
      </c>
      <c r="J718" s="5">
        <v>1</v>
      </c>
      <c r="K718" s="5" t="s">
        <v>2</v>
      </c>
      <c r="L718" s="5" t="s">
        <v>4155</v>
      </c>
      <c r="M718" s="5" t="s">
        <v>4156</v>
      </c>
      <c r="N718" s="5" t="s">
        <v>4157</v>
      </c>
      <c r="O718" s="5">
        <v>7</v>
      </c>
      <c r="P718" s="6">
        <v>640510</v>
      </c>
      <c r="Q718" s="5">
        <v>387770</v>
      </c>
      <c r="R718" s="5">
        <v>252730</v>
      </c>
      <c r="S718" s="5">
        <v>0.84474000000000005</v>
      </c>
      <c r="T718" s="5">
        <f>LOG(Table2[[#This Row],[ratio heavy to light normalized]],2)</f>
        <v>-0.24342072796623615</v>
      </c>
      <c r="U718" s="5">
        <v>0.91465709117819405</v>
      </c>
    </row>
    <row r="719" spans="1:21" x14ac:dyDescent="0.3">
      <c r="A719" s="5" t="s">
        <v>407</v>
      </c>
      <c r="B719" s="5" t="s">
        <v>408</v>
      </c>
      <c r="C719" s="5">
        <v>1030</v>
      </c>
      <c r="D719" s="5">
        <v>1030</v>
      </c>
      <c r="E719" s="5">
        <v>1</v>
      </c>
      <c r="F719" s="6">
        <v>37.849600000000002</v>
      </c>
      <c r="G719" s="5">
        <v>6.0921399999999996E-4</v>
      </c>
      <c r="H719" s="5">
        <v>37.85</v>
      </c>
      <c r="I719" s="5"/>
      <c r="J719" s="5">
        <v>1</v>
      </c>
      <c r="K719" s="5" t="s">
        <v>2</v>
      </c>
      <c r="L719" s="5" t="s">
        <v>4149</v>
      </c>
      <c r="M719" s="5" t="s">
        <v>4150</v>
      </c>
      <c r="N719" s="5" t="s">
        <v>4151</v>
      </c>
      <c r="O719" s="5">
        <v>12</v>
      </c>
      <c r="P719" s="6">
        <v>519540</v>
      </c>
      <c r="Q719" s="5">
        <v>327530</v>
      </c>
      <c r="R719" s="5">
        <v>192020</v>
      </c>
      <c r="S719" s="5">
        <v>0.84453999999999996</v>
      </c>
      <c r="T719" s="5">
        <f>LOG(Table2[[#This Row],[ratio heavy to light normalized]],2)</f>
        <v>-0.24376233978846346</v>
      </c>
      <c r="U719" s="5">
        <v>0.91397205775977897</v>
      </c>
    </row>
    <row r="720" spans="1:21" x14ac:dyDescent="0.3">
      <c r="A720" s="5" t="s">
        <v>894</v>
      </c>
      <c r="B720" s="5" t="s">
        <v>895</v>
      </c>
      <c r="C720" s="5">
        <v>1122</v>
      </c>
      <c r="D720" s="5">
        <v>1122</v>
      </c>
      <c r="E720" s="5">
        <v>1</v>
      </c>
      <c r="F720" s="6">
        <v>63.9176</v>
      </c>
      <c r="G720" s="7">
        <v>3.5024800000000001E-9</v>
      </c>
      <c r="H720" s="5">
        <v>63.917999999999999</v>
      </c>
      <c r="I720" s="5" t="s">
        <v>11</v>
      </c>
      <c r="J720" s="5">
        <v>1</v>
      </c>
      <c r="K720" s="5" t="s">
        <v>2</v>
      </c>
      <c r="L720" s="5" t="s">
        <v>4141</v>
      </c>
      <c r="M720" s="5" t="s">
        <v>4142</v>
      </c>
      <c r="N720" s="5" t="s">
        <v>4143</v>
      </c>
      <c r="O720" s="5">
        <v>17</v>
      </c>
      <c r="P720" s="6">
        <v>640700</v>
      </c>
      <c r="Q720" s="5">
        <v>379480</v>
      </c>
      <c r="R720" s="5">
        <v>261220</v>
      </c>
      <c r="S720" s="5">
        <v>0.84438999999999997</v>
      </c>
      <c r="T720" s="5">
        <f>LOG(Table2[[#This Row],[ratio heavy to light normalized]],2)</f>
        <v>-0.24401860174923426</v>
      </c>
      <c r="U720" s="5">
        <v>0.91345821814759698</v>
      </c>
    </row>
    <row r="721" spans="1:21" x14ac:dyDescent="0.3">
      <c r="A721" s="5" t="s">
        <v>917</v>
      </c>
      <c r="B721" s="5" t="s">
        <v>918</v>
      </c>
      <c r="C721" s="5">
        <v>93</v>
      </c>
      <c r="D721" s="5">
        <v>93</v>
      </c>
      <c r="E721" s="5">
        <v>1</v>
      </c>
      <c r="F721" s="6">
        <v>51.210900000000002</v>
      </c>
      <c r="G721" s="5">
        <v>1.47091E-3</v>
      </c>
      <c r="H721" s="5">
        <v>51.210999999999999</v>
      </c>
      <c r="I721" s="5"/>
      <c r="J721" s="5">
        <v>1</v>
      </c>
      <c r="K721" s="5" t="s">
        <v>2</v>
      </c>
      <c r="L721" s="5" t="s">
        <v>3470</v>
      </c>
      <c r="M721" s="5" t="s">
        <v>3471</v>
      </c>
      <c r="N721" s="5" t="s">
        <v>3472</v>
      </c>
      <c r="O721" s="5">
        <v>6</v>
      </c>
      <c r="P721" s="6">
        <v>1692700</v>
      </c>
      <c r="Q721" s="5">
        <v>921710</v>
      </c>
      <c r="R721" s="5">
        <v>770950</v>
      </c>
      <c r="S721" s="5">
        <v>0.84419999999999995</v>
      </c>
      <c r="T721" s="5">
        <f>LOG(Table2[[#This Row],[ratio heavy to light normalized]],2)</f>
        <v>-0.24434326559176059</v>
      </c>
      <c r="U721" s="5">
        <v>0.74801485084744002</v>
      </c>
    </row>
    <row r="722" spans="1:21" x14ac:dyDescent="0.3">
      <c r="A722" s="5" t="s">
        <v>2940</v>
      </c>
      <c r="B722" s="5" t="s">
        <v>2941</v>
      </c>
      <c r="C722" s="5">
        <v>59</v>
      </c>
      <c r="D722" s="5">
        <v>59</v>
      </c>
      <c r="E722" s="5">
        <v>1</v>
      </c>
      <c r="F722" s="6">
        <v>40.552</v>
      </c>
      <c r="G722" s="7">
        <v>1.2894800000000001E-5</v>
      </c>
      <c r="H722" s="5">
        <v>64.224000000000004</v>
      </c>
      <c r="I722" s="5"/>
      <c r="J722" s="5">
        <v>1</v>
      </c>
      <c r="K722" s="5" t="s">
        <v>2</v>
      </c>
      <c r="L722" s="5" t="s">
        <v>2942</v>
      </c>
      <c r="M722" s="5" t="s">
        <v>2943</v>
      </c>
      <c r="N722" s="5" t="s">
        <v>2944</v>
      </c>
      <c r="O722" s="5">
        <v>4</v>
      </c>
      <c r="P722" s="6">
        <v>7105300</v>
      </c>
      <c r="Q722" s="5">
        <v>4119500</v>
      </c>
      <c r="R722" s="5">
        <v>2985800</v>
      </c>
      <c r="S722" s="5">
        <v>0.84396000000000004</v>
      </c>
      <c r="T722" s="5">
        <f>LOG(Table2[[#This Row],[ratio heavy to light normalized]],2)</f>
        <v>-0.24475347174774809</v>
      </c>
      <c r="U722" s="5">
        <v>0.61807980734844603</v>
      </c>
    </row>
    <row r="723" spans="1:21" x14ac:dyDescent="0.3">
      <c r="A723" s="5" t="s">
        <v>2930</v>
      </c>
      <c r="B723" s="5" t="s">
        <v>2931</v>
      </c>
      <c r="C723" s="5">
        <v>473</v>
      </c>
      <c r="D723" s="5">
        <v>473</v>
      </c>
      <c r="E723" s="5">
        <v>1</v>
      </c>
      <c r="F723" s="6">
        <v>83.691599999999994</v>
      </c>
      <c r="G723" s="7">
        <v>1.00176E-13</v>
      </c>
      <c r="H723" s="5">
        <v>83.691999999999993</v>
      </c>
      <c r="I723" s="5"/>
      <c r="J723" s="5">
        <v>1</v>
      </c>
      <c r="K723" s="5" t="s">
        <v>2</v>
      </c>
      <c r="L723" s="5" t="s">
        <v>2932</v>
      </c>
      <c r="M723" s="5" t="s">
        <v>2933</v>
      </c>
      <c r="N723" s="5" t="s">
        <v>2934</v>
      </c>
      <c r="O723" s="5">
        <v>4</v>
      </c>
      <c r="P723" s="6">
        <v>12367000</v>
      </c>
      <c r="Q723" s="5">
        <v>6442600</v>
      </c>
      <c r="R723" s="5">
        <v>5924200</v>
      </c>
      <c r="S723" s="5">
        <v>0.84338000000000002</v>
      </c>
      <c r="T723" s="5">
        <f>LOG(Table2[[#This Row],[ratio heavy to light normalized]],2)</f>
        <v>-0.24574528508314161</v>
      </c>
      <c r="U723" s="5">
        <v>0.615717131992086</v>
      </c>
    </row>
    <row r="724" spans="1:21" x14ac:dyDescent="0.3">
      <c r="A724" s="5" t="s">
        <v>1473</v>
      </c>
      <c r="B724" s="5" t="s">
        <v>1474</v>
      </c>
      <c r="C724" s="5">
        <v>287</v>
      </c>
      <c r="D724" s="5">
        <v>287</v>
      </c>
      <c r="E724" s="5">
        <v>1</v>
      </c>
      <c r="F724" s="6">
        <v>33.313200000000002</v>
      </c>
      <c r="G724" s="7">
        <v>1.01341E-10</v>
      </c>
      <c r="H724" s="5">
        <v>70.528999999999996</v>
      </c>
      <c r="I724" s="5"/>
      <c r="J724" s="5">
        <v>1</v>
      </c>
      <c r="K724" s="5" t="s">
        <v>2</v>
      </c>
      <c r="L724" s="5" t="s">
        <v>2917</v>
      </c>
      <c r="M724" s="5" t="s">
        <v>2918</v>
      </c>
      <c r="N724" s="5" t="s">
        <v>2919</v>
      </c>
      <c r="O724" s="5">
        <v>13</v>
      </c>
      <c r="P724" s="6">
        <v>4342600</v>
      </c>
      <c r="Q724" s="5">
        <v>2511900</v>
      </c>
      <c r="R724" s="5">
        <v>1830700</v>
      </c>
      <c r="S724" s="5">
        <v>0.84286000000000005</v>
      </c>
      <c r="T724" s="5">
        <f>LOG(Table2[[#This Row],[ratio heavy to light normalized]],2)</f>
        <v>-0.24663507709975002</v>
      </c>
      <c r="U724" s="5">
        <v>0.61360087280838005</v>
      </c>
    </row>
    <row r="725" spans="1:21" x14ac:dyDescent="0.3">
      <c r="A725" s="5" t="s">
        <v>43</v>
      </c>
      <c r="B725" s="5" t="s">
        <v>44</v>
      </c>
      <c r="C725" s="5">
        <v>477</v>
      </c>
      <c r="D725" s="5">
        <v>477</v>
      </c>
      <c r="E725" s="5">
        <v>1</v>
      </c>
      <c r="F725" s="6">
        <v>55.567100000000003</v>
      </c>
      <c r="G725" s="5">
        <v>1.03064E-2</v>
      </c>
      <c r="H725" s="5">
        <v>55.567</v>
      </c>
      <c r="I725" s="5" t="s">
        <v>11</v>
      </c>
      <c r="J725" s="5">
        <v>1</v>
      </c>
      <c r="K725" s="5" t="s">
        <v>2</v>
      </c>
      <c r="L725" s="5" t="s">
        <v>3448</v>
      </c>
      <c r="M725" s="5" t="s">
        <v>3449</v>
      </c>
      <c r="N725" s="5" t="s">
        <v>3450</v>
      </c>
      <c r="O725" s="5">
        <v>8</v>
      </c>
      <c r="P725" s="6">
        <v>1148700</v>
      </c>
      <c r="Q725" s="5">
        <v>668290</v>
      </c>
      <c r="R725" s="5">
        <v>480370</v>
      </c>
      <c r="S725" s="5">
        <v>0.84263999999999994</v>
      </c>
      <c r="T725" s="5">
        <f>LOG(Table2[[#This Row],[ratio heavy to light normalized]],2)</f>
        <v>-0.24701169283490063</v>
      </c>
      <c r="U725" s="5">
        <v>0.74285202581676002</v>
      </c>
    </row>
    <row r="726" spans="1:21" x14ac:dyDescent="0.3">
      <c r="A726" s="5" t="s">
        <v>1095</v>
      </c>
      <c r="B726" s="5" t="s">
        <v>1096</v>
      </c>
      <c r="C726" s="5">
        <v>443</v>
      </c>
      <c r="D726" s="5">
        <v>443</v>
      </c>
      <c r="E726" s="5">
        <v>1</v>
      </c>
      <c r="F726" s="6">
        <v>75.293999999999997</v>
      </c>
      <c r="G726" s="7">
        <v>1.17876E-5</v>
      </c>
      <c r="H726" s="5">
        <v>75.293999999999997</v>
      </c>
      <c r="I726" s="5" t="s">
        <v>11</v>
      </c>
      <c r="J726" s="5">
        <v>1</v>
      </c>
      <c r="K726" s="5" t="s">
        <v>2</v>
      </c>
      <c r="L726" s="5" t="s">
        <v>3431</v>
      </c>
      <c r="M726" s="5" t="s">
        <v>3432</v>
      </c>
      <c r="N726" s="5" t="s">
        <v>3433</v>
      </c>
      <c r="O726" s="5">
        <v>3</v>
      </c>
      <c r="P726" s="6">
        <v>2555400</v>
      </c>
      <c r="Q726" s="5">
        <v>1205000</v>
      </c>
      <c r="R726" s="5">
        <v>1350400</v>
      </c>
      <c r="S726" s="5">
        <v>0.84184000000000003</v>
      </c>
      <c r="T726" s="5">
        <f>LOG(Table2[[#This Row],[ratio heavy to light normalized]],2)</f>
        <v>-0.24838203397220762</v>
      </c>
      <c r="U726" s="5">
        <v>0.74020518585227302</v>
      </c>
    </row>
    <row r="727" spans="1:21" x14ac:dyDescent="0.3">
      <c r="A727" s="5" t="s">
        <v>508</v>
      </c>
      <c r="B727" s="5" t="s">
        <v>509</v>
      </c>
      <c r="C727" s="5">
        <v>286</v>
      </c>
      <c r="D727" s="5">
        <v>286</v>
      </c>
      <c r="E727" s="5">
        <v>1</v>
      </c>
      <c r="F727" s="6">
        <v>25.938500000000001</v>
      </c>
      <c r="G727" s="5">
        <v>0.56030199999999997</v>
      </c>
      <c r="H727" s="5">
        <v>25.937999999999999</v>
      </c>
      <c r="I727" s="5"/>
      <c r="J727" s="5">
        <v>1</v>
      </c>
      <c r="K727" s="5" t="s">
        <v>2</v>
      </c>
      <c r="L727" s="5" t="s">
        <v>2986</v>
      </c>
      <c r="M727" s="5" t="s">
        <v>2987</v>
      </c>
      <c r="N727" s="5" t="s">
        <v>2988</v>
      </c>
      <c r="O727" s="5">
        <v>3</v>
      </c>
      <c r="P727" s="6">
        <v>490650</v>
      </c>
      <c r="Q727" s="5">
        <v>254030</v>
      </c>
      <c r="R727" s="5">
        <v>236630</v>
      </c>
      <c r="S727" s="5">
        <v>0.76100000000000001</v>
      </c>
      <c r="T727" s="5">
        <f>LOG(Table2[[#This Row],[ratio heavy to light normalized]],2)</f>
        <v>-0.39403164115854161</v>
      </c>
      <c r="U727" s="5">
        <v>0.62562820836051103</v>
      </c>
    </row>
    <row r="728" spans="1:21" x14ac:dyDescent="0.3">
      <c r="A728" s="5" t="s">
        <v>1900</v>
      </c>
      <c r="B728" s="5" t="s">
        <v>1901</v>
      </c>
      <c r="C728" s="5">
        <v>413</v>
      </c>
      <c r="D728" s="5">
        <v>413</v>
      </c>
      <c r="E728" s="5">
        <v>1</v>
      </c>
      <c r="F728" s="6">
        <v>67.417599999999993</v>
      </c>
      <c r="G728" s="7">
        <v>7.0813800000000002E-37</v>
      </c>
      <c r="H728" s="5">
        <v>114.4</v>
      </c>
      <c r="I728" s="5" t="s">
        <v>11</v>
      </c>
      <c r="J728" s="5">
        <v>1</v>
      </c>
      <c r="K728" s="5" t="s">
        <v>2</v>
      </c>
      <c r="L728" s="5" t="s">
        <v>2902</v>
      </c>
      <c r="M728" s="5" t="s">
        <v>2903</v>
      </c>
      <c r="N728" s="5" t="s">
        <v>2904</v>
      </c>
      <c r="O728" s="5">
        <v>11</v>
      </c>
      <c r="P728" s="6">
        <v>5290700</v>
      </c>
      <c r="Q728" s="5">
        <v>2807700</v>
      </c>
      <c r="R728" s="5">
        <v>2483100</v>
      </c>
      <c r="S728" s="5">
        <v>0.84052000000000004</v>
      </c>
      <c r="T728" s="5">
        <f>LOG(Table2[[#This Row],[ratio heavy to light normalized]],2)</f>
        <v>-0.25064594638662308</v>
      </c>
      <c r="U728" s="5">
        <v>0.60410163221478197</v>
      </c>
    </row>
    <row r="729" spans="1:21" x14ac:dyDescent="0.3">
      <c r="A729" s="5" t="s">
        <v>323</v>
      </c>
      <c r="B729" s="5" t="s">
        <v>324</v>
      </c>
      <c r="C729" s="5">
        <v>159</v>
      </c>
      <c r="D729" s="5">
        <v>159</v>
      </c>
      <c r="E729" s="5">
        <v>1</v>
      </c>
      <c r="F729" s="6">
        <v>55.7166</v>
      </c>
      <c r="G729" s="7">
        <v>2.90293E-5</v>
      </c>
      <c r="H729" s="5">
        <v>55.716999999999999</v>
      </c>
      <c r="I729" s="5"/>
      <c r="J729" s="5">
        <v>1</v>
      </c>
      <c r="K729" s="5" t="s">
        <v>2</v>
      </c>
      <c r="L729" s="5" t="s">
        <v>4092</v>
      </c>
      <c r="M729" s="5" t="s">
        <v>4093</v>
      </c>
      <c r="N729" s="5" t="s">
        <v>4094</v>
      </c>
      <c r="O729" s="5">
        <v>6</v>
      </c>
      <c r="P729" s="6">
        <v>789220</v>
      </c>
      <c r="Q729" s="5">
        <v>401190</v>
      </c>
      <c r="R729" s="5">
        <v>388030</v>
      </c>
      <c r="S729" s="5">
        <v>0.83970999999999996</v>
      </c>
      <c r="T729" s="5">
        <f>LOG(Table2[[#This Row],[ratio heavy to light normalized]],2)</f>
        <v>-0.25203692628062052</v>
      </c>
      <c r="U729" s="5">
        <v>0.89739976003850797</v>
      </c>
    </row>
    <row r="730" spans="1:21" x14ac:dyDescent="0.3">
      <c r="A730" s="5" t="s">
        <v>2997</v>
      </c>
      <c r="B730" s="5" t="s">
        <v>2998</v>
      </c>
      <c r="C730" s="5">
        <v>345</v>
      </c>
      <c r="D730" s="5">
        <v>345</v>
      </c>
      <c r="E730" s="5">
        <v>1</v>
      </c>
      <c r="F730" s="6">
        <v>10.418699999999999</v>
      </c>
      <c r="G730" s="5">
        <v>1.66659</v>
      </c>
      <c r="H730" s="5">
        <v>10.419</v>
      </c>
      <c r="I730" s="5" t="s">
        <v>11</v>
      </c>
      <c r="J730" s="5">
        <v>1</v>
      </c>
      <c r="K730" s="5" t="s">
        <v>2</v>
      </c>
      <c r="L730" s="5" t="s">
        <v>2999</v>
      </c>
      <c r="M730" s="5" t="s">
        <v>3000</v>
      </c>
      <c r="N730" s="5" t="s">
        <v>3001</v>
      </c>
      <c r="O730" s="5">
        <v>18</v>
      </c>
      <c r="P730" s="6">
        <v>4194800</v>
      </c>
      <c r="Q730" s="5">
        <v>2043400</v>
      </c>
      <c r="R730" s="5">
        <v>2151400</v>
      </c>
      <c r="S730" s="5">
        <v>1.0079</v>
      </c>
      <c r="T730" s="5">
        <f>LOG(Table2[[#This Row],[ratio heavy to light normalized]],2)</f>
        <v>1.1352507229905219E-2</v>
      </c>
      <c r="U730" s="5">
        <v>0.62770311555039304</v>
      </c>
    </row>
    <row r="731" spans="1:21" x14ac:dyDescent="0.3">
      <c r="A731" s="5" t="s">
        <v>4087</v>
      </c>
      <c r="B731" s="5" t="s">
        <v>4088</v>
      </c>
      <c r="C731" s="5">
        <v>144</v>
      </c>
      <c r="D731" s="5">
        <v>144</v>
      </c>
      <c r="E731" s="5">
        <v>1</v>
      </c>
      <c r="F731" s="6">
        <v>72.484700000000004</v>
      </c>
      <c r="G731" s="7">
        <v>1.40695E-5</v>
      </c>
      <c r="H731" s="5">
        <v>72.484999999999999</v>
      </c>
      <c r="I731" s="5" t="s">
        <v>11</v>
      </c>
      <c r="J731" s="5">
        <v>1</v>
      </c>
      <c r="K731" s="5" t="s">
        <v>2</v>
      </c>
      <c r="L731" s="5" t="s">
        <v>4089</v>
      </c>
      <c r="M731" s="5" t="s">
        <v>4090</v>
      </c>
      <c r="N731" s="5" t="s">
        <v>4091</v>
      </c>
      <c r="O731" s="5">
        <v>3</v>
      </c>
      <c r="P731" s="6">
        <v>885360</v>
      </c>
      <c r="Q731" s="5">
        <v>540340</v>
      </c>
      <c r="R731" s="5">
        <v>345020</v>
      </c>
      <c r="S731" s="5">
        <v>0.83955999999999997</v>
      </c>
      <c r="T731" s="5">
        <f>LOG(Table2[[#This Row],[ratio heavy to light normalized]],2)</f>
        <v>-0.25229466238822545</v>
      </c>
      <c r="U731" s="5">
        <v>0.89688424743017303</v>
      </c>
    </row>
    <row r="732" spans="1:21" x14ac:dyDescent="0.3">
      <c r="A732" s="5" t="s">
        <v>3007</v>
      </c>
      <c r="B732" s="5" t="s">
        <v>3008</v>
      </c>
      <c r="C732" s="5">
        <v>309</v>
      </c>
      <c r="D732" s="5">
        <v>309</v>
      </c>
      <c r="E732" s="5">
        <v>1</v>
      </c>
      <c r="F732" s="6">
        <v>6.9883800000000003</v>
      </c>
      <c r="G732" s="5">
        <v>1.7333099999999999</v>
      </c>
      <c r="H732" s="5">
        <v>6.9884000000000004</v>
      </c>
      <c r="I732" s="5"/>
      <c r="J732" s="5">
        <v>1</v>
      </c>
      <c r="K732" s="5" t="s">
        <v>2</v>
      </c>
      <c r="L732" s="5" t="s">
        <v>3009</v>
      </c>
      <c r="M732" s="5" t="s">
        <v>3010</v>
      </c>
      <c r="N732" s="5" t="s">
        <v>3011</v>
      </c>
      <c r="O732" s="5">
        <v>7</v>
      </c>
      <c r="P732" s="6">
        <v>554830</v>
      </c>
      <c r="Q732" s="5">
        <v>338200</v>
      </c>
      <c r="R732" s="5">
        <v>216640</v>
      </c>
      <c r="S732" s="5">
        <v>0.76178000000000001</v>
      </c>
      <c r="T732" s="5">
        <f>LOG(Table2[[#This Row],[ratio heavy to light normalized]],2)</f>
        <v>-0.39255368343607511</v>
      </c>
      <c r="U732" s="5">
        <v>0.62827707974833003</v>
      </c>
    </row>
    <row r="733" spans="1:21" x14ac:dyDescent="0.3">
      <c r="A733" s="5" t="s">
        <v>432</v>
      </c>
      <c r="B733" s="5" t="s">
        <v>433</v>
      </c>
      <c r="C733" s="5">
        <v>111</v>
      </c>
      <c r="D733" s="5">
        <v>111</v>
      </c>
      <c r="E733" s="5">
        <v>1</v>
      </c>
      <c r="F733" s="6">
        <v>41.114800000000002</v>
      </c>
      <c r="G733" s="5">
        <v>1.5732499999999999E-4</v>
      </c>
      <c r="H733" s="5">
        <v>47.639000000000003</v>
      </c>
      <c r="I733" s="5"/>
      <c r="J733" s="5">
        <v>1</v>
      </c>
      <c r="K733" s="5" t="s">
        <v>2</v>
      </c>
      <c r="L733" s="5" t="s">
        <v>4058</v>
      </c>
      <c r="M733" s="5" t="s">
        <v>4059</v>
      </c>
      <c r="N733" s="5" t="s">
        <v>4060</v>
      </c>
      <c r="O733" s="5">
        <v>11</v>
      </c>
      <c r="P733" s="6">
        <v>969920</v>
      </c>
      <c r="Q733" s="5">
        <v>654040</v>
      </c>
      <c r="R733" s="5">
        <v>315880</v>
      </c>
      <c r="S733" s="5">
        <v>0.83694999999999997</v>
      </c>
      <c r="T733" s="5">
        <f>LOG(Table2[[#This Row],[ratio heavy to light normalized]],2)</f>
        <v>-0.2567866571854503</v>
      </c>
      <c r="U733" s="5">
        <v>0.88790673280830001</v>
      </c>
    </row>
    <row r="734" spans="1:21" x14ac:dyDescent="0.3">
      <c r="A734" s="5" t="s">
        <v>1631</v>
      </c>
      <c r="B734" s="5" t="s">
        <v>1632</v>
      </c>
      <c r="C734" s="5">
        <v>89</v>
      </c>
      <c r="D734" s="5">
        <v>89</v>
      </c>
      <c r="E734" s="5">
        <v>1</v>
      </c>
      <c r="F734" s="6">
        <v>125.857</v>
      </c>
      <c r="G734" s="7">
        <v>1.0100400000000001E-26</v>
      </c>
      <c r="H734" s="5">
        <v>125.86</v>
      </c>
      <c r="I734" s="5" t="s">
        <v>11</v>
      </c>
      <c r="J734" s="5">
        <v>1</v>
      </c>
      <c r="K734" s="5" t="s">
        <v>2</v>
      </c>
      <c r="L734" s="5" t="s">
        <v>3379</v>
      </c>
      <c r="M734" s="5" t="s">
        <v>3380</v>
      </c>
      <c r="N734" s="5" t="s">
        <v>3381</v>
      </c>
      <c r="O734" s="5">
        <v>4</v>
      </c>
      <c r="P734" s="6">
        <v>1040100</v>
      </c>
      <c r="Q734" s="5">
        <v>568070</v>
      </c>
      <c r="R734" s="5">
        <v>471990</v>
      </c>
      <c r="S734" s="5">
        <v>0.83692</v>
      </c>
      <c r="T734" s="5">
        <f>LOG(Table2[[#This Row],[ratio heavy to light normalized]],2)</f>
        <v>-0.25683837070111315</v>
      </c>
      <c r="U734" s="5">
        <v>0.72394068538797895</v>
      </c>
    </row>
    <row r="735" spans="1:21" x14ac:dyDescent="0.3">
      <c r="A735" s="5" t="s">
        <v>368</v>
      </c>
      <c r="B735" s="5" t="s">
        <v>369</v>
      </c>
      <c r="C735" s="5">
        <v>489</v>
      </c>
      <c r="D735" s="5">
        <v>489</v>
      </c>
      <c r="E735" s="5">
        <v>1</v>
      </c>
      <c r="F735" s="6">
        <v>60.528100000000002</v>
      </c>
      <c r="G735" s="7">
        <v>3.9415699999999999E-17</v>
      </c>
      <c r="H735" s="5">
        <v>78.021000000000001</v>
      </c>
      <c r="I735" s="5" t="s">
        <v>11</v>
      </c>
      <c r="J735" s="5">
        <v>1</v>
      </c>
      <c r="K735" s="5" t="s">
        <v>2</v>
      </c>
      <c r="L735" s="5" t="s">
        <v>2841</v>
      </c>
      <c r="M735" s="5" t="s">
        <v>2842</v>
      </c>
      <c r="N735" s="5" t="s">
        <v>2843</v>
      </c>
      <c r="O735" s="5">
        <v>9</v>
      </c>
      <c r="P735" s="6">
        <v>13238000</v>
      </c>
      <c r="Q735" s="5">
        <v>6423800</v>
      </c>
      <c r="R735" s="5">
        <v>6814300</v>
      </c>
      <c r="S735" s="5">
        <v>0.83689999999999998</v>
      </c>
      <c r="T735" s="5">
        <f>LOG(Table2[[#This Row],[ratio heavy to light normalized]],2)</f>
        <v>-0.25687284740806993</v>
      </c>
      <c r="U735" s="5">
        <v>0.58948643577110804</v>
      </c>
    </row>
    <row r="736" spans="1:21" x14ac:dyDescent="0.3">
      <c r="A736" s="5" t="s">
        <v>2836</v>
      </c>
      <c r="B736" s="5" t="s">
        <v>2837</v>
      </c>
      <c r="C736" s="5">
        <v>112</v>
      </c>
      <c r="D736" s="5">
        <v>112</v>
      </c>
      <c r="E736" s="5">
        <v>1</v>
      </c>
      <c r="F736" s="6">
        <v>26.111799999999999</v>
      </c>
      <c r="G736" s="7">
        <v>5.2443400000000002E-6</v>
      </c>
      <c r="H736" s="5">
        <v>64.650000000000006</v>
      </c>
      <c r="I736" s="5"/>
      <c r="J736" s="5">
        <v>1</v>
      </c>
      <c r="K736" s="5" t="s">
        <v>2</v>
      </c>
      <c r="L736" s="5" t="s">
        <v>2838</v>
      </c>
      <c r="M736" s="5" t="s">
        <v>2839</v>
      </c>
      <c r="N736" s="5" t="s">
        <v>2840</v>
      </c>
      <c r="O736" s="5">
        <v>7</v>
      </c>
      <c r="P736" s="6">
        <v>4839800</v>
      </c>
      <c r="Q736" s="5">
        <v>2711000</v>
      </c>
      <c r="R736" s="5">
        <v>2128800</v>
      </c>
      <c r="S736" s="5">
        <v>0.83684999999999998</v>
      </c>
      <c r="T736" s="5">
        <f>LOG(Table2[[#This Row],[ratio heavy to light normalized]],2)</f>
        <v>-0.25695904278021736</v>
      </c>
      <c r="U736" s="5">
        <v>0.58928527480761606</v>
      </c>
    </row>
    <row r="737" spans="1:21" x14ac:dyDescent="0.3">
      <c r="A737" s="5" t="s">
        <v>4050</v>
      </c>
      <c r="B737" s="5" t="s">
        <v>4051</v>
      </c>
      <c r="C737" s="5">
        <v>50</v>
      </c>
      <c r="D737" s="5">
        <v>50</v>
      </c>
      <c r="E737" s="5">
        <v>1</v>
      </c>
      <c r="F737" s="6">
        <v>54.607799999999997</v>
      </c>
      <c r="G737" s="5">
        <v>1.33689E-2</v>
      </c>
      <c r="H737" s="5">
        <v>54.607999999999997</v>
      </c>
      <c r="I737" s="5" t="s">
        <v>11</v>
      </c>
      <c r="J737" s="5">
        <v>1</v>
      </c>
      <c r="K737" s="5" t="s">
        <v>2</v>
      </c>
      <c r="L737" s="5" t="s">
        <v>4052</v>
      </c>
      <c r="M737" s="5" t="s">
        <v>4053</v>
      </c>
      <c r="N737" s="5" t="s">
        <v>4054</v>
      </c>
      <c r="O737" s="5">
        <v>9</v>
      </c>
      <c r="P737" s="6">
        <v>272220</v>
      </c>
      <c r="Q737" s="5">
        <v>141200</v>
      </c>
      <c r="R737" s="5">
        <v>131020</v>
      </c>
      <c r="S737" s="5">
        <v>0.83667999999999998</v>
      </c>
      <c r="T737" s="5">
        <f>LOG(Table2[[#This Row],[ratio heavy to light normalized]],2)</f>
        <v>-0.25725214557227333</v>
      </c>
      <c r="U737" s="5">
        <v>0.88697722862621897</v>
      </c>
    </row>
    <row r="738" spans="1:21" x14ac:dyDescent="0.3">
      <c r="A738" s="5" t="s">
        <v>4045</v>
      </c>
      <c r="B738" s="5" t="s">
        <v>4046</v>
      </c>
      <c r="C738" s="5">
        <v>46</v>
      </c>
      <c r="D738" s="5">
        <v>46</v>
      </c>
      <c r="E738" s="5">
        <v>1</v>
      </c>
      <c r="F738" s="6">
        <v>73.781300000000002</v>
      </c>
      <c r="G738" s="7">
        <v>1.86683E-6</v>
      </c>
      <c r="H738" s="5">
        <v>73.781000000000006</v>
      </c>
      <c r="I738" s="5" t="s">
        <v>11</v>
      </c>
      <c r="J738" s="5">
        <v>1</v>
      </c>
      <c r="K738" s="5" t="s">
        <v>2</v>
      </c>
      <c r="L738" s="5" t="s">
        <v>4047</v>
      </c>
      <c r="M738" s="5" t="s">
        <v>4048</v>
      </c>
      <c r="N738" s="5" t="s">
        <v>4049</v>
      </c>
      <c r="O738" s="5">
        <v>10</v>
      </c>
      <c r="P738" s="6">
        <v>359500</v>
      </c>
      <c r="Q738" s="5">
        <v>230440</v>
      </c>
      <c r="R738" s="5">
        <v>129060</v>
      </c>
      <c r="S738" s="5">
        <v>0.83665</v>
      </c>
      <c r="T738" s="5">
        <f>LOG(Table2[[#This Row],[ratio heavy to light normalized]],2)</f>
        <v>-0.2573038757763948</v>
      </c>
      <c r="U738" s="5">
        <v>0.88687394144248299</v>
      </c>
    </row>
    <row r="739" spans="1:21" x14ac:dyDescent="0.3">
      <c r="A739" s="5" t="s">
        <v>1183</v>
      </c>
      <c r="B739" s="5" t="s">
        <v>1184</v>
      </c>
      <c r="C739" s="5">
        <v>18</v>
      </c>
      <c r="D739" s="5">
        <v>18</v>
      </c>
      <c r="E739" s="5">
        <v>1</v>
      </c>
      <c r="F739" s="6">
        <v>62.7654</v>
      </c>
      <c r="G739" s="7">
        <v>1.7426E-9</v>
      </c>
      <c r="H739" s="5">
        <v>62.765000000000001</v>
      </c>
      <c r="I739" s="5" t="s">
        <v>11</v>
      </c>
      <c r="J739" s="5">
        <v>1</v>
      </c>
      <c r="K739" s="5" t="s">
        <v>2</v>
      </c>
      <c r="L739" s="5" t="s">
        <v>4042</v>
      </c>
      <c r="M739" s="5" t="s">
        <v>4043</v>
      </c>
      <c r="N739" s="5" t="s">
        <v>4044</v>
      </c>
      <c r="O739" s="5">
        <v>7</v>
      </c>
      <c r="P739" s="6">
        <v>712450</v>
      </c>
      <c r="Q739" s="5">
        <v>371010</v>
      </c>
      <c r="R739" s="5">
        <v>341440</v>
      </c>
      <c r="S739" s="5">
        <v>0.83645999999999998</v>
      </c>
      <c r="T739" s="5">
        <f>LOG(Table2[[#This Row],[ratio heavy to light normalized]],2)</f>
        <v>-0.25763154348377476</v>
      </c>
      <c r="U739" s="5">
        <v>0.88621974796283098</v>
      </c>
    </row>
    <row r="740" spans="1:21" x14ac:dyDescent="0.3">
      <c r="A740" s="5" t="s">
        <v>15</v>
      </c>
      <c r="B740" s="5" t="s">
        <v>16</v>
      </c>
      <c r="C740" s="5">
        <v>96</v>
      </c>
      <c r="D740" s="5">
        <v>96</v>
      </c>
      <c r="E740" s="5">
        <v>1</v>
      </c>
      <c r="F740" s="6">
        <v>34.1785</v>
      </c>
      <c r="G740" s="5">
        <v>1.71096E-4</v>
      </c>
      <c r="H740" s="5">
        <v>71.349000000000004</v>
      </c>
      <c r="I740" s="5" t="s">
        <v>11</v>
      </c>
      <c r="J740" s="5">
        <v>1</v>
      </c>
      <c r="K740" s="5" t="s">
        <v>2</v>
      </c>
      <c r="L740" s="5" t="s">
        <v>2824</v>
      </c>
      <c r="M740" s="5" t="s">
        <v>2825</v>
      </c>
      <c r="N740" s="5" t="s">
        <v>2826</v>
      </c>
      <c r="O740" s="5">
        <v>11</v>
      </c>
      <c r="P740" s="6">
        <v>6053300</v>
      </c>
      <c r="Q740" s="5">
        <v>3083800</v>
      </c>
      <c r="R740" s="5">
        <v>2969500</v>
      </c>
      <c r="S740" s="5">
        <v>0.83631</v>
      </c>
      <c r="T740" s="5">
        <f>LOG(Table2[[#This Row],[ratio heavy to light normalized]],2)</f>
        <v>-0.25789028109469964</v>
      </c>
      <c r="U740" s="5">
        <v>0.58711399218603999</v>
      </c>
    </row>
    <row r="741" spans="1:21" x14ac:dyDescent="0.3">
      <c r="A741" s="5" t="s">
        <v>1336</v>
      </c>
      <c r="B741" s="5" t="s">
        <v>1337</v>
      </c>
      <c r="C741" s="5">
        <v>150</v>
      </c>
      <c r="D741" s="5">
        <v>150</v>
      </c>
      <c r="E741" s="5">
        <v>1</v>
      </c>
      <c r="F741" s="6">
        <v>32.081099999999999</v>
      </c>
      <c r="G741" s="7">
        <v>5.1153E-18</v>
      </c>
      <c r="H741" s="5">
        <v>92.063000000000002</v>
      </c>
      <c r="I741" s="5"/>
      <c r="J741" s="5">
        <v>1</v>
      </c>
      <c r="K741" s="5" t="s">
        <v>2</v>
      </c>
      <c r="L741" s="5" t="s">
        <v>2821</v>
      </c>
      <c r="M741" s="5" t="s">
        <v>2822</v>
      </c>
      <c r="N741" s="5" t="s">
        <v>2823</v>
      </c>
      <c r="O741" s="5">
        <v>14</v>
      </c>
      <c r="P741" s="6">
        <v>4929900</v>
      </c>
      <c r="Q741" s="5">
        <v>2533600</v>
      </c>
      <c r="R741" s="5">
        <v>2396400</v>
      </c>
      <c r="S741" s="5">
        <v>0.83621999999999996</v>
      </c>
      <c r="T741" s="5">
        <f>LOG(Table2[[#This Row],[ratio heavy to light normalized]],2)</f>
        <v>-0.25804554593754891</v>
      </c>
      <c r="U741" s="5">
        <v>0.58675233607681698</v>
      </c>
    </row>
    <row r="742" spans="1:21" x14ac:dyDescent="0.3">
      <c r="A742" s="5" t="s">
        <v>4028</v>
      </c>
      <c r="B742" s="5" t="s">
        <v>4029</v>
      </c>
      <c r="C742" s="5">
        <v>66</v>
      </c>
      <c r="D742" s="5">
        <v>66</v>
      </c>
      <c r="E742" s="5">
        <v>1</v>
      </c>
      <c r="F742" s="6">
        <v>40.0212</v>
      </c>
      <c r="G742" s="5">
        <v>4.1661799999999999E-2</v>
      </c>
      <c r="H742" s="5">
        <v>40.021000000000001</v>
      </c>
      <c r="I742" s="5"/>
      <c r="J742" s="5">
        <v>1</v>
      </c>
      <c r="K742" s="5" t="s">
        <v>2</v>
      </c>
      <c r="L742" s="5" t="s">
        <v>4030</v>
      </c>
      <c r="M742" s="5" t="s">
        <v>4031</v>
      </c>
      <c r="N742" s="5" t="s">
        <v>4032</v>
      </c>
      <c r="O742" s="5">
        <v>1</v>
      </c>
      <c r="P742" s="6">
        <v>572380</v>
      </c>
      <c r="Q742" s="5">
        <v>288010</v>
      </c>
      <c r="R742" s="5">
        <v>284380</v>
      </c>
      <c r="S742" s="5">
        <v>0.83547000000000005</v>
      </c>
      <c r="T742" s="5">
        <f>LOG(Table2[[#This Row],[ratio heavy to light normalized]],2)</f>
        <v>-0.25934006986634522</v>
      </c>
      <c r="U742" s="5">
        <v>0.88280991556067301</v>
      </c>
    </row>
    <row r="743" spans="1:21" x14ac:dyDescent="0.3">
      <c r="A743" s="5" t="s">
        <v>3998</v>
      </c>
      <c r="B743" s="5" t="s">
        <v>3999</v>
      </c>
      <c r="C743" s="5">
        <v>229</v>
      </c>
      <c r="D743" s="5">
        <v>229</v>
      </c>
      <c r="E743" s="5">
        <v>1</v>
      </c>
      <c r="F743" s="6">
        <v>74.759900000000002</v>
      </c>
      <c r="G743" s="7">
        <v>6.6754300000000006E-8</v>
      </c>
      <c r="H743" s="5">
        <v>74.760000000000005</v>
      </c>
      <c r="I743" s="5" t="s">
        <v>11</v>
      </c>
      <c r="J743" s="5">
        <v>1</v>
      </c>
      <c r="K743" s="5" t="s">
        <v>2</v>
      </c>
      <c r="L743" s="5" t="s">
        <v>4000</v>
      </c>
      <c r="M743" s="5" t="s">
        <v>4001</v>
      </c>
      <c r="N743" s="5" t="s">
        <v>4002</v>
      </c>
      <c r="O743" s="5">
        <v>6</v>
      </c>
      <c r="P743" s="6">
        <v>463040</v>
      </c>
      <c r="Q743" s="5">
        <v>285710</v>
      </c>
      <c r="R743" s="5">
        <v>177330</v>
      </c>
      <c r="S743" s="5">
        <v>0.83347000000000004</v>
      </c>
      <c r="T743" s="5">
        <f>LOG(Table2[[#This Row],[ratio heavy to light normalized]],2)</f>
        <v>-0.26279782324632994</v>
      </c>
      <c r="U743" s="5">
        <v>0.87591572673239604</v>
      </c>
    </row>
    <row r="744" spans="1:21" x14ac:dyDescent="0.3">
      <c r="A744" s="5" t="s">
        <v>432</v>
      </c>
      <c r="B744" s="5" t="s">
        <v>433</v>
      </c>
      <c r="C744" s="5">
        <v>410</v>
      </c>
      <c r="D744" s="5">
        <v>410</v>
      </c>
      <c r="E744" s="5">
        <v>1</v>
      </c>
      <c r="F744" s="6">
        <v>111.947</v>
      </c>
      <c r="G744" s="7">
        <v>1.2329900000000001E-19</v>
      </c>
      <c r="H744" s="5">
        <v>111.95</v>
      </c>
      <c r="I744" s="5"/>
      <c r="J744" s="5">
        <v>1</v>
      </c>
      <c r="K744" s="5" t="s">
        <v>2</v>
      </c>
      <c r="L744" s="5" t="s">
        <v>2757</v>
      </c>
      <c r="M744" s="5" t="s">
        <v>2758</v>
      </c>
      <c r="N744" s="5" t="s">
        <v>2759</v>
      </c>
      <c r="O744" s="5">
        <v>6</v>
      </c>
      <c r="P744" s="6">
        <v>2944300</v>
      </c>
      <c r="Q744" s="5">
        <v>1475100</v>
      </c>
      <c r="R744" s="5">
        <v>1469200</v>
      </c>
      <c r="S744" s="5">
        <v>0.83299999999999996</v>
      </c>
      <c r="T744" s="5">
        <f>LOG(Table2[[#This Row],[ratio heavy to light normalized]],2)</f>
        <v>-0.26361159929653949</v>
      </c>
      <c r="U744" s="5">
        <v>0.57385614478014702</v>
      </c>
    </row>
    <row r="745" spans="1:21" x14ac:dyDescent="0.3">
      <c r="A745" s="5" t="s">
        <v>2742</v>
      </c>
      <c r="B745" s="5" t="s">
        <v>2743</v>
      </c>
      <c r="C745" s="5">
        <v>283</v>
      </c>
      <c r="D745" s="5">
        <v>283</v>
      </c>
      <c r="E745" s="5">
        <v>1</v>
      </c>
      <c r="F745" s="6">
        <v>119.224</v>
      </c>
      <c r="G745" s="7">
        <v>2.0624599999999999E-21</v>
      </c>
      <c r="H745" s="5">
        <v>119.22</v>
      </c>
      <c r="I745" s="5" t="s">
        <v>11</v>
      </c>
      <c r="J745" s="5">
        <v>1</v>
      </c>
      <c r="K745" s="5" t="s">
        <v>2</v>
      </c>
      <c r="L745" s="5" t="s">
        <v>2744</v>
      </c>
      <c r="M745" s="5" t="s">
        <v>2745</v>
      </c>
      <c r="N745" s="5" t="s">
        <v>2746</v>
      </c>
      <c r="O745" s="5">
        <v>7</v>
      </c>
      <c r="P745" s="6">
        <v>25818000</v>
      </c>
      <c r="Q745" s="5">
        <v>13549000</v>
      </c>
      <c r="R745" s="5">
        <v>12268000</v>
      </c>
      <c r="S745" s="5">
        <v>0.83230999999999999</v>
      </c>
      <c r="T745" s="5">
        <f>LOG(Table2[[#This Row],[ratio heavy to light normalized]],2)</f>
        <v>-0.26480712401587542</v>
      </c>
      <c r="U745" s="5">
        <v>0.57110380914019998</v>
      </c>
    </row>
    <row r="746" spans="1:21" x14ac:dyDescent="0.3">
      <c r="A746" s="5" t="s">
        <v>1852</v>
      </c>
      <c r="B746" s="5" t="s">
        <v>1853</v>
      </c>
      <c r="C746" s="5">
        <v>255</v>
      </c>
      <c r="D746" s="5">
        <v>255</v>
      </c>
      <c r="E746" s="5">
        <v>1</v>
      </c>
      <c r="F746" s="6">
        <v>46.480899999999998</v>
      </c>
      <c r="G746" s="5">
        <v>1.42219E-3</v>
      </c>
      <c r="H746" s="5">
        <v>46.481000000000002</v>
      </c>
      <c r="I746" s="5" t="s">
        <v>11</v>
      </c>
      <c r="J746" s="5">
        <v>1</v>
      </c>
      <c r="K746" s="5" t="s">
        <v>2</v>
      </c>
      <c r="L746" s="5" t="s">
        <v>3955</v>
      </c>
      <c r="M746" s="5" t="s">
        <v>3956</v>
      </c>
      <c r="N746" s="5" t="s">
        <v>3957</v>
      </c>
      <c r="O746" s="5">
        <v>5</v>
      </c>
      <c r="P746" s="6">
        <v>804440</v>
      </c>
      <c r="Q746" s="5">
        <v>384660</v>
      </c>
      <c r="R746" s="5">
        <v>419780</v>
      </c>
      <c r="S746" s="5">
        <v>0.83076000000000005</v>
      </c>
      <c r="T746" s="5">
        <f>LOG(Table2[[#This Row],[ratio heavy to light normalized]],2)</f>
        <v>-0.26749634089894059</v>
      </c>
      <c r="U746" s="5">
        <v>0.866562826966083</v>
      </c>
    </row>
    <row r="747" spans="1:21" x14ac:dyDescent="0.3">
      <c r="A747" s="5" t="s">
        <v>1496</v>
      </c>
      <c r="B747" s="5" t="s">
        <v>1497</v>
      </c>
      <c r="C747" s="5">
        <v>146</v>
      </c>
      <c r="D747" s="5">
        <v>146</v>
      </c>
      <c r="E747" s="5">
        <v>1</v>
      </c>
      <c r="F747" s="6">
        <v>67.562799999999996</v>
      </c>
      <c r="G747" s="5">
        <v>1.82876E-4</v>
      </c>
      <c r="H747" s="5">
        <v>67.563000000000002</v>
      </c>
      <c r="I747" s="5" t="s">
        <v>11</v>
      </c>
      <c r="J747" s="5">
        <v>1</v>
      </c>
      <c r="K747" s="5" t="s">
        <v>2</v>
      </c>
      <c r="L747" s="5" t="s">
        <v>3952</v>
      </c>
      <c r="M747" s="5" t="s">
        <v>3953</v>
      </c>
      <c r="N747" s="5" t="s">
        <v>3954</v>
      </c>
      <c r="O747" s="5">
        <v>4</v>
      </c>
      <c r="P747" s="6">
        <v>475390</v>
      </c>
      <c r="Q747" s="5">
        <v>256250</v>
      </c>
      <c r="R747" s="5">
        <v>219140</v>
      </c>
      <c r="S747" s="5">
        <v>0.83053999999999994</v>
      </c>
      <c r="T747" s="5">
        <f>LOG(Table2[[#This Row],[ratio heavy to light normalized]],2)</f>
        <v>-0.26787844275995432</v>
      </c>
      <c r="U747" s="5">
        <v>0.86580301513971503</v>
      </c>
    </row>
    <row r="748" spans="1:21" x14ac:dyDescent="0.3">
      <c r="A748" s="5" t="s">
        <v>3065</v>
      </c>
      <c r="B748" s="5" t="s">
        <v>3066</v>
      </c>
      <c r="C748" s="5">
        <v>574</v>
      </c>
      <c r="D748" s="5">
        <v>574</v>
      </c>
      <c r="E748" s="5">
        <v>1</v>
      </c>
      <c r="F748" s="6">
        <v>25.574100000000001</v>
      </c>
      <c r="G748" s="5">
        <v>0.50029199999999996</v>
      </c>
      <c r="H748" s="5">
        <v>25.574000000000002</v>
      </c>
      <c r="I748" s="5"/>
      <c r="J748" s="5">
        <v>1</v>
      </c>
      <c r="K748" s="5" t="s">
        <v>2</v>
      </c>
      <c r="L748" s="5" t="s">
        <v>3067</v>
      </c>
      <c r="M748" s="5" t="s">
        <v>3068</v>
      </c>
      <c r="N748" s="5" t="s">
        <v>3069</v>
      </c>
      <c r="O748" s="5">
        <v>4</v>
      </c>
      <c r="P748" s="6">
        <v>326370</v>
      </c>
      <c r="Q748" s="5">
        <v>177340</v>
      </c>
      <c r="R748" s="5">
        <v>149030</v>
      </c>
      <c r="S748" s="5">
        <v>0.76587000000000005</v>
      </c>
      <c r="T748" s="5">
        <f>LOG(Table2[[#This Row],[ratio heavy to light normalized]],2)</f>
        <v>-0.38482856732193904</v>
      </c>
      <c r="U748" s="5">
        <v>0.64219981578478502</v>
      </c>
    </row>
    <row r="749" spans="1:21" x14ac:dyDescent="0.3">
      <c r="A749" s="5" t="s">
        <v>25</v>
      </c>
      <c r="B749" s="5" t="s">
        <v>26</v>
      </c>
      <c r="C749" s="5">
        <v>444</v>
      </c>
      <c r="D749" s="5">
        <v>444</v>
      </c>
      <c r="E749" s="5">
        <v>1</v>
      </c>
      <c r="F749" s="6">
        <v>130.56299999999999</v>
      </c>
      <c r="G749" s="7">
        <v>6.3261599999999999E-40</v>
      </c>
      <c r="H749" s="5">
        <v>130.56</v>
      </c>
      <c r="I749" s="5" t="s">
        <v>11</v>
      </c>
      <c r="J749" s="5">
        <v>1</v>
      </c>
      <c r="K749" s="5" t="s">
        <v>2</v>
      </c>
      <c r="L749" s="5" t="s">
        <v>3291</v>
      </c>
      <c r="M749" s="5" t="s">
        <v>3292</v>
      </c>
      <c r="N749" s="5" t="s">
        <v>3293</v>
      </c>
      <c r="O749" s="5">
        <v>12</v>
      </c>
      <c r="P749" s="6">
        <v>2112400</v>
      </c>
      <c r="Q749" s="5">
        <v>1222400</v>
      </c>
      <c r="R749" s="5">
        <v>889980</v>
      </c>
      <c r="S749" s="5">
        <v>0.82876000000000005</v>
      </c>
      <c r="T749" s="5">
        <f>LOG(Table2[[#This Row],[ratio heavy to light normalized]],2)</f>
        <v>-0.27097372168220424</v>
      </c>
      <c r="U749" s="5">
        <v>0.69703291694618796</v>
      </c>
    </row>
    <row r="750" spans="1:21" x14ac:dyDescent="0.3">
      <c r="A750" s="5" t="s">
        <v>1113</v>
      </c>
      <c r="B750" s="5" t="s">
        <v>1114</v>
      </c>
      <c r="C750" s="5">
        <v>148</v>
      </c>
      <c r="D750" s="5">
        <v>148</v>
      </c>
      <c r="E750" s="5">
        <v>1</v>
      </c>
      <c r="F750" s="6">
        <v>66.4345</v>
      </c>
      <c r="G750" s="5">
        <v>2.07469E-4</v>
      </c>
      <c r="H750" s="5">
        <v>66.435000000000002</v>
      </c>
      <c r="I750" s="5" t="s">
        <v>11</v>
      </c>
      <c r="J750" s="5">
        <v>1</v>
      </c>
      <c r="K750" s="5" t="s">
        <v>2</v>
      </c>
      <c r="L750" s="5" t="s">
        <v>3288</v>
      </c>
      <c r="M750" s="5" t="s">
        <v>3289</v>
      </c>
      <c r="N750" s="5" t="s">
        <v>3290</v>
      </c>
      <c r="O750" s="5">
        <v>3</v>
      </c>
      <c r="P750" s="6">
        <v>1372800</v>
      </c>
      <c r="Q750" s="5">
        <v>805240</v>
      </c>
      <c r="R750" s="5">
        <v>567580</v>
      </c>
      <c r="S750" s="5">
        <v>0.82862000000000002</v>
      </c>
      <c r="T750" s="5">
        <f>LOG(Table2[[#This Row],[ratio heavy to light normalized]],2)</f>
        <v>-0.27121745251786644</v>
      </c>
      <c r="U750" s="5">
        <v>0.696572166815144</v>
      </c>
    </row>
    <row r="751" spans="1:21" x14ac:dyDescent="0.3">
      <c r="A751" s="5" t="s">
        <v>2685</v>
      </c>
      <c r="B751" s="5" t="s">
        <v>2686</v>
      </c>
      <c r="C751" s="5">
        <v>458</v>
      </c>
      <c r="D751" s="5">
        <v>458</v>
      </c>
      <c r="E751" s="5">
        <v>1</v>
      </c>
      <c r="F751" s="6">
        <v>16.377700000000001</v>
      </c>
      <c r="G751" s="5">
        <v>1.9380599999999999</v>
      </c>
      <c r="H751" s="5">
        <v>16.378</v>
      </c>
      <c r="I751" s="5" t="s">
        <v>11</v>
      </c>
      <c r="J751" s="5">
        <v>1</v>
      </c>
      <c r="K751" s="5" t="s">
        <v>2</v>
      </c>
      <c r="L751" s="5" t="s">
        <v>3076</v>
      </c>
      <c r="M751" s="5" t="s">
        <v>3077</v>
      </c>
      <c r="N751" s="5" t="s">
        <v>3078</v>
      </c>
      <c r="O751" s="5">
        <v>6</v>
      </c>
      <c r="P751" s="6">
        <v>276690</v>
      </c>
      <c r="Q751" s="5">
        <v>174000</v>
      </c>
      <c r="R751" s="5">
        <v>102690</v>
      </c>
      <c r="S751" s="5">
        <v>1.0021</v>
      </c>
      <c r="T751" s="5">
        <f>LOG(Table2[[#This Row],[ratio heavy to light normalized]],2)</f>
        <v>3.0264828898985854E-3</v>
      </c>
      <c r="U751" s="5">
        <v>0.64681667778230301</v>
      </c>
    </row>
    <row r="752" spans="1:21" x14ac:dyDescent="0.3">
      <c r="A752" s="5" t="s">
        <v>2311</v>
      </c>
      <c r="B752" s="5" t="s">
        <v>2312</v>
      </c>
      <c r="C752" s="5">
        <v>49</v>
      </c>
      <c r="D752" s="5">
        <v>49</v>
      </c>
      <c r="E752" s="5">
        <v>1</v>
      </c>
      <c r="F752" s="6">
        <v>70.411900000000003</v>
      </c>
      <c r="G752" s="7">
        <v>9.5984499999999995E-8</v>
      </c>
      <c r="H752" s="5">
        <v>70.412000000000006</v>
      </c>
      <c r="I752" s="5" t="s">
        <v>11</v>
      </c>
      <c r="J752" s="5">
        <v>1</v>
      </c>
      <c r="K752" s="5" t="s">
        <v>2</v>
      </c>
      <c r="L752" s="5" t="s">
        <v>2653</v>
      </c>
      <c r="M752" s="5" t="s">
        <v>2654</v>
      </c>
      <c r="N752" s="5" t="s">
        <v>2655</v>
      </c>
      <c r="O752" s="5">
        <v>9</v>
      </c>
      <c r="P752" s="6">
        <v>2873200</v>
      </c>
      <c r="Q752" s="5">
        <v>1647400</v>
      </c>
      <c r="R752" s="5">
        <v>1225800</v>
      </c>
      <c r="S752" s="5">
        <v>0.82820000000000005</v>
      </c>
      <c r="T752" s="5">
        <f>LOG(Table2[[#This Row],[ratio heavy to light normalized]],2)</f>
        <v>-0.27194889217957086</v>
      </c>
      <c r="U752" s="5">
        <v>0.55479428883624504</v>
      </c>
    </row>
    <row r="753" spans="1:21" x14ac:dyDescent="0.3">
      <c r="A753" s="5" t="s">
        <v>2630</v>
      </c>
      <c r="B753" s="5" t="s">
        <v>2631</v>
      </c>
      <c r="C753" s="5">
        <v>408</v>
      </c>
      <c r="D753" s="5">
        <v>408</v>
      </c>
      <c r="E753" s="5">
        <v>1</v>
      </c>
      <c r="F753" s="6">
        <v>16.7439</v>
      </c>
      <c r="G753" s="7">
        <v>1.2739099999999999E-23</v>
      </c>
      <c r="H753" s="5">
        <v>108.17</v>
      </c>
      <c r="I753" s="5"/>
      <c r="J753" s="5">
        <v>1</v>
      </c>
      <c r="K753" s="5" t="s">
        <v>2</v>
      </c>
      <c r="L753" s="5" t="s">
        <v>2632</v>
      </c>
      <c r="M753" s="5" t="s">
        <v>2633</v>
      </c>
      <c r="N753" s="5" t="s">
        <v>2634</v>
      </c>
      <c r="O753" s="5">
        <v>8</v>
      </c>
      <c r="P753" s="6">
        <v>3467300</v>
      </c>
      <c r="Q753" s="5">
        <v>2284400</v>
      </c>
      <c r="R753" s="5">
        <v>1182800</v>
      </c>
      <c r="S753" s="5">
        <v>0.82782999999999995</v>
      </c>
      <c r="T753" s="5">
        <f>LOG(Table2[[#This Row],[ratio heavy to light normalized]],2)</f>
        <v>-0.2725935630780586</v>
      </c>
      <c r="U753" s="5">
        <v>0.55333334616998098</v>
      </c>
    </row>
    <row r="754" spans="1:21" x14ac:dyDescent="0.3">
      <c r="A754" s="5" t="s">
        <v>2129</v>
      </c>
      <c r="B754" s="5" t="s">
        <v>2130</v>
      </c>
      <c r="C754" s="5">
        <v>90</v>
      </c>
      <c r="D754" s="5">
        <v>90</v>
      </c>
      <c r="E754" s="5">
        <v>1</v>
      </c>
      <c r="F754" s="6">
        <v>92.062399999999997</v>
      </c>
      <c r="G754" s="7">
        <v>3.0825900000000002E-10</v>
      </c>
      <c r="H754" s="5">
        <v>92.061999999999998</v>
      </c>
      <c r="I754" s="5" t="s">
        <v>11</v>
      </c>
      <c r="J754" s="5">
        <v>1</v>
      </c>
      <c r="K754" s="5" t="s">
        <v>2</v>
      </c>
      <c r="L754" s="5" t="s">
        <v>3266</v>
      </c>
      <c r="M754" s="5" t="s">
        <v>3267</v>
      </c>
      <c r="N754" s="5" t="s">
        <v>3268</v>
      </c>
      <c r="O754" s="5">
        <v>4</v>
      </c>
      <c r="P754" s="6">
        <v>2269500</v>
      </c>
      <c r="Q754" s="5">
        <v>1238000</v>
      </c>
      <c r="R754" s="5">
        <v>1031500</v>
      </c>
      <c r="S754" s="5">
        <v>0.82721</v>
      </c>
      <c r="T754" s="5">
        <f>LOG(Table2[[#This Row],[ratio heavy to light normalized]],2)</f>
        <v>-0.27367446863586137</v>
      </c>
      <c r="U754" s="5">
        <v>0.69193368653463805</v>
      </c>
    </row>
    <row r="755" spans="1:21" x14ac:dyDescent="0.3">
      <c r="A755" s="5" t="s">
        <v>564</v>
      </c>
      <c r="B755" s="5" t="s">
        <v>565</v>
      </c>
      <c r="C755" s="5">
        <v>869</v>
      </c>
      <c r="D755" s="5">
        <v>869</v>
      </c>
      <c r="E755" s="5">
        <v>1</v>
      </c>
      <c r="F755" s="6">
        <v>35.036900000000003</v>
      </c>
      <c r="G755" s="5">
        <v>9.4291700000000006E-3</v>
      </c>
      <c r="H755" s="5">
        <v>35.036999999999999</v>
      </c>
      <c r="I755" s="5" t="s">
        <v>11</v>
      </c>
      <c r="J755" s="5">
        <v>1</v>
      </c>
      <c r="K755" s="5" t="s">
        <v>2</v>
      </c>
      <c r="L755" s="5" t="s">
        <v>3917</v>
      </c>
      <c r="M755" s="5" t="s">
        <v>3918</v>
      </c>
      <c r="N755" s="5" t="s">
        <v>3919</v>
      </c>
      <c r="O755" s="5">
        <v>8</v>
      </c>
      <c r="P755" s="6">
        <v>590060</v>
      </c>
      <c r="Q755" s="5">
        <v>356510</v>
      </c>
      <c r="R755" s="5">
        <v>233540</v>
      </c>
      <c r="S755" s="5">
        <v>0.82706000000000002</v>
      </c>
      <c r="T755" s="5">
        <f>LOG(Table2[[#This Row],[ratio heavy to light normalized]],2)</f>
        <v>-0.2739360997562062</v>
      </c>
      <c r="U755" s="5">
        <v>0.85377435006336</v>
      </c>
    </row>
    <row r="756" spans="1:21" x14ac:dyDescent="0.3">
      <c r="A756" s="5" t="s">
        <v>1620</v>
      </c>
      <c r="B756" s="5" t="s">
        <v>1621</v>
      </c>
      <c r="C756" s="5">
        <v>449</v>
      </c>
      <c r="D756" s="5">
        <v>449</v>
      </c>
      <c r="E756" s="5">
        <v>1</v>
      </c>
      <c r="F756" s="6">
        <v>21.128799999999998</v>
      </c>
      <c r="G756" s="5">
        <v>0.138901</v>
      </c>
      <c r="H756" s="5">
        <v>21.129000000000001</v>
      </c>
      <c r="I756" s="5"/>
      <c r="J756" s="5">
        <v>1</v>
      </c>
      <c r="K756" s="5" t="s">
        <v>2</v>
      </c>
      <c r="L756" s="5" t="s">
        <v>3099</v>
      </c>
      <c r="M756" s="5" t="s">
        <v>3100</v>
      </c>
      <c r="N756" s="5" t="s">
        <v>3101</v>
      </c>
      <c r="O756" s="5">
        <v>19</v>
      </c>
      <c r="P756" s="6">
        <v>1009800</v>
      </c>
      <c r="Q756" s="5">
        <v>605230</v>
      </c>
      <c r="R756" s="5">
        <v>404590</v>
      </c>
      <c r="S756" s="5">
        <v>0.81589999999999996</v>
      </c>
      <c r="T756" s="5">
        <f>LOG(Table2[[#This Row],[ratio heavy to light normalized]],2)</f>
        <v>-0.29353575438771695</v>
      </c>
      <c r="U756" s="5">
        <v>0.65487491116744301</v>
      </c>
    </row>
    <row r="757" spans="1:21" x14ac:dyDescent="0.3">
      <c r="A757" s="5" t="s">
        <v>303</v>
      </c>
      <c r="B757" s="5" t="s">
        <v>304</v>
      </c>
      <c r="C757" s="5">
        <v>20</v>
      </c>
      <c r="D757" s="5">
        <v>20</v>
      </c>
      <c r="E757" s="5">
        <v>1</v>
      </c>
      <c r="F757" s="6">
        <v>51.759799999999998</v>
      </c>
      <c r="G757" s="7">
        <v>7.5469300000000001E-6</v>
      </c>
      <c r="H757" s="5">
        <v>51.76</v>
      </c>
      <c r="I757" s="5" t="s">
        <v>11</v>
      </c>
      <c r="J757" s="5">
        <v>1</v>
      </c>
      <c r="K757" s="5" t="s">
        <v>2</v>
      </c>
      <c r="L757" s="5" t="s">
        <v>2607</v>
      </c>
      <c r="M757" s="5" t="s">
        <v>2608</v>
      </c>
      <c r="N757" s="5" t="s">
        <v>2609</v>
      </c>
      <c r="O757" s="5">
        <v>8</v>
      </c>
      <c r="P757" s="6">
        <v>3317500</v>
      </c>
      <c r="Q757" s="5">
        <v>1711000</v>
      </c>
      <c r="R757" s="5">
        <v>1606500</v>
      </c>
      <c r="S757" s="5">
        <v>0.82704999999999995</v>
      </c>
      <c r="T757" s="5">
        <f>LOG(Table2[[#This Row],[ratio heavy to light normalized]],2)</f>
        <v>-0.27395354351799855</v>
      </c>
      <c r="U757" s="5">
        <v>0.55025757798507602</v>
      </c>
    </row>
    <row r="758" spans="1:21" x14ac:dyDescent="0.3">
      <c r="A758" s="5" t="s">
        <v>2521</v>
      </c>
      <c r="B758" s="5" t="s">
        <v>3105</v>
      </c>
      <c r="C758" s="5">
        <v>29</v>
      </c>
      <c r="D758" s="5">
        <v>29</v>
      </c>
      <c r="E758" s="5">
        <v>1</v>
      </c>
      <c r="F758" s="6">
        <v>17.3673</v>
      </c>
      <c r="G758" s="5">
        <v>1.3558699999999999</v>
      </c>
      <c r="H758" s="5">
        <v>17.367000000000001</v>
      </c>
      <c r="I758" s="5"/>
      <c r="J758" s="5">
        <v>1</v>
      </c>
      <c r="K758" s="5" t="s">
        <v>2</v>
      </c>
      <c r="L758" s="5" t="s">
        <v>3106</v>
      </c>
      <c r="M758" s="5" t="s">
        <v>3107</v>
      </c>
      <c r="N758" s="5" t="s">
        <v>3108</v>
      </c>
      <c r="O758" s="5">
        <v>8</v>
      </c>
      <c r="P758" s="6">
        <v>292030</v>
      </c>
      <c r="Q758" s="5">
        <v>164770</v>
      </c>
      <c r="R758" s="5">
        <v>127260</v>
      </c>
      <c r="S758" s="5">
        <v>0.99836999999999998</v>
      </c>
      <c r="T758" s="5">
        <f>LOG(Table2[[#This Row],[ratio heavy to light normalized]],2)</f>
        <v>-2.3535115500745453E-3</v>
      </c>
      <c r="U758" s="5">
        <v>0.65551885471676696</v>
      </c>
    </row>
    <row r="759" spans="1:21" x14ac:dyDescent="0.3">
      <c r="A759" s="5" t="s">
        <v>2871</v>
      </c>
      <c r="B759" s="5" t="s">
        <v>2872</v>
      </c>
      <c r="C759" s="5">
        <v>183</v>
      </c>
      <c r="D759" s="5">
        <v>183</v>
      </c>
      <c r="E759" s="5">
        <v>1</v>
      </c>
      <c r="F759" s="6">
        <v>80.688400000000001</v>
      </c>
      <c r="G759" s="7">
        <v>3.62014E-7</v>
      </c>
      <c r="H759" s="5">
        <v>80.688000000000002</v>
      </c>
      <c r="I759" s="5" t="s">
        <v>11</v>
      </c>
      <c r="J759" s="5">
        <v>1</v>
      </c>
      <c r="K759" s="5" t="s">
        <v>2</v>
      </c>
      <c r="L759" s="5" t="s">
        <v>3257</v>
      </c>
      <c r="M759" s="5" t="s">
        <v>3258</v>
      </c>
      <c r="N759" s="5" t="s">
        <v>3259</v>
      </c>
      <c r="O759" s="5">
        <v>5</v>
      </c>
      <c r="P759" s="6">
        <v>2022400</v>
      </c>
      <c r="Q759" s="5">
        <v>1138300</v>
      </c>
      <c r="R759" s="5">
        <v>884120</v>
      </c>
      <c r="S759" s="5">
        <v>0.82643999999999995</v>
      </c>
      <c r="T759" s="5">
        <f>LOG(Table2[[#This Row],[ratio heavy to light normalized]],2)</f>
        <v>-0.2750180120238459</v>
      </c>
      <c r="U759" s="5">
        <v>0.68940214259691801</v>
      </c>
    </row>
    <row r="760" spans="1:21" x14ac:dyDescent="0.3">
      <c r="A760" s="5" t="s">
        <v>2586</v>
      </c>
      <c r="B760" s="5" t="s">
        <v>2587</v>
      </c>
      <c r="C760" s="5">
        <v>137</v>
      </c>
      <c r="D760" s="5">
        <v>137</v>
      </c>
      <c r="E760" s="5">
        <v>1</v>
      </c>
      <c r="F760" s="6">
        <v>82.452500000000001</v>
      </c>
      <c r="G760" s="7">
        <v>1.3197200000000001E-7</v>
      </c>
      <c r="H760" s="5">
        <v>82.451999999999998</v>
      </c>
      <c r="I760" s="5" t="s">
        <v>11</v>
      </c>
      <c r="J760" s="5">
        <v>1</v>
      </c>
      <c r="K760" s="5" t="s">
        <v>2</v>
      </c>
      <c r="L760" s="5" t="s">
        <v>2588</v>
      </c>
      <c r="M760" s="5" t="s">
        <v>2589</v>
      </c>
      <c r="N760" s="5" t="s">
        <v>2590</v>
      </c>
      <c r="O760" s="5">
        <v>4</v>
      </c>
      <c r="P760" s="6">
        <v>5420200</v>
      </c>
      <c r="Q760" s="5">
        <v>2903200</v>
      </c>
      <c r="R760" s="5">
        <v>2517000</v>
      </c>
      <c r="S760" s="5">
        <v>0.82601000000000002</v>
      </c>
      <c r="T760" s="5">
        <f>LOG(Table2[[#This Row],[ratio heavy to light normalized]],2)</f>
        <v>-0.2757688473067102</v>
      </c>
      <c r="U760" s="5">
        <v>0.54616520228100096</v>
      </c>
    </row>
    <row r="761" spans="1:21" x14ac:dyDescent="0.3">
      <c r="A761" s="5" t="s">
        <v>3890</v>
      </c>
      <c r="B761" s="5" t="s">
        <v>3891</v>
      </c>
      <c r="C761" s="5">
        <v>99</v>
      </c>
      <c r="D761" s="5">
        <v>99</v>
      </c>
      <c r="E761" s="5">
        <v>1</v>
      </c>
      <c r="F761" s="6">
        <v>46.015700000000002</v>
      </c>
      <c r="G761" s="5">
        <v>1.3998000000000001E-3</v>
      </c>
      <c r="H761" s="5">
        <v>46.015999999999998</v>
      </c>
      <c r="I761" s="5" t="s">
        <v>11</v>
      </c>
      <c r="J761" s="5">
        <v>1</v>
      </c>
      <c r="K761" s="5" t="s">
        <v>2</v>
      </c>
      <c r="L761" s="5" t="s">
        <v>3892</v>
      </c>
      <c r="M761" s="5" t="s">
        <v>3893</v>
      </c>
      <c r="N761" s="5" t="s">
        <v>3894</v>
      </c>
      <c r="O761" s="5">
        <v>3</v>
      </c>
      <c r="P761" s="6">
        <v>260590</v>
      </c>
      <c r="Q761" s="5">
        <v>127190</v>
      </c>
      <c r="R761" s="5">
        <v>133400</v>
      </c>
      <c r="S761" s="5">
        <v>0.82593000000000005</v>
      </c>
      <c r="T761" s="5">
        <f>LOG(Table2[[#This Row],[ratio heavy to light normalized]],2)</f>
        <v>-0.27590858071514063</v>
      </c>
      <c r="U761" s="5">
        <v>0.84986478688424705</v>
      </c>
    </row>
    <row r="762" spans="1:21" x14ac:dyDescent="0.3">
      <c r="A762" s="5" t="s">
        <v>86</v>
      </c>
      <c r="B762" s="5" t="s">
        <v>87</v>
      </c>
      <c r="C762" s="5">
        <v>318</v>
      </c>
      <c r="D762" s="5">
        <v>318</v>
      </c>
      <c r="E762" s="5">
        <v>1</v>
      </c>
      <c r="F762" s="6">
        <v>87.179500000000004</v>
      </c>
      <c r="G762" s="7">
        <v>3.7052699999999997E-36</v>
      </c>
      <c r="H762" s="5">
        <v>120.84</v>
      </c>
      <c r="I762" s="5" t="s">
        <v>11</v>
      </c>
      <c r="J762" s="5">
        <v>1</v>
      </c>
      <c r="K762" s="5" t="s">
        <v>2</v>
      </c>
      <c r="L762" s="5" t="s">
        <v>2580</v>
      </c>
      <c r="M762" s="5" t="s">
        <v>2581</v>
      </c>
      <c r="N762" s="5" t="s">
        <v>2582</v>
      </c>
      <c r="O762" s="5">
        <v>7</v>
      </c>
      <c r="P762" s="6">
        <v>6125900</v>
      </c>
      <c r="Q762" s="5">
        <v>3322900</v>
      </c>
      <c r="R762" s="5">
        <v>2803000</v>
      </c>
      <c r="S762" s="5">
        <v>0.82567999999999997</v>
      </c>
      <c r="T762" s="5">
        <f>LOG(Table2[[#This Row],[ratio heavy to light normalized]],2)</f>
        <v>-0.27634533486772744</v>
      </c>
      <c r="U762" s="5">
        <v>0.54486874628234505</v>
      </c>
    </row>
    <row r="763" spans="1:21" x14ac:dyDescent="0.3">
      <c r="A763" s="5" t="s">
        <v>3873</v>
      </c>
      <c r="B763" s="5" t="s">
        <v>3874</v>
      </c>
      <c r="C763" s="5">
        <v>95</v>
      </c>
      <c r="D763" s="5">
        <v>95</v>
      </c>
      <c r="E763" s="5">
        <v>1</v>
      </c>
      <c r="F763" s="6">
        <v>53.554299999999998</v>
      </c>
      <c r="G763" s="5">
        <v>1.0244200000000001E-4</v>
      </c>
      <c r="H763" s="5">
        <v>53.554000000000002</v>
      </c>
      <c r="I763" s="5" t="s">
        <v>11</v>
      </c>
      <c r="J763" s="5">
        <v>1</v>
      </c>
      <c r="K763" s="5" t="s">
        <v>2</v>
      </c>
      <c r="L763" s="5" t="s">
        <v>3875</v>
      </c>
      <c r="M763" s="5" t="s">
        <v>3876</v>
      </c>
      <c r="N763" s="5" t="s">
        <v>3877</v>
      </c>
      <c r="O763" s="5">
        <v>3</v>
      </c>
      <c r="P763" s="6">
        <v>628150</v>
      </c>
      <c r="Q763" s="5">
        <v>400140</v>
      </c>
      <c r="R763" s="5">
        <v>228010</v>
      </c>
      <c r="S763" s="5">
        <v>0.82489999999999997</v>
      </c>
      <c r="T763" s="5">
        <f>LOG(Table2[[#This Row],[ratio heavy to light normalized]],2)</f>
        <v>-0.27770885825424452</v>
      </c>
      <c r="U763" s="5">
        <v>0.84629975704701699</v>
      </c>
    </row>
    <row r="764" spans="1:21" x14ac:dyDescent="0.3">
      <c r="A764" s="5" t="s">
        <v>2559</v>
      </c>
      <c r="B764" s="5" t="s">
        <v>2560</v>
      </c>
      <c r="C764" s="5">
        <v>44</v>
      </c>
      <c r="D764" s="5">
        <v>44</v>
      </c>
      <c r="E764" s="5">
        <v>1</v>
      </c>
      <c r="F764" s="6">
        <v>111.008</v>
      </c>
      <c r="G764" s="7">
        <v>2.8587700000000002E-19</v>
      </c>
      <c r="H764" s="5">
        <v>111.01</v>
      </c>
      <c r="I764" s="5" t="s">
        <v>11</v>
      </c>
      <c r="J764" s="5">
        <v>1</v>
      </c>
      <c r="K764" s="5" t="s">
        <v>2</v>
      </c>
      <c r="L764" s="5" t="s">
        <v>2561</v>
      </c>
      <c r="M764" s="5" t="s">
        <v>2562</v>
      </c>
      <c r="N764" s="5" t="s">
        <v>2563</v>
      </c>
      <c r="O764" s="5">
        <v>7</v>
      </c>
      <c r="P764" s="6">
        <v>6594200</v>
      </c>
      <c r="Q764" s="5">
        <v>3357500</v>
      </c>
      <c r="R764" s="5">
        <v>3236700</v>
      </c>
      <c r="S764" s="5">
        <v>0.82459000000000005</v>
      </c>
      <c r="T764" s="5">
        <f>LOG(Table2[[#This Row],[ratio heavy to light normalized]],2)</f>
        <v>-0.27825112946284952</v>
      </c>
      <c r="U764" s="5">
        <v>0.54059373573837899</v>
      </c>
    </row>
    <row r="765" spans="1:21" x14ac:dyDescent="0.3">
      <c r="A765" s="5" t="s">
        <v>2322</v>
      </c>
      <c r="B765" s="5" t="s">
        <v>2323</v>
      </c>
      <c r="C765" s="5">
        <v>197</v>
      </c>
      <c r="D765" s="5">
        <v>197</v>
      </c>
      <c r="E765" s="5">
        <v>1</v>
      </c>
      <c r="F765" s="6">
        <v>145.29400000000001</v>
      </c>
      <c r="G765" s="7">
        <v>1.2562E-49</v>
      </c>
      <c r="H765" s="5">
        <v>145.29</v>
      </c>
      <c r="I765" s="5" t="s">
        <v>11</v>
      </c>
      <c r="J765" s="5">
        <v>1</v>
      </c>
      <c r="K765" s="5" t="s">
        <v>2</v>
      </c>
      <c r="L765" s="5" t="s">
        <v>2550</v>
      </c>
      <c r="M765" s="5" t="s">
        <v>2551</v>
      </c>
      <c r="N765" s="5" t="s">
        <v>2552</v>
      </c>
      <c r="O765" s="5">
        <v>13</v>
      </c>
      <c r="P765" s="6">
        <v>7976300</v>
      </c>
      <c r="Q765" s="5">
        <v>4014700</v>
      </c>
      <c r="R765" s="5">
        <v>3961500</v>
      </c>
      <c r="S765" s="5">
        <v>0.82403000000000004</v>
      </c>
      <c r="T765" s="5">
        <f>LOG(Table2[[#This Row],[ratio heavy to light normalized]],2)</f>
        <v>-0.27923123313012321</v>
      </c>
      <c r="U765" s="5">
        <v>0.538401750433258</v>
      </c>
    </row>
    <row r="766" spans="1:21" x14ac:dyDescent="0.3">
      <c r="A766" s="5" t="s">
        <v>3215</v>
      </c>
      <c r="B766" s="5" t="s">
        <v>3216</v>
      </c>
      <c r="C766" s="5">
        <v>13</v>
      </c>
      <c r="D766" s="5">
        <v>13</v>
      </c>
      <c r="E766" s="5">
        <v>1</v>
      </c>
      <c r="F766" s="6">
        <v>61.1614</v>
      </c>
      <c r="G766" s="5">
        <v>2.5406199999999999E-3</v>
      </c>
      <c r="H766" s="5">
        <v>61.161000000000001</v>
      </c>
      <c r="I766" s="5"/>
      <c r="J766" s="5">
        <v>1</v>
      </c>
      <c r="K766" s="5" t="s">
        <v>2</v>
      </c>
      <c r="L766" s="5" t="s">
        <v>3217</v>
      </c>
      <c r="M766" s="5" t="s">
        <v>3218</v>
      </c>
      <c r="N766" s="5" t="s">
        <v>3219</v>
      </c>
      <c r="O766" s="5">
        <v>8</v>
      </c>
      <c r="P766" s="6">
        <v>2086600</v>
      </c>
      <c r="Q766" s="5">
        <v>930070</v>
      </c>
      <c r="R766" s="5">
        <v>1156500</v>
      </c>
      <c r="S766" s="5">
        <v>0.82357999999999998</v>
      </c>
      <c r="T766" s="5">
        <f>LOG(Table2[[#This Row],[ratio heavy to light normalized]],2)</f>
        <v>-0.28001929921923779</v>
      </c>
      <c r="U766" s="5">
        <v>0.68000928956783302</v>
      </c>
    </row>
    <row r="767" spans="1:21" x14ac:dyDescent="0.3">
      <c r="A767" s="5" t="s">
        <v>628</v>
      </c>
      <c r="B767" s="5" t="s">
        <v>629</v>
      </c>
      <c r="C767" s="5">
        <v>150</v>
      </c>
      <c r="D767" s="5">
        <v>150</v>
      </c>
      <c r="E767" s="5">
        <v>1</v>
      </c>
      <c r="F767" s="6">
        <v>91.914199999999994</v>
      </c>
      <c r="G767" s="7">
        <v>1.1857400000000001E-14</v>
      </c>
      <c r="H767" s="5">
        <v>91.914000000000001</v>
      </c>
      <c r="I767" s="5"/>
      <c r="J767" s="5">
        <v>1</v>
      </c>
      <c r="K767" s="5" t="s">
        <v>2</v>
      </c>
      <c r="L767" s="5" t="s">
        <v>2534</v>
      </c>
      <c r="M767" s="5" t="s">
        <v>2535</v>
      </c>
      <c r="N767" s="5" t="s">
        <v>2536</v>
      </c>
      <c r="O767" s="5">
        <v>8</v>
      </c>
      <c r="P767" s="6">
        <v>4787800</v>
      </c>
      <c r="Q767" s="5">
        <v>2839500</v>
      </c>
      <c r="R767" s="5">
        <v>1948300</v>
      </c>
      <c r="S767" s="5">
        <v>0.82313000000000003</v>
      </c>
      <c r="T767" s="5">
        <f>LOG(Table2[[#This Row],[ratio heavy to light normalized]],2)</f>
        <v>-0.2808077960214197</v>
      </c>
      <c r="U767" s="5">
        <v>0.53488517377933098</v>
      </c>
    </row>
    <row r="768" spans="1:21" x14ac:dyDescent="0.3">
      <c r="A768" s="5" t="s">
        <v>1924</v>
      </c>
      <c r="B768" s="5" t="s">
        <v>1925</v>
      </c>
      <c r="C768" s="5">
        <v>116</v>
      </c>
      <c r="D768" s="5">
        <v>116</v>
      </c>
      <c r="E768" s="5">
        <v>1</v>
      </c>
      <c r="F768" s="6">
        <v>55.452199999999998</v>
      </c>
      <c r="G768" s="5">
        <v>7.4051300000000004E-4</v>
      </c>
      <c r="H768" s="5">
        <v>55.451999999999998</v>
      </c>
      <c r="I768" s="5"/>
      <c r="J768" s="5">
        <v>1</v>
      </c>
      <c r="K768" s="5" t="s">
        <v>2</v>
      </c>
      <c r="L768" s="5" t="s">
        <v>3819</v>
      </c>
      <c r="M768" s="5" t="s">
        <v>3820</v>
      </c>
      <c r="N768" s="5" t="s">
        <v>3821</v>
      </c>
      <c r="O768" s="5">
        <v>8</v>
      </c>
      <c r="P768" s="6">
        <v>950940</v>
      </c>
      <c r="Q768" s="5">
        <v>555790</v>
      </c>
      <c r="R768" s="5">
        <v>395150</v>
      </c>
      <c r="S768" s="5">
        <v>0.82189999999999996</v>
      </c>
      <c r="T768" s="5">
        <f>LOG(Table2[[#This Row],[ratio heavy to light normalized]],2)</f>
        <v>-0.28296522200268887</v>
      </c>
      <c r="U768" s="5">
        <v>0.83590900209874497</v>
      </c>
    </row>
    <row r="769" spans="1:21" x14ac:dyDescent="0.3">
      <c r="A769" s="5" t="s">
        <v>3183</v>
      </c>
      <c r="B769" s="5" t="s">
        <v>3184</v>
      </c>
      <c r="C769" s="5">
        <v>169</v>
      </c>
      <c r="D769" s="5">
        <v>169</v>
      </c>
      <c r="E769" s="5">
        <v>1</v>
      </c>
      <c r="F769" s="6">
        <v>68.044399999999996</v>
      </c>
      <c r="G769" s="7">
        <v>1.2475500000000001E-9</v>
      </c>
      <c r="H769" s="5">
        <v>68.043999999999997</v>
      </c>
      <c r="I769" s="5"/>
      <c r="J769" s="5">
        <v>1</v>
      </c>
      <c r="K769" s="5" t="s">
        <v>2</v>
      </c>
      <c r="L769" s="5" t="s">
        <v>3185</v>
      </c>
      <c r="M769" s="5" t="s">
        <v>3186</v>
      </c>
      <c r="N769" s="5" t="s">
        <v>3187</v>
      </c>
      <c r="O769" s="5">
        <v>14</v>
      </c>
      <c r="P769" s="6">
        <v>1162900</v>
      </c>
      <c r="Q769" s="5">
        <v>553280</v>
      </c>
      <c r="R769" s="5">
        <v>609660</v>
      </c>
      <c r="S769" s="5">
        <v>0.82181000000000004</v>
      </c>
      <c r="T769" s="5">
        <f>LOG(Table2[[#This Row],[ratio heavy to light normalized]],2)</f>
        <v>-0.28312320918267758</v>
      </c>
      <c r="U769" s="5">
        <v>0.67420463628416405</v>
      </c>
    </row>
    <row r="770" spans="1:21" x14ac:dyDescent="0.3">
      <c r="A770" s="5" t="s">
        <v>3808</v>
      </c>
      <c r="B770" s="5" t="s">
        <v>3809</v>
      </c>
      <c r="C770" s="5">
        <v>152</v>
      </c>
      <c r="D770" s="5">
        <v>152</v>
      </c>
      <c r="E770" s="5">
        <v>1</v>
      </c>
      <c r="F770" s="6">
        <v>80.763300000000001</v>
      </c>
      <c r="G770" s="7">
        <v>7.61506E-9</v>
      </c>
      <c r="H770" s="5">
        <v>80.763000000000005</v>
      </c>
      <c r="I770" s="5" t="s">
        <v>11</v>
      </c>
      <c r="J770" s="5">
        <v>1</v>
      </c>
      <c r="K770" s="5" t="s">
        <v>2</v>
      </c>
      <c r="L770" s="5" t="s">
        <v>3810</v>
      </c>
      <c r="M770" s="5" t="s">
        <v>3811</v>
      </c>
      <c r="N770" s="5" t="s">
        <v>3812</v>
      </c>
      <c r="O770" s="5">
        <v>8</v>
      </c>
      <c r="P770" s="6">
        <v>669920</v>
      </c>
      <c r="Q770" s="5">
        <v>366090</v>
      </c>
      <c r="R770" s="5">
        <v>303820</v>
      </c>
      <c r="S770" s="5">
        <v>0.82093000000000005</v>
      </c>
      <c r="T770" s="5">
        <f>LOG(Table2[[#This Row],[ratio heavy to light normalized]],2)</f>
        <v>-0.28466888501381682</v>
      </c>
      <c r="U770" s="5">
        <v>0.83254725239031802</v>
      </c>
    </row>
    <row r="771" spans="1:21" x14ac:dyDescent="0.3">
      <c r="A771" s="5" t="s">
        <v>91</v>
      </c>
      <c r="B771" s="5" t="s">
        <v>92</v>
      </c>
      <c r="C771" s="5">
        <v>98</v>
      </c>
      <c r="D771" s="5">
        <v>98</v>
      </c>
      <c r="E771" s="5">
        <v>1</v>
      </c>
      <c r="F771" s="6">
        <v>57.598399999999998</v>
      </c>
      <c r="G771" s="5">
        <v>4.0165899999999996E-3</v>
      </c>
      <c r="H771" s="5">
        <v>57.597999999999999</v>
      </c>
      <c r="I771" s="5" t="s">
        <v>11</v>
      </c>
      <c r="J771" s="5">
        <v>1</v>
      </c>
      <c r="K771" s="5" t="s">
        <v>2</v>
      </c>
      <c r="L771" s="5" t="s">
        <v>3161</v>
      </c>
      <c r="M771" s="5" t="s">
        <v>3162</v>
      </c>
      <c r="N771" s="5" t="s">
        <v>3163</v>
      </c>
      <c r="O771" s="5">
        <v>6</v>
      </c>
      <c r="P771" s="6">
        <v>1188200</v>
      </c>
      <c r="Q771" s="5">
        <v>676920</v>
      </c>
      <c r="R771" s="5">
        <v>511330</v>
      </c>
      <c r="S771" s="5">
        <v>0.82059000000000004</v>
      </c>
      <c r="T771" s="5">
        <f>LOG(Table2[[#This Row],[ratio heavy to light normalized]],2)</f>
        <v>-0.28526652174186978</v>
      </c>
      <c r="U771" s="5">
        <v>0.67020766901596396</v>
      </c>
    </row>
    <row r="772" spans="1:21" x14ac:dyDescent="0.3">
      <c r="A772" s="5" t="s">
        <v>3153</v>
      </c>
      <c r="B772" s="5" t="s">
        <v>3154</v>
      </c>
      <c r="C772" s="5">
        <v>211</v>
      </c>
      <c r="D772" s="5">
        <v>211</v>
      </c>
      <c r="E772" s="5">
        <v>1</v>
      </c>
      <c r="F772" s="6">
        <v>80.311800000000005</v>
      </c>
      <c r="G772" s="7">
        <v>5.5016600000000003E-11</v>
      </c>
      <c r="H772" s="5">
        <v>80.311999999999998</v>
      </c>
      <c r="I772" s="5" t="s">
        <v>11</v>
      </c>
      <c r="J772" s="5">
        <v>1</v>
      </c>
      <c r="K772" s="5" t="s">
        <v>2</v>
      </c>
      <c r="L772" s="5" t="s">
        <v>3155</v>
      </c>
      <c r="M772" s="5" t="s">
        <v>3156</v>
      </c>
      <c r="N772" s="5" t="s">
        <v>3157</v>
      </c>
      <c r="O772" s="5">
        <v>12</v>
      </c>
      <c r="P772" s="6">
        <v>1093800</v>
      </c>
      <c r="Q772" s="5">
        <v>491820</v>
      </c>
      <c r="R772" s="5">
        <v>601940</v>
      </c>
      <c r="S772" s="5">
        <v>0.82033999999999996</v>
      </c>
      <c r="T772" s="5">
        <f>LOG(Table2[[#This Row],[ratio heavy to light normalized]],2)</f>
        <v>-0.28570611851079103</v>
      </c>
      <c r="U772" s="5">
        <v>0.66938903267363004</v>
      </c>
    </row>
    <row r="773" spans="1:21" x14ac:dyDescent="0.3">
      <c r="A773" s="5" t="s">
        <v>3797</v>
      </c>
      <c r="B773" s="5" t="s">
        <v>3798</v>
      </c>
      <c r="C773" s="5">
        <v>58</v>
      </c>
      <c r="D773" s="5">
        <v>58</v>
      </c>
      <c r="E773" s="5">
        <v>1</v>
      </c>
      <c r="F773" s="6">
        <v>35.006399999999999</v>
      </c>
      <c r="G773" s="5">
        <v>4.5168E-2</v>
      </c>
      <c r="H773" s="5">
        <v>35.006</v>
      </c>
      <c r="I773" s="5" t="s">
        <v>11</v>
      </c>
      <c r="J773" s="5">
        <v>1</v>
      </c>
      <c r="K773" s="5" t="s">
        <v>2</v>
      </c>
      <c r="L773" s="5" t="s">
        <v>3799</v>
      </c>
      <c r="M773" s="5" t="s">
        <v>3800</v>
      </c>
      <c r="N773" s="5" t="s">
        <v>3801</v>
      </c>
      <c r="O773" s="5">
        <v>8</v>
      </c>
      <c r="P773" s="6">
        <v>735320</v>
      </c>
      <c r="Q773" s="5">
        <v>418000</v>
      </c>
      <c r="R773" s="5">
        <v>317320</v>
      </c>
      <c r="S773" s="5">
        <v>0.82028000000000001</v>
      </c>
      <c r="T773" s="5">
        <f>LOG(Table2[[#This Row],[ratio heavy to light normalized]],2)</f>
        <v>-0.28581164166970879</v>
      </c>
      <c r="U773" s="5">
        <v>0.83029402089117799</v>
      </c>
    </row>
    <row r="774" spans="1:21" x14ac:dyDescent="0.3">
      <c r="A774" s="5" t="s">
        <v>1095</v>
      </c>
      <c r="B774" s="5" t="s">
        <v>1096</v>
      </c>
      <c r="C774" s="5">
        <v>159</v>
      </c>
      <c r="D774" s="5">
        <v>159</v>
      </c>
      <c r="E774" s="5">
        <v>1</v>
      </c>
      <c r="F774" s="6">
        <v>82.924700000000001</v>
      </c>
      <c r="G774" s="7">
        <v>1.24666E-13</v>
      </c>
      <c r="H774" s="5">
        <v>82.924999999999997</v>
      </c>
      <c r="I774" s="5" t="s">
        <v>11</v>
      </c>
      <c r="J774" s="5">
        <v>1</v>
      </c>
      <c r="K774" s="5" t="s">
        <v>2</v>
      </c>
      <c r="L774" s="5" t="s">
        <v>2460</v>
      </c>
      <c r="M774" s="5" t="s">
        <v>2461</v>
      </c>
      <c r="N774" s="5" t="s">
        <v>2462</v>
      </c>
      <c r="O774" s="5">
        <v>7</v>
      </c>
      <c r="P774" s="6">
        <v>5182400</v>
      </c>
      <c r="Q774" s="5">
        <v>3008900</v>
      </c>
      <c r="R774" s="5">
        <v>2173500</v>
      </c>
      <c r="S774" s="5">
        <v>0.82025000000000003</v>
      </c>
      <c r="T774" s="5">
        <f>LOG(Table2[[#This Row],[ratio heavy to light normalized]],2)</f>
        <v>-0.2858644061436672</v>
      </c>
      <c r="U774" s="5">
        <v>0.52368495183642705</v>
      </c>
    </row>
    <row r="775" spans="1:21" x14ac:dyDescent="0.3">
      <c r="A775" s="5" t="s">
        <v>1376</v>
      </c>
      <c r="B775" s="5" t="s">
        <v>1377</v>
      </c>
      <c r="C775" s="5">
        <v>34</v>
      </c>
      <c r="D775" s="5">
        <v>34</v>
      </c>
      <c r="E775" s="5">
        <v>1</v>
      </c>
      <c r="F775" s="6">
        <v>140.173</v>
      </c>
      <c r="G775" s="7">
        <v>1.2434400000000001E-64</v>
      </c>
      <c r="H775" s="5">
        <v>140.16999999999999</v>
      </c>
      <c r="I775" s="5"/>
      <c r="J775" s="5">
        <v>1</v>
      </c>
      <c r="K775" s="5" t="s">
        <v>2</v>
      </c>
      <c r="L775" s="5" t="s">
        <v>2457</v>
      </c>
      <c r="M775" s="5" t="s">
        <v>2458</v>
      </c>
      <c r="N775" s="5" t="s">
        <v>2459</v>
      </c>
      <c r="O775" s="5">
        <v>14</v>
      </c>
      <c r="P775" s="6">
        <v>3213300</v>
      </c>
      <c r="Q775" s="5">
        <v>1383900</v>
      </c>
      <c r="R775" s="5">
        <v>1829400</v>
      </c>
      <c r="S775" s="5">
        <v>0.82023999999999997</v>
      </c>
      <c r="T775" s="5">
        <f>LOG(Table2[[#This Row],[ratio heavy to light normalized]],2)</f>
        <v>-0.28588199473050302</v>
      </c>
      <c r="U775" s="5">
        <v>0.52364620468088896</v>
      </c>
    </row>
    <row r="776" spans="1:21" x14ac:dyDescent="0.3">
      <c r="A776" s="5" t="s">
        <v>2447</v>
      </c>
      <c r="B776" s="5" t="s">
        <v>2448</v>
      </c>
      <c r="C776" s="5">
        <v>233</v>
      </c>
      <c r="D776" s="5">
        <v>233</v>
      </c>
      <c r="E776" s="5">
        <v>1</v>
      </c>
      <c r="F776" s="6">
        <v>90.826999999999998</v>
      </c>
      <c r="G776" s="7">
        <v>1.6537800000000001E-10</v>
      </c>
      <c r="H776" s="5">
        <v>90.826999999999998</v>
      </c>
      <c r="I776" s="5" t="s">
        <v>11</v>
      </c>
      <c r="J776" s="5">
        <v>1</v>
      </c>
      <c r="K776" s="5" t="s">
        <v>2</v>
      </c>
      <c r="L776" s="5" t="s">
        <v>2449</v>
      </c>
      <c r="M776" s="5" t="s">
        <v>2450</v>
      </c>
      <c r="N776" s="5" t="s">
        <v>2451</v>
      </c>
      <c r="O776" s="5">
        <v>2</v>
      </c>
      <c r="P776" s="6">
        <v>20992000</v>
      </c>
      <c r="Q776" s="5">
        <v>10854000</v>
      </c>
      <c r="R776" s="5">
        <v>10139000</v>
      </c>
      <c r="S776" s="5">
        <v>0.81981000000000004</v>
      </c>
      <c r="T776" s="5">
        <f>LOG(Table2[[#This Row],[ratio heavy to light normalized]],2)</f>
        <v>-0.28663850688781167</v>
      </c>
      <c r="U776" s="5">
        <v>0.52198102290960702</v>
      </c>
    </row>
    <row r="777" spans="1:21" x14ac:dyDescent="0.3">
      <c r="A777" s="5" t="s">
        <v>1649</v>
      </c>
      <c r="B777" s="5" t="s">
        <v>1650</v>
      </c>
      <c r="C777" s="5">
        <v>360</v>
      </c>
      <c r="D777" s="5">
        <v>360</v>
      </c>
      <c r="E777" s="5">
        <v>1</v>
      </c>
      <c r="F777" s="6">
        <v>76.281899999999993</v>
      </c>
      <c r="G777" s="7">
        <v>6.2162800000000004E-7</v>
      </c>
      <c r="H777" s="5">
        <v>76.281999999999996</v>
      </c>
      <c r="I777" s="5" t="s">
        <v>11</v>
      </c>
      <c r="J777" s="5">
        <v>1</v>
      </c>
      <c r="K777" s="5" t="s">
        <v>2</v>
      </c>
      <c r="L777" s="5" t="s">
        <v>3145</v>
      </c>
      <c r="M777" s="5" t="s">
        <v>3146</v>
      </c>
      <c r="N777" s="5" t="s">
        <v>3147</v>
      </c>
      <c r="O777" s="5">
        <v>5</v>
      </c>
      <c r="P777" s="6">
        <v>1023200</v>
      </c>
      <c r="Q777" s="5">
        <v>541010</v>
      </c>
      <c r="R777" s="5">
        <v>482170</v>
      </c>
      <c r="S777" s="5">
        <v>0.81967000000000001</v>
      </c>
      <c r="T777" s="5">
        <f>LOG(Table2[[#This Row],[ratio heavy to light normalized]],2)</f>
        <v>-0.28688489880014417</v>
      </c>
      <c r="U777" s="5">
        <v>0.66719579702075704</v>
      </c>
    </row>
    <row r="778" spans="1:21" x14ac:dyDescent="0.3">
      <c r="A778" s="5" t="s">
        <v>1473</v>
      </c>
      <c r="B778" s="5" t="s">
        <v>1474</v>
      </c>
      <c r="C778" s="5">
        <v>168</v>
      </c>
      <c r="D778" s="5">
        <v>168</v>
      </c>
      <c r="E778" s="5">
        <v>1</v>
      </c>
      <c r="F778" s="6">
        <v>62.890900000000002</v>
      </c>
      <c r="G778" s="7">
        <v>9.7086500000000006E-6</v>
      </c>
      <c r="H778" s="5">
        <v>62.890999999999998</v>
      </c>
      <c r="I778" s="5" t="s">
        <v>11</v>
      </c>
      <c r="J778" s="5">
        <v>1</v>
      </c>
      <c r="K778" s="5" t="s">
        <v>2</v>
      </c>
      <c r="L778" s="5" t="s">
        <v>3142</v>
      </c>
      <c r="M778" s="5" t="s">
        <v>3143</v>
      </c>
      <c r="N778" s="5" t="s">
        <v>3144</v>
      </c>
      <c r="O778" s="5">
        <v>4</v>
      </c>
      <c r="P778" s="6">
        <v>1543100</v>
      </c>
      <c r="Q778" s="5">
        <v>924010</v>
      </c>
      <c r="R778" s="5">
        <v>619050</v>
      </c>
      <c r="S778" s="5">
        <v>0.81923999999999997</v>
      </c>
      <c r="T778" s="5">
        <f>LOG(Table2[[#This Row],[ratio heavy to light normalized]],2)</f>
        <v>-0.28764193717542658</v>
      </c>
      <c r="U778" s="5">
        <v>0.665788749821004</v>
      </c>
    </row>
    <row r="779" spans="1:21" x14ac:dyDescent="0.3">
      <c r="A779" s="5" t="s">
        <v>3768</v>
      </c>
      <c r="B779" s="5" t="s">
        <v>3769</v>
      </c>
      <c r="C779" s="5">
        <v>160</v>
      </c>
      <c r="D779" s="5">
        <v>160</v>
      </c>
      <c r="E779" s="5">
        <v>1</v>
      </c>
      <c r="F779" s="6">
        <v>64.550399999999996</v>
      </c>
      <c r="G779" s="7">
        <v>4.2372600000000002E-5</v>
      </c>
      <c r="H779" s="5">
        <v>64.55</v>
      </c>
      <c r="I779" s="5" t="s">
        <v>11</v>
      </c>
      <c r="J779" s="5">
        <v>1</v>
      </c>
      <c r="K779" s="5" t="s">
        <v>2</v>
      </c>
      <c r="L779" s="5" t="s">
        <v>3770</v>
      </c>
      <c r="M779" s="5" t="s">
        <v>3771</v>
      </c>
      <c r="N779" s="5" t="s">
        <v>3772</v>
      </c>
      <c r="O779" s="5">
        <v>2</v>
      </c>
      <c r="P779" s="6">
        <v>693880</v>
      </c>
      <c r="Q779" s="5">
        <v>406440</v>
      </c>
      <c r="R779" s="5">
        <v>287440</v>
      </c>
      <c r="S779" s="5">
        <v>0.81896000000000002</v>
      </c>
      <c r="T779" s="5">
        <f>LOG(Table2[[#This Row],[ratio heavy to light normalized]],2)</f>
        <v>-0.28813510603805931</v>
      </c>
      <c r="U779" s="5">
        <v>0.82571704724221195</v>
      </c>
    </row>
    <row r="780" spans="1:21" x14ac:dyDescent="0.3">
      <c r="A780" s="5" t="s">
        <v>912</v>
      </c>
      <c r="B780" s="5" t="s">
        <v>913</v>
      </c>
      <c r="C780" s="5">
        <v>217</v>
      </c>
      <c r="D780" s="5">
        <v>217</v>
      </c>
      <c r="E780" s="5">
        <v>1</v>
      </c>
      <c r="F780" s="6">
        <v>86.624300000000005</v>
      </c>
      <c r="G780" s="7">
        <v>1.22938E-8</v>
      </c>
      <c r="H780" s="5">
        <v>86.623999999999995</v>
      </c>
      <c r="I780" s="5" t="s">
        <v>11</v>
      </c>
      <c r="J780" s="5">
        <v>1</v>
      </c>
      <c r="K780" s="5" t="s">
        <v>2</v>
      </c>
      <c r="L780" s="5" t="s">
        <v>3765</v>
      </c>
      <c r="M780" s="5" t="s">
        <v>3766</v>
      </c>
      <c r="N780" s="5" t="s">
        <v>3767</v>
      </c>
      <c r="O780" s="5">
        <v>4</v>
      </c>
      <c r="P780" s="6">
        <v>886820</v>
      </c>
      <c r="Q780" s="5">
        <v>505070</v>
      </c>
      <c r="R780" s="5">
        <v>381750</v>
      </c>
      <c r="S780" s="5">
        <v>0.81886000000000003</v>
      </c>
      <c r="T780" s="5">
        <f>LOG(Table2[[#This Row],[ratio heavy to light normalized]],2)</f>
        <v>-0.28831127863855038</v>
      </c>
      <c r="U780" s="5">
        <v>0.82537024565107697</v>
      </c>
    </row>
    <row r="781" spans="1:21" x14ac:dyDescent="0.3">
      <c r="A781" s="5" t="s">
        <v>3191</v>
      </c>
      <c r="B781" s="5" t="s">
        <v>3192</v>
      </c>
      <c r="C781" s="5">
        <v>307</v>
      </c>
      <c r="D781" s="5">
        <v>307</v>
      </c>
      <c r="E781" s="5">
        <v>1</v>
      </c>
      <c r="F781" s="6">
        <v>16.1374</v>
      </c>
      <c r="G781" s="5">
        <v>1.5173399999999999</v>
      </c>
      <c r="H781" s="5">
        <v>16.137</v>
      </c>
      <c r="I781" s="5" t="s">
        <v>11</v>
      </c>
      <c r="J781" s="5">
        <v>1</v>
      </c>
      <c r="K781" s="5" t="s">
        <v>2</v>
      </c>
      <c r="L781" s="5" t="s">
        <v>3193</v>
      </c>
      <c r="M781" s="5" t="s">
        <v>3194</v>
      </c>
      <c r="N781" s="5" t="s">
        <v>3195</v>
      </c>
      <c r="O781" s="5">
        <v>8</v>
      </c>
      <c r="P781" s="6">
        <v>545920</v>
      </c>
      <c r="Q781" s="5">
        <v>340180</v>
      </c>
      <c r="R781" s="5">
        <v>205740</v>
      </c>
      <c r="S781" s="5">
        <v>0.77541000000000004</v>
      </c>
      <c r="T781" s="5">
        <f>LOG(Table2[[#This Row],[ratio heavy to light normalized]],2)</f>
        <v>-0.3669687541013632</v>
      </c>
      <c r="U781" s="5">
        <v>0.674866677579392</v>
      </c>
    </row>
    <row r="782" spans="1:21" x14ac:dyDescent="0.3">
      <c r="A782" s="5" t="s">
        <v>3760</v>
      </c>
      <c r="B782" s="5" t="s">
        <v>3761</v>
      </c>
      <c r="C782" s="5">
        <v>104</v>
      </c>
      <c r="D782" s="5">
        <v>104</v>
      </c>
      <c r="E782" s="5">
        <v>1</v>
      </c>
      <c r="F782" s="6">
        <v>70.411900000000003</v>
      </c>
      <c r="G782" s="7">
        <v>1.95646E-7</v>
      </c>
      <c r="H782" s="5">
        <v>70.412000000000006</v>
      </c>
      <c r="I782" s="5" t="s">
        <v>11</v>
      </c>
      <c r="J782" s="5">
        <v>1</v>
      </c>
      <c r="K782" s="5" t="s">
        <v>2</v>
      </c>
      <c r="L782" s="5" t="s">
        <v>3762</v>
      </c>
      <c r="M782" s="5" t="s">
        <v>3763</v>
      </c>
      <c r="N782" s="5" t="s">
        <v>3764</v>
      </c>
      <c r="O782" s="5">
        <v>13</v>
      </c>
      <c r="P782" s="6">
        <v>799070</v>
      </c>
      <c r="Q782" s="5">
        <v>347460</v>
      </c>
      <c r="R782" s="5">
        <v>451610</v>
      </c>
      <c r="S782" s="5">
        <v>0.81862000000000001</v>
      </c>
      <c r="T782" s="5">
        <f>LOG(Table2[[#This Row],[ratio heavy to light normalized]],2)</f>
        <v>-0.28873418067374196</v>
      </c>
      <c r="U782" s="5">
        <v>0.82453788820862794</v>
      </c>
    </row>
    <row r="783" spans="1:21" x14ac:dyDescent="0.3">
      <c r="A783" s="5" t="s">
        <v>3744</v>
      </c>
      <c r="B783" s="5" t="s">
        <v>3745</v>
      </c>
      <c r="C783" s="5">
        <v>224</v>
      </c>
      <c r="D783" s="5">
        <v>224</v>
      </c>
      <c r="E783" s="5">
        <v>1</v>
      </c>
      <c r="F783" s="6">
        <v>52.278300000000002</v>
      </c>
      <c r="G783" s="5">
        <v>1.1612300000000001E-2</v>
      </c>
      <c r="H783" s="5">
        <v>52.277999999999999</v>
      </c>
      <c r="I783" s="5"/>
      <c r="J783" s="5">
        <v>1</v>
      </c>
      <c r="K783" s="5" t="s">
        <v>2</v>
      </c>
      <c r="L783" s="5" t="s">
        <v>3746</v>
      </c>
      <c r="M783" s="5" t="s">
        <v>3747</v>
      </c>
      <c r="N783" s="5" t="s">
        <v>3748</v>
      </c>
      <c r="O783" s="5">
        <v>8</v>
      </c>
      <c r="P783" s="6">
        <v>670150</v>
      </c>
      <c r="Q783" s="5">
        <v>296520</v>
      </c>
      <c r="R783" s="5">
        <v>373630</v>
      </c>
      <c r="S783" s="5">
        <v>0.81794</v>
      </c>
      <c r="T783" s="5">
        <f>LOG(Table2[[#This Row],[ratio heavy to light normalized]],2)</f>
        <v>-0.28993307675364283</v>
      </c>
      <c r="U783" s="5">
        <v>0.82217929153564695</v>
      </c>
    </row>
    <row r="784" spans="1:21" x14ac:dyDescent="0.3">
      <c r="A784" s="5" t="s">
        <v>1032</v>
      </c>
      <c r="B784" s="5" t="s">
        <v>1033</v>
      </c>
      <c r="C784" s="5">
        <v>169</v>
      </c>
      <c r="D784" s="5">
        <v>169</v>
      </c>
      <c r="E784" s="5">
        <v>1</v>
      </c>
      <c r="F784" s="6">
        <v>99.522300000000001</v>
      </c>
      <c r="G784" s="7">
        <v>4.74729E-17</v>
      </c>
      <c r="H784" s="5">
        <v>99.522000000000006</v>
      </c>
      <c r="I784" s="5" t="s">
        <v>11</v>
      </c>
      <c r="J784" s="5">
        <v>1</v>
      </c>
      <c r="K784" s="5" t="s">
        <v>2</v>
      </c>
      <c r="L784" s="5" t="s">
        <v>2413</v>
      </c>
      <c r="M784" s="5" t="s">
        <v>2414</v>
      </c>
      <c r="N784" s="5" t="s">
        <v>2415</v>
      </c>
      <c r="O784" s="5">
        <v>9</v>
      </c>
      <c r="P784" s="6">
        <v>23379000</v>
      </c>
      <c r="Q784" s="5">
        <v>12192000</v>
      </c>
      <c r="R784" s="5">
        <v>11187000</v>
      </c>
      <c r="S784" s="5">
        <v>0.81674999999999998</v>
      </c>
      <c r="T784" s="5">
        <f>LOG(Table2[[#This Row],[ratio heavy to light normalized]],2)</f>
        <v>-0.29203354522402403</v>
      </c>
      <c r="U784" s="5">
        <v>0.51018528409388497</v>
      </c>
    </row>
    <row r="785" spans="1:21" x14ac:dyDescent="0.3">
      <c r="A785" s="5" t="s">
        <v>3084</v>
      </c>
      <c r="B785" s="5" t="s">
        <v>3085</v>
      </c>
      <c r="C785" s="5">
        <v>118</v>
      </c>
      <c r="D785" s="5">
        <v>118</v>
      </c>
      <c r="E785" s="5">
        <v>1</v>
      </c>
      <c r="F785" s="6">
        <v>99.522300000000001</v>
      </c>
      <c r="G785" s="7">
        <v>4.74729E-17</v>
      </c>
      <c r="H785" s="5">
        <v>99.522000000000006</v>
      </c>
      <c r="I785" s="5"/>
      <c r="J785" s="5">
        <v>1</v>
      </c>
      <c r="K785" s="5" t="s">
        <v>2</v>
      </c>
      <c r="L785" s="5" t="s">
        <v>3102</v>
      </c>
      <c r="M785" s="5" t="s">
        <v>3103</v>
      </c>
      <c r="N785" s="5" t="s">
        <v>3104</v>
      </c>
      <c r="O785" s="5">
        <v>7</v>
      </c>
      <c r="P785" s="6">
        <v>1482600</v>
      </c>
      <c r="Q785" s="5">
        <v>875150</v>
      </c>
      <c r="R785" s="5">
        <v>607470</v>
      </c>
      <c r="S785" s="5">
        <v>0.81591000000000002</v>
      </c>
      <c r="T785" s="5">
        <f>LOG(Table2[[#This Row],[ratio heavy to light normalized]],2)</f>
        <v>-0.29351807224284815</v>
      </c>
      <c r="U785" s="5">
        <v>0.654907545408561</v>
      </c>
    </row>
    <row r="786" spans="1:21" x14ac:dyDescent="0.3">
      <c r="A786" s="5" t="s">
        <v>1236</v>
      </c>
      <c r="B786" s="5" t="s">
        <v>1237</v>
      </c>
      <c r="C786" s="5">
        <v>113</v>
      </c>
      <c r="D786" s="5">
        <v>113</v>
      </c>
      <c r="E786" s="5">
        <v>1</v>
      </c>
      <c r="F786" s="6">
        <v>67.519099999999995</v>
      </c>
      <c r="G786" s="7">
        <v>1.7642799999999999E-15</v>
      </c>
      <c r="H786" s="5">
        <v>94.688000000000002</v>
      </c>
      <c r="I786" s="5" t="s">
        <v>11</v>
      </c>
      <c r="J786" s="5">
        <v>1</v>
      </c>
      <c r="K786" s="5" t="s">
        <v>2</v>
      </c>
      <c r="L786" s="5" t="s">
        <v>2394</v>
      </c>
      <c r="M786" s="5" t="s">
        <v>2395</v>
      </c>
      <c r="N786" s="5" t="s">
        <v>2396</v>
      </c>
      <c r="O786" s="5">
        <v>8</v>
      </c>
      <c r="P786" s="6">
        <v>69259000</v>
      </c>
      <c r="Q786" s="5">
        <v>35614000</v>
      </c>
      <c r="R786" s="5">
        <v>33645000</v>
      </c>
      <c r="S786" s="5">
        <v>0.81552000000000002</v>
      </c>
      <c r="T786" s="5">
        <f>LOG(Table2[[#This Row],[ratio heavy to light normalized]],2)</f>
        <v>-0.29420783653143501</v>
      </c>
      <c r="U786" s="5">
        <v>0.50547112811725603</v>
      </c>
    </row>
    <row r="787" spans="1:21" x14ac:dyDescent="0.3">
      <c r="A787" s="5" t="s">
        <v>1216</v>
      </c>
      <c r="B787" s="5" t="s">
        <v>1217</v>
      </c>
      <c r="C787" s="5">
        <v>56</v>
      </c>
      <c r="D787" s="5">
        <v>56</v>
      </c>
      <c r="E787" s="5">
        <v>1</v>
      </c>
      <c r="F787" s="6">
        <v>64.121200000000002</v>
      </c>
      <c r="G787" s="5">
        <v>3.9291499999999997E-4</v>
      </c>
      <c r="H787" s="5">
        <v>64.120999999999995</v>
      </c>
      <c r="I787" s="5" t="s">
        <v>11</v>
      </c>
      <c r="J787" s="5">
        <v>1</v>
      </c>
      <c r="K787" s="5" t="s">
        <v>2</v>
      </c>
      <c r="L787" s="5" t="s">
        <v>2383</v>
      </c>
      <c r="M787" s="5" t="s">
        <v>2384</v>
      </c>
      <c r="N787" s="5" t="s">
        <v>2385</v>
      </c>
      <c r="O787" s="5">
        <v>6</v>
      </c>
      <c r="P787" s="6">
        <v>8510200</v>
      </c>
      <c r="Q787" s="5">
        <v>4447100</v>
      </c>
      <c r="R787" s="5">
        <v>4063100</v>
      </c>
      <c r="S787" s="5">
        <v>0.81501999999999997</v>
      </c>
      <c r="T787" s="5">
        <f>LOG(Table2[[#This Row],[ratio heavy to light normalized]],2)</f>
        <v>-0.295092632418754</v>
      </c>
      <c r="U787" s="5">
        <v>0.50355935863343404</v>
      </c>
    </row>
    <row r="788" spans="1:21" x14ac:dyDescent="0.3">
      <c r="A788" s="5" t="s">
        <v>2372</v>
      </c>
      <c r="B788" s="5" t="s">
        <v>2373</v>
      </c>
      <c r="C788" s="5">
        <v>81</v>
      </c>
      <c r="D788" s="5">
        <v>81</v>
      </c>
      <c r="E788" s="5">
        <v>1</v>
      </c>
      <c r="F788" s="6">
        <v>159.404</v>
      </c>
      <c r="G788" s="7">
        <v>1.77439E-53</v>
      </c>
      <c r="H788" s="5">
        <v>159.4</v>
      </c>
      <c r="I788" s="5" t="s">
        <v>11</v>
      </c>
      <c r="J788" s="5">
        <v>1</v>
      </c>
      <c r="K788" s="5" t="s">
        <v>2</v>
      </c>
      <c r="L788" s="5" t="s">
        <v>2374</v>
      </c>
      <c r="M788" s="5" t="s">
        <v>2375</v>
      </c>
      <c r="N788" s="5" t="s">
        <v>2376</v>
      </c>
      <c r="O788" s="5">
        <v>8</v>
      </c>
      <c r="P788" s="6">
        <v>3129600</v>
      </c>
      <c r="Q788" s="5">
        <v>1587200</v>
      </c>
      <c r="R788" s="5">
        <v>1542300</v>
      </c>
      <c r="S788" s="5">
        <v>0.81406000000000001</v>
      </c>
      <c r="T788" s="5">
        <f>LOG(Table2[[#This Row],[ratio heavy to light normalized]],2)</f>
        <v>-0.29679296315704962</v>
      </c>
      <c r="U788" s="5">
        <v>0.49989621631547398</v>
      </c>
    </row>
    <row r="789" spans="1:21" x14ac:dyDescent="0.3">
      <c r="A789" s="5" t="s">
        <v>3079</v>
      </c>
      <c r="B789" s="5" t="s">
        <v>3080</v>
      </c>
      <c r="C789" s="5">
        <v>141</v>
      </c>
      <c r="D789" s="5">
        <v>141</v>
      </c>
      <c r="E789" s="5">
        <v>1</v>
      </c>
      <c r="F789" s="6">
        <v>96.163300000000007</v>
      </c>
      <c r="G789" s="7">
        <v>1.5315800000000001E-20</v>
      </c>
      <c r="H789" s="5">
        <v>96.162999999999997</v>
      </c>
      <c r="I789" s="5" t="s">
        <v>11</v>
      </c>
      <c r="J789" s="5">
        <v>1</v>
      </c>
      <c r="K789" s="5" t="s">
        <v>2</v>
      </c>
      <c r="L789" s="5" t="s">
        <v>3081</v>
      </c>
      <c r="M789" s="5" t="s">
        <v>3082</v>
      </c>
      <c r="N789" s="5" t="s">
        <v>3083</v>
      </c>
      <c r="O789" s="5">
        <v>9</v>
      </c>
      <c r="P789" s="6">
        <v>1414600</v>
      </c>
      <c r="Q789" s="5">
        <v>702580</v>
      </c>
      <c r="R789" s="5">
        <v>711980</v>
      </c>
      <c r="S789" s="5">
        <v>0.81366000000000005</v>
      </c>
      <c r="T789" s="5">
        <f>LOG(Table2[[#This Row],[ratio heavy to light normalized]],2)</f>
        <v>-0.29750202617522475</v>
      </c>
      <c r="U789" s="5">
        <v>0.64757150378420303</v>
      </c>
    </row>
    <row r="790" spans="1:21" x14ac:dyDescent="0.3">
      <c r="A790" s="5" t="s">
        <v>323</v>
      </c>
      <c r="B790" s="5" t="s">
        <v>324</v>
      </c>
      <c r="C790" s="5">
        <v>375</v>
      </c>
      <c r="D790" s="5">
        <v>375</v>
      </c>
      <c r="E790" s="5">
        <v>1</v>
      </c>
      <c r="F790" s="6">
        <v>15.8439</v>
      </c>
      <c r="G790" s="7">
        <v>6.2825700000000002E-16</v>
      </c>
      <c r="H790" s="5">
        <v>105.2</v>
      </c>
      <c r="I790" s="5"/>
      <c r="J790" s="5">
        <v>1</v>
      </c>
      <c r="K790" s="5" t="s">
        <v>2</v>
      </c>
      <c r="L790" s="5" t="s">
        <v>2366</v>
      </c>
      <c r="M790" s="5" t="s">
        <v>2367</v>
      </c>
      <c r="N790" s="5" t="s">
        <v>2368</v>
      </c>
      <c r="O790" s="5">
        <v>13</v>
      </c>
      <c r="P790" s="6">
        <v>2974600</v>
      </c>
      <c r="Q790" s="5">
        <v>1535100</v>
      </c>
      <c r="R790" s="5">
        <v>1439500</v>
      </c>
      <c r="S790" s="5">
        <v>0.81337999999999999</v>
      </c>
      <c r="T790" s="5">
        <f>LOG(Table2[[#This Row],[ratio heavy to light normalized]],2)</f>
        <v>-0.29799857772335725</v>
      </c>
      <c r="U790" s="5">
        <v>0.49730747006820297</v>
      </c>
    </row>
    <row r="791" spans="1:21" x14ac:dyDescent="0.3">
      <c r="A791" s="5" t="s">
        <v>1231</v>
      </c>
      <c r="B791" s="5" t="s">
        <v>1232</v>
      </c>
      <c r="C791" s="5">
        <v>60</v>
      </c>
      <c r="D791" s="5">
        <v>60</v>
      </c>
      <c r="E791" s="5">
        <v>1</v>
      </c>
      <c r="F791" s="6">
        <v>133.148</v>
      </c>
      <c r="G791" s="7">
        <v>6.6085E-41</v>
      </c>
      <c r="H791" s="5">
        <v>133.15</v>
      </c>
      <c r="I791" s="5"/>
      <c r="J791" s="5">
        <v>1</v>
      </c>
      <c r="K791" s="5" t="s">
        <v>2</v>
      </c>
      <c r="L791" s="5" t="s">
        <v>2363</v>
      </c>
      <c r="M791" s="5" t="s">
        <v>2364</v>
      </c>
      <c r="N791" s="5" t="s">
        <v>2365</v>
      </c>
      <c r="O791" s="5">
        <v>8</v>
      </c>
      <c r="P791" s="6">
        <v>11875000</v>
      </c>
      <c r="Q791" s="5">
        <v>6538000</v>
      </c>
      <c r="R791" s="5">
        <v>5336800</v>
      </c>
      <c r="S791" s="5">
        <v>0.81320000000000003</v>
      </c>
      <c r="T791" s="5">
        <f>LOG(Table2[[#This Row],[ratio heavy to light normalized]],2)</f>
        <v>-0.2983178797047169</v>
      </c>
      <c r="U791" s="5">
        <v>0.49662304935531099</v>
      </c>
    </row>
    <row r="792" spans="1:21" x14ac:dyDescent="0.3">
      <c r="A792" s="5" t="s">
        <v>2062</v>
      </c>
      <c r="B792" s="5" t="s">
        <v>2063</v>
      </c>
      <c r="C792" s="5">
        <v>38</v>
      </c>
      <c r="D792" s="5">
        <v>38</v>
      </c>
      <c r="E792" s="5">
        <v>1</v>
      </c>
      <c r="F792" s="6">
        <v>60.477499999999999</v>
      </c>
      <c r="G792" s="5">
        <v>3.0210099999999999E-4</v>
      </c>
      <c r="H792" s="5">
        <v>60.478000000000002</v>
      </c>
      <c r="I792" s="5" t="s">
        <v>11</v>
      </c>
      <c r="J792" s="5">
        <v>1</v>
      </c>
      <c r="K792" s="5" t="s">
        <v>2</v>
      </c>
      <c r="L792" s="5" t="s">
        <v>3070</v>
      </c>
      <c r="M792" s="5" t="s">
        <v>3071</v>
      </c>
      <c r="N792" s="5" t="s">
        <v>3072</v>
      </c>
      <c r="O792" s="5">
        <v>5</v>
      </c>
      <c r="P792" s="6">
        <v>1317200</v>
      </c>
      <c r="Q792" s="5">
        <v>639190</v>
      </c>
      <c r="R792" s="5">
        <v>678030</v>
      </c>
      <c r="S792" s="5">
        <v>0.81225999999999998</v>
      </c>
      <c r="T792" s="5">
        <f>LOG(Table2[[#This Row],[ratio heavy to light normalized]],2)</f>
        <v>-0.29998649473014011</v>
      </c>
      <c r="U792" s="5">
        <v>0.64301382134749996</v>
      </c>
    </row>
    <row r="793" spans="1:21" x14ac:dyDescent="0.3">
      <c r="A793" s="5" t="s">
        <v>1415</v>
      </c>
      <c r="B793" s="5" t="s">
        <v>1416</v>
      </c>
      <c r="C793" s="5">
        <v>246</v>
      </c>
      <c r="D793" s="5">
        <v>246</v>
      </c>
      <c r="E793" s="5">
        <v>1</v>
      </c>
      <c r="F793" s="6">
        <v>78.485900000000001</v>
      </c>
      <c r="G793" s="7">
        <v>7.0429500000000005E-11</v>
      </c>
      <c r="H793" s="5">
        <v>78.486000000000004</v>
      </c>
      <c r="I793" s="5"/>
      <c r="J793" s="5">
        <v>1</v>
      </c>
      <c r="K793" s="5" t="s">
        <v>2</v>
      </c>
      <c r="L793" s="5" t="s">
        <v>3662</v>
      </c>
      <c r="M793" s="5" t="s">
        <v>3663</v>
      </c>
      <c r="N793" s="5" t="s">
        <v>3664</v>
      </c>
      <c r="O793" s="5">
        <v>11</v>
      </c>
      <c r="P793" s="6">
        <v>983130</v>
      </c>
      <c r="Q793" s="5">
        <v>619110</v>
      </c>
      <c r="R793" s="5">
        <v>364020</v>
      </c>
      <c r="S793" s="5">
        <v>0.81196999999999997</v>
      </c>
      <c r="T793" s="5">
        <f>LOG(Table2[[#This Row],[ratio heavy to light normalized]],2)</f>
        <v>-0.30050167000248906</v>
      </c>
      <c r="U793" s="5">
        <v>0.80145940601237398</v>
      </c>
    </row>
    <row r="794" spans="1:21" x14ac:dyDescent="0.3">
      <c r="A794" s="5" t="s">
        <v>2240</v>
      </c>
      <c r="B794" s="5" t="s">
        <v>2241</v>
      </c>
      <c r="C794" s="5">
        <v>425</v>
      </c>
      <c r="D794" s="5">
        <v>425</v>
      </c>
      <c r="E794" s="5">
        <v>1</v>
      </c>
      <c r="F794" s="6">
        <v>70.335099999999997</v>
      </c>
      <c r="G794" s="7">
        <v>5.5060599999999999E-23</v>
      </c>
      <c r="H794" s="5">
        <v>93.427000000000007</v>
      </c>
      <c r="I794" s="5"/>
      <c r="J794" s="5">
        <v>1</v>
      </c>
      <c r="K794" s="5" t="s">
        <v>2</v>
      </c>
      <c r="L794" s="5" t="s">
        <v>2327</v>
      </c>
      <c r="M794" s="5" t="s">
        <v>2328</v>
      </c>
      <c r="N794" s="5" t="s">
        <v>2329</v>
      </c>
      <c r="O794" s="5">
        <v>16</v>
      </c>
      <c r="P794" s="6">
        <v>8946600</v>
      </c>
      <c r="Q794" s="5">
        <v>4287500</v>
      </c>
      <c r="R794" s="5">
        <v>4659100</v>
      </c>
      <c r="S794" s="5">
        <v>0.81186999999999998</v>
      </c>
      <c r="T794" s="5">
        <f>LOG(Table2[[#This Row],[ratio heavy to light normalized]],2)</f>
        <v>-0.3006793593121147</v>
      </c>
      <c r="U794" s="5">
        <v>0.491576869519535</v>
      </c>
    </row>
    <row r="795" spans="1:21" x14ac:dyDescent="0.3">
      <c r="A795" s="5" t="s">
        <v>2311</v>
      </c>
      <c r="B795" s="5" t="s">
        <v>2312</v>
      </c>
      <c r="C795" s="5">
        <v>81</v>
      </c>
      <c r="D795" s="5">
        <v>81</v>
      </c>
      <c r="E795" s="5">
        <v>1</v>
      </c>
      <c r="F795" s="6">
        <v>83.314099999999996</v>
      </c>
      <c r="G795" s="7">
        <v>1.02593E-10</v>
      </c>
      <c r="H795" s="5">
        <v>83.313999999999993</v>
      </c>
      <c r="I795" s="5"/>
      <c r="J795" s="5">
        <v>1</v>
      </c>
      <c r="K795" s="5" t="s">
        <v>2</v>
      </c>
      <c r="L795" s="5" t="s">
        <v>2313</v>
      </c>
      <c r="M795" s="5" t="s">
        <v>2314</v>
      </c>
      <c r="N795" s="5" t="s">
        <v>2315</v>
      </c>
      <c r="O795" s="5">
        <v>10</v>
      </c>
      <c r="P795" s="6">
        <v>3427700</v>
      </c>
      <c r="Q795" s="5">
        <v>2023500</v>
      </c>
      <c r="R795" s="5">
        <v>1404200</v>
      </c>
      <c r="S795" s="5">
        <v>0.81172</v>
      </c>
      <c r="T795" s="5">
        <f>LOG(Table2[[#This Row],[ratio heavy to light normalized]],2)</f>
        <v>-0.30094593431781075</v>
      </c>
      <c r="U795" s="5">
        <v>0.49100896687926299</v>
      </c>
    </row>
    <row r="796" spans="1:21" x14ac:dyDescent="0.3">
      <c r="A796" s="5" t="s">
        <v>476</v>
      </c>
      <c r="B796" s="5" t="s">
        <v>477</v>
      </c>
      <c r="C796" s="5">
        <v>139</v>
      </c>
      <c r="D796" s="5">
        <v>139</v>
      </c>
      <c r="E796" s="5">
        <v>1</v>
      </c>
      <c r="F796" s="6">
        <v>47.2879</v>
      </c>
      <c r="G796" s="5">
        <v>1.7262400000000001E-2</v>
      </c>
      <c r="H796" s="5">
        <v>47.287999999999997</v>
      </c>
      <c r="I796" s="5"/>
      <c r="J796" s="5">
        <v>1</v>
      </c>
      <c r="K796" s="5" t="s">
        <v>2</v>
      </c>
      <c r="L796" s="5" t="s">
        <v>3062</v>
      </c>
      <c r="M796" s="5" t="s">
        <v>3063</v>
      </c>
      <c r="N796" s="5" t="s">
        <v>3064</v>
      </c>
      <c r="O796" s="5">
        <v>7</v>
      </c>
      <c r="P796" s="6">
        <v>1160300</v>
      </c>
      <c r="Q796" s="5">
        <v>675880</v>
      </c>
      <c r="R796" s="5">
        <v>484400</v>
      </c>
      <c r="S796" s="5">
        <v>0.81152999999999997</v>
      </c>
      <c r="T796" s="5">
        <f>LOG(Table2[[#This Row],[ratio heavy to light normalized]],2)</f>
        <v>-0.3012836667176515</v>
      </c>
      <c r="U796" s="5">
        <v>0.64063951224474702</v>
      </c>
    </row>
    <row r="797" spans="1:21" x14ac:dyDescent="0.3">
      <c r="A797" s="5" t="s">
        <v>3638</v>
      </c>
      <c r="B797" s="5" t="s">
        <v>3639</v>
      </c>
      <c r="C797" s="5">
        <v>166</v>
      </c>
      <c r="D797" s="5">
        <v>166</v>
      </c>
      <c r="E797" s="5">
        <v>1</v>
      </c>
      <c r="F797" s="6">
        <v>49.500500000000002</v>
      </c>
      <c r="G797" s="5">
        <v>1.2744E-2</v>
      </c>
      <c r="H797" s="5">
        <v>49.5</v>
      </c>
      <c r="I797" s="5"/>
      <c r="J797" s="5">
        <v>1</v>
      </c>
      <c r="K797" s="5" t="s">
        <v>2</v>
      </c>
      <c r="L797" s="5" t="s">
        <v>3640</v>
      </c>
      <c r="M797" s="5" t="s">
        <v>3641</v>
      </c>
      <c r="N797" s="5" t="s">
        <v>3642</v>
      </c>
      <c r="O797" s="5">
        <v>8</v>
      </c>
      <c r="P797" s="6">
        <v>512960</v>
      </c>
      <c r="Q797" s="5">
        <v>302020</v>
      </c>
      <c r="R797" s="5">
        <v>210940</v>
      </c>
      <c r="S797" s="5">
        <v>0.81103000000000003</v>
      </c>
      <c r="T797" s="5">
        <f>LOG(Table2[[#This Row],[ratio heavy to light normalized]],2)</f>
        <v>-0.30217281416770247</v>
      </c>
      <c r="U797" s="5">
        <v>0.79819545004660597</v>
      </c>
    </row>
    <row r="798" spans="1:21" x14ac:dyDescent="0.3">
      <c r="A798" s="5" t="s">
        <v>3034</v>
      </c>
      <c r="B798" s="5" t="s">
        <v>3035</v>
      </c>
      <c r="C798" s="5">
        <v>57</v>
      </c>
      <c r="D798" s="5">
        <v>57</v>
      </c>
      <c r="E798" s="5">
        <v>1</v>
      </c>
      <c r="F798" s="6">
        <v>50.608199999999997</v>
      </c>
      <c r="G798" s="7">
        <v>4.2694100000000002E-5</v>
      </c>
      <c r="H798" s="5">
        <v>50.607999999999997</v>
      </c>
      <c r="I798" s="5" t="s">
        <v>11</v>
      </c>
      <c r="J798" s="5">
        <v>1</v>
      </c>
      <c r="K798" s="5" t="s">
        <v>2</v>
      </c>
      <c r="L798" s="5" t="s">
        <v>3036</v>
      </c>
      <c r="M798" s="5" t="s">
        <v>3037</v>
      </c>
      <c r="N798" s="5" t="s">
        <v>3038</v>
      </c>
      <c r="O798" s="5">
        <v>9</v>
      </c>
      <c r="P798" s="6">
        <v>1436400</v>
      </c>
      <c r="Q798" s="5">
        <v>702850</v>
      </c>
      <c r="R798" s="5">
        <v>733510</v>
      </c>
      <c r="S798" s="5">
        <v>0.81022000000000005</v>
      </c>
      <c r="T798" s="5">
        <f>LOG(Table2[[#This Row],[ratio heavy to light normalized]],2)</f>
        <v>-0.3036143969962013</v>
      </c>
      <c r="U798" s="5">
        <v>0.63638264564545799</v>
      </c>
    </row>
    <row r="799" spans="1:21" x14ac:dyDescent="0.3">
      <c r="A799" s="5" t="s">
        <v>2258</v>
      </c>
      <c r="B799" s="5" t="s">
        <v>2259</v>
      </c>
      <c r="C799" s="5">
        <v>50</v>
      </c>
      <c r="D799" s="5">
        <v>50</v>
      </c>
      <c r="E799" s="5">
        <v>1</v>
      </c>
      <c r="F799" s="6">
        <v>86.832800000000006</v>
      </c>
      <c r="G799" s="7">
        <v>2.8086100000000001E-10</v>
      </c>
      <c r="H799" s="5">
        <v>86.832999999999998</v>
      </c>
      <c r="I799" s="5" t="s">
        <v>11</v>
      </c>
      <c r="J799" s="5">
        <v>1</v>
      </c>
      <c r="K799" s="5" t="s">
        <v>2</v>
      </c>
      <c r="L799" s="5" t="s">
        <v>2260</v>
      </c>
      <c r="M799" s="5" t="s">
        <v>2261</v>
      </c>
      <c r="N799" s="5" t="s">
        <v>2262</v>
      </c>
      <c r="O799" s="5">
        <v>5</v>
      </c>
      <c r="P799" s="6">
        <v>99124000</v>
      </c>
      <c r="Q799" s="5">
        <v>51445000</v>
      </c>
      <c r="R799" s="5">
        <v>47679000</v>
      </c>
      <c r="S799" s="5">
        <v>0.80832000000000004</v>
      </c>
      <c r="T799" s="5">
        <f>LOG(Table2[[#This Row],[ratio heavy to light normalized]],2)</f>
        <v>-0.30700155064925944</v>
      </c>
      <c r="U799" s="5">
        <v>0.47820374624983603</v>
      </c>
    </row>
    <row r="800" spans="1:21" x14ac:dyDescent="0.3">
      <c r="A800" s="5" t="s">
        <v>633</v>
      </c>
      <c r="B800" s="5" t="s">
        <v>634</v>
      </c>
      <c r="C800" s="5">
        <v>146</v>
      </c>
      <c r="D800" s="5">
        <v>146</v>
      </c>
      <c r="E800" s="5">
        <v>1</v>
      </c>
      <c r="F800" s="6">
        <v>55.314300000000003</v>
      </c>
      <c r="G800" s="5">
        <v>6.1256699999999997E-3</v>
      </c>
      <c r="H800" s="5">
        <v>55.314</v>
      </c>
      <c r="I800" s="5" t="s">
        <v>11</v>
      </c>
      <c r="J800" s="5">
        <v>1</v>
      </c>
      <c r="K800" s="5" t="s">
        <v>2</v>
      </c>
      <c r="L800" s="5" t="s">
        <v>3596</v>
      </c>
      <c r="M800" s="5" t="s">
        <v>3597</v>
      </c>
      <c r="N800" s="5" t="s">
        <v>3598</v>
      </c>
      <c r="O800" s="5">
        <v>2</v>
      </c>
      <c r="P800" s="6">
        <v>508710</v>
      </c>
      <c r="Q800" s="5">
        <v>233200</v>
      </c>
      <c r="R800" s="5">
        <v>275510</v>
      </c>
      <c r="S800" s="5">
        <v>0.80747999999999998</v>
      </c>
      <c r="T800" s="5">
        <f>LOG(Table2[[#This Row],[ratio heavy to light normalized]],2)</f>
        <v>-0.30850156790822714</v>
      </c>
      <c r="U800" s="5">
        <v>0.785866989188162</v>
      </c>
    </row>
    <row r="801" spans="1:21" x14ac:dyDescent="0.3">
      <c r="A801" s="5" t="s">
        <v>2240</v>
      </c>
      <c r="B801" s="5" t="s">
        <v>2241</v>
      </c>
      <c r="C801" s="5">
        <v>174</v>
      </c>
      <c r="D801" s="5">
        <v>174</v>
      </c>
      <c r="E801" s="5">
        <v>1</v>
      </c>
      <c r="F801" s="6">
        <v>73.847800000000007</v>
      </c>
      <c r="G801" s="7">
        <v>2.4578200000000002E-10</v>
      </c>
      <c r="H801" s="5">
        <v>79.492000000000004</v>
      </c>
      <c r="I801" s="5" t="s">
        <v>11</v>
      </c>
      <c r="J801" s="5">
        <v>1</v>
      </c>
      <c r="K801" s="5" t="s">
        <v>2</v>
      </c>
      <c r="L801" s="5" t="s">
        <v>2242</v>
      </c>
      <c r="M801" s="5" t="s">
        <v>2243</v>
      </c>
      <c r="N801" s="5" t="s">
        <v>2244</v>
      </c>
      <c r="O801" s="5">
        <v>11</v>
      </c>
      <c r="P801" s="6">
        <v>9123400</v>
      </c>
      <c r="Q801" s="5">
        <v>5119200</v>
      </c>
      <c r="R801" s="5">
        <v>4004300</v>
      </c>
      <c r="S801" s="5">
        <v>0.80745</v>
      </c>
      <c r="T801" s="5">
        <f>LOG(Table2[[#This Row],[ratio heavy to light normalized]],2)</f>
        <v>-0.30855516880886258</v>
      </c>
      <c r="U801" s="5">
        <v>0.47494813159041999</v>
      </c>
    </row>
    <row r="802" spans="1:21" x14ac:dyDescent="0.3">
      <c r="A802" s="5" t="s">
        <v>96</v>
      </c>
      <c r="B802" s="5" t="s">
        <v>97</v>
      </c>
      <c r="C802" s="5">
        <v>100</v>
      </c>
      <c r="D802" s="5">
        <v>100</v>
      </c>
      <c r="E802" s="5">
        <v>1</v>
      </c>
      <c r="F802" s="6">
        <v>60.019100000000002</v>
      </c>
      <c r="G802" s="5">
        <v>2.77751E-3</v>
      </c>
      <c r="H802" s="5">
        <v>60.018999999999998</v>
      </c>
      <c r="I802" s="5" t="s">
        <v>11</v>
      </c>
      <c r="J802" s="5">
        <v>1</v>
      </c>
      <c r="K802" s="5" t="s">
        <v>2</v>
      </c>
      <c r="L802" s="5" t="s">
        <v>2237</v>
      </c>
      <c r="M802" s="5" t="s">
        <v>2238</v>
      </c>
      <c r="N802" s="5" t="s">
        <v>2239</v>
      </c>
      <c r="O802" s="5">
        <v>5</v>
      </c>
      <c r="P802" s="6">
        <v>7055500</v>
      </c>
      <c r="Q802" s="5">
        <v>3802200</v>
      </c>
      <c r="R802" s="5">
        <v>3253300</v>
      </c>
      <c r="S802" s="5">
        <v>0.80737999999999999</v>
      </c>
      <c r="T802" s="5">
        <f>LOG(Table2[[#This Row],[ratio heavy to light normalized]],2)</f>
        <v>-0.30868024532208754</v>
      </c>
      <c r="U802" s="5">
        <v>0.47468656335163101</v>
      </c>
    </row>
    <row r="803" spans="1:21" x14ac:dyDescent="0.3">
      <c r="A803" s="5" t="s">
        <v>288</v>
      </c>
      <c r="B803" s="5" t="s">
        <v>289</v>
      </c>
      <c r="C803" s="5">
        <v>59</v>
      </c>
      <c r="D803" s="5">
        <v>59</v>
      </c>
      <c r="E803" s="5">
        <v>1</v>
      </c>
      <c r="F803" s="6">
        <v>97.911299999999997</v>
      </c>
      <c r="G803" s="7">
        <v>5.5824799999999999E-17</v>
      </c>
      <c r="H803" s="5">
        <v>97.911000000000001</v>
      </c>
      <c r="I803" s="5"/>
      <c r="J803" s="5">
        <v>1</v>
      </c>
      <c r="K803" s="5" t="s">
        <v>2</v>
      </c>
      <c r="L803" s="5" t="s">
        <v>2969</v>
      </c>
      <c r="M803" s="5" t="s">
        <v>2970</v>
      </c>
      <c r="N803" s="5" t="s">
        <v>2971</v>
      </c>
      <c r="O803" s="5">
        <v>9</v>
      </c>
      <c r="P803" s="6">
        <v>1164700</v>
      </c>
      <c r="Q803" s="5">
        <v>643240</v>
      </c>
      <c r="R803" s="5">
        <v>521480</v>
      </c>
      <c r="S803" s="5">
        <v>0.80633999999999995</v>
      </c>
      <c r="T803" s="5">
        <f>LOG(Table2[[#This Row],[ratio heavy to light normalized]],2)</f>
        <v>-0.31053980342417897</v>
      </c>
      <c r="U803" s="5">
        <v>0.62380511306945596</v>
      </c>
    </row>
    <row r="804" spans="1:21" x14ac:dyDescent="0.3">
      <c r="A804" s="5" t="s">
        <v>1644</v>
      </c>
      <c r="B804" s="5" t="s">
        <v>1645</v>
      </c>
      <c r="C804" s="5">
        <v>99</v>
      </c>
      <c r="D804" s="5">
        <v>99</v>
      </c>
      <c r="E804" s="5">
        <v>1</v>
      </c>
      <c r="F804" s="6">
        <v>27.427800000000001</v>
      </c>
      <c r="G804" s="5">
        <v>0.345468</v>
      </c>
      <c r="H804" s="5">
        <v>27.428000000000001</v>
      </c>
      <c r="I804" s="5"/>
      <c r="J804" s="5">
        <v>1</v>
      </c>
      <c r="K804" s="5" t="s">
        <v>2</v>
      </c>
      <c r="L804" s="5" t="s">
        <v>3274</v>
      </c>
      <c r="M804" s="5" t="s">
        <v>3275</v>
      </c>
      <c r="N804" s="5" t="s">
        <v>3276</v>
      </c>
      <c r="O804" s="5">
        <v>5</v>
      </c>
      <c r="P804" s="6">
        <v>1284100</v>
      </c>
      <c r="Q804" s="5">
        <v>659820</v>
      </c>
      <c r="R804" s="5">
        <v>624240</v>
      </c>
      <c r="S804" s="5">
        <v>0.99741999999999997</v>
      </c>
      <c r="T804" s="5">
        <f>LOG(Table2[[#This Row],[ratio heavy to light normalized]],2)</f>
        <v>-3.7269630578558493E-3</v>
      </c>
      <c r="U804" s="5">
        <v>0.69272418015994097</v>
      </c>
    </row>
    <row r="805" spans="1:21" x14ac:dyDescent="0.3">
      <c r="A805" s="5" t="s">
        <v>3572</v>
      </c>
      <c r="B805" s="5" t="s">
        <v>3573</v>
      </c>
      <c r="C805" s="5">
        <v>176</v>
      </c>
      <c r="D805" s="5">
        <v>176</v>
      </c>
      <c r="E805" s="5">
        <v>1</v>
      </c>
      <c r="F805" s="6">
        <v>73.91</v>
      </c>
      <c r="G805" s="7">
        <v>3.1667899999999998E-10</v>
      </c>
      <c r="H805" s="5">
        <v>73.91</v>
      </c>
      <c r="I805" s="5" t="s">
        <v>11</v>
      </c>
      <c r="J805" s="5">
        <v>1</v>
      </c>
      <c r="K805" s="5" t="s">
        <v>2</v>
      </c>
      <c r="L805" s="5" t="s">
        <v>3574</v>
      </c>
      <c r="M805" s="5" t="s">
        <v>3575</v>
      </c>
      <c r="N805" s="5" t="s">
        <v>3576</v>
      </c>
      <c r="O805" s="5">
        <v>5</v>
      </c>
      <c r="P805" s="6">
        <v>724620</v>
      </c>
      <c r="Q805" s="5">
        <v>407150</v>
      </c>
      <c r="R805" s="5">
        <v>317480</v>
      </c>
      <c r="S805" s="5">
        <v>0.80571999999999999</v>
      </c>
      <c r="T805" s="5">
        <f>LOG(Table2[[#This Row],[ratio heavy to light normalized]],2)</f>
        <v>-0.31164952759009573</v>
      </c>
      <c r="U805" s="5">
        <v>0.77975446960739503</v>
      </c>
    </row>
    <row r="806" spans="1:21" x14ac:dyDescent="0.3">
      <c r="A806" s="5" t="s">
        <v>2540</v>
      </c>
      <c r="B806" s="5" t="s">
        <v>2541</v>
      </c>
      <c r="C806" s="5">
        <v>349</v>
      </c>
      <c r="D806" s="5">
        <v>349</v>
      </c>
      <c r="E806" s="5">
        <v>1</v>
      </c>
      <c r="F806" s="6">
        <v>69.811700000000002</v>
      </c>
      <c r="G806" s="5">
        <v>1.3385900000000001E-4</v>
      </c>
      <c r="H806" s="5">
        <v>69.811999999999998</v>
      </c>
      <c r="I806" s="5" t="s">
        <v>11</v>
      </c>
      <c r="J806" s="5">
        <v>1</v>
      </c>
      <c r="K806" s="5" t="s">
        <v>2</v>
      </c>
      <c r="L806" s="5" t="s">
        <v>2958</v>
      </c>
      <c r="M806" s="5" t="s">
        <v>2959</v>
      </c>
      <c r="N806" s="5" t="s">
        <v>2960</v>
      </c>
      <c r="O806" s="5">
        <v>6</v>
      </c>
      <c r="P806" s="6">
        <v>1166700</v>
      </c>
      <c r="Q806" s="5">
        <v>617530</v>
      </c>
      <c r="R806" s="5">
        <v>549130</v>
      </c>
      <c r="S806" s="5">
        <v>0.80562999999999996</v>
      </c>
      <c r="T806" s="5">
        <f>LOG(Table2[[#This Row],[ratio heavy to light normalized]],2)</f>
        <v>-0.31181068755387154</v>
      </c>
      <c r="U806" s="5">
        <v>0.621508723991687</v>
      </c>
    </row>
    <row r="807" spans="1:21" x14ac:dyDescent="0.3">
      <c r="A807" s="5" t="s">
        <v>3283</v>
      </c>
      <c r="B807" s="5" t="s">
        <v>3284</v>
      </c>
      <c r="C807" s="5">
        <v>28</v>
      </c>
      <c r="D807" s="5">
        <v>28</v>
      </c>
      <c r="E807" s="5">
        <v>1</v>
      </c>
      <c r="F807" s="6">
        <v>35.652099999999997</v>
      </c>
      <c r="G807" s="5">
        <v>7.0126400000000005E-2</v>
      </c>
      <c r="H807" s="5">
        <v>35.652000000000001</v>
      </c>
      <c r="I807" s="5" t="s">
        <v>11</v>
      </c>
      <c r="J807" s="5">
        <v>1</v>
      </c>
      <c r="K807" s="5" t="s">
        <v>2</v>
      </c>
      <c r="L807" s="5" t="s">
        <v>3285</v>
      </c>
      <c r="M807" s="5" t="s">
        <v>3286</v>
      </c>
      <c r="N807" s="5" t="s">
        <v>3287</v>
      </c>
      <c r="O807" s="5">
        <v>7</v>
      </c>
      <c r="P807" s="6">
        <v>499650</v>
      </c>
      <c r="Q807" s="5">
        <v>237870</v>
      </c>
      <c r="R807" s="5">
        <v>261770</v>
      </c>
      <c r="S807" s="5">
        <v>0.98143999999999998</v>
      </c>
      <c r="T807" s="5">
        <f>LOG(Table2[[#This Row],[ratio heavy to light normalized]],2)</f>
        <v>-2.7028023169792234E-2</v>
      </c>
      <c r="U807" s="5">
        <v>0.69601648531224802</v>
      </c>
    </row>
    <row r="808" spans="1:21" x14ac:dyDescent="0.3">
      <c r="A808" s="5" t="s">
        <v>3567</v>
      </c>
      <c r="B808" s="5" t="s">
        <v>3568</v>
      </c>
      <c r="C808" s="5">
        <v>528</v>
      </c>
      <c r="D808" s="5">
        <v>528</v>
      </c>
      <c r="E808" s="5">
        <v>1</v>
      </c>
      <c r="F808" s="6">
        <v>44.6158</v>
      </c>
      <c r="G808" s="7">
        <v>6.1315300000000002E-10</v>
      </c>
      <c r="H808" s="5">
        <v>76.522000000000006</v>
      </c>
      <c r="I808" s="5"/>
      <c r="J808" s="5">
        <v>1</v>
      </c>
      <c r="K808" s="5" t="s">
        <v>2</v>
      </c>
      <c r="L808" s="5" t="s">
        <v>3569</v>
      </c>
      <c r="M808" s="5" t="s">
        <v>3570</v>
      </c>
      <c r="N808" s="5" t="s">
        <v>3571</v>
      </c>
      <c r="O808" s="5">
        <v>12</v>
      </c>
      <c r="P808" s="6">
        <v>792890</v>
      </c>
      <c r="Q808" s="5">
        <v>474320</v>
      </c>
      <c r="R808" s="5">
        <v>318570</v>
      </c>
      <c r="S808" s="5">
        <v>0.80506</v>
      </c>
      <c r="T808" s="5">
        <f>LOG(Table2[[#This Row],[ratio heavy to light normalized]],2)</f>
        <v>-0.3128317856020808</v>
      </c>
      <c r="U808" s="5">
        <v>0.77746232217961198</v>
      </c>
    </row>
    <row r="809" spans="1:21" x14ac:dyDescent="0.3">
      <c r="A809" s="5" t="s">
        <v>2813</v>
      </c>
      <c r="B809" s="5" t="s">
        <v>2814</v>
      </c>
      <c r="C809" s="5">
        <v>213</v>
      </c>
      <c r="D809" s="5">
        <v>213</v>
      </c>
      <c r="E809" s="5">
        <v>1</v>
      </c>
      <c r="F809" s="6">
        <v>43.082900000000002</v>
      </c>
      <c r="G809" s="5">
        <v>3.7772000000000001E-3</v>
      </c>
      <c r="H809" s="5">
        <v>43.082999999999998</v>
      </c>
      <c r="I809" s="5" t="s">
        <v>11</v>
      </c>
      <c r="J809" s="5">
        <v>1</v>
      </c>
      <c r="K809" s="5" t="s">
        <v>2</v>
      </c>
      <c r="L809" s="5" t="s">
        <v>3553</v>
      </c>
      <c r="M809" s="5" t="s">
        <v>3554</v>
      </c>
      <c r="N809" s="5" t="s">
        <v>3555</v>
      </c>
      <c r="O809" s="5">
        <v>3</v>
      </c>
      <c r="P809" s="6">
        <v>687340</v>
      </c>
      <c r="Q809" s="5">
        <v>373470</v>
      </c>
      <c r="R809" s="5">
        <v>313870</v>
      </c>
      <c r="S809" s="5">
        <v>0.80425000000000002</v>
      </c>
      <c r="T809" s="5">
        <f>LOG(Table2[[#This Row],[ratio heavy to light normalized]],2)</f>
        <v>-0.3142840640093485</v>
      </c>
      <c r="U809" s="5">
        <v>0.774649313192046</v>
      </c>
    </row>
    <row r="810" spans="1:21" x14ac:dyDescent="0.3">
      <c r="A810" s="5" t="s">
        <v>841</v>
      </c>
      <c r="B810" s="5" t="s">
        <v>842</v>
      </c>
      <c r="C810" s="5">
        <v>104</v>
      </c>
      <c r="D810" s="5">
        <v>104</v>
      </c>
      <c r="E810" s="5">
        <v>1</v>
      </c>
      <c r="F810" s="6">
        <v>94.296599999999998</v>
      </c>
      <c r="G810" s="7">
        <v>1.91812E-11</v>
      </c>
      <c r="H810" s="5">
        <v>94.296999999999997</v>
      </c>
      <c r="I810" s="5"/>
      <c r="J810" s="5">
        <v>1</v>
      </c>
      <c r="K810" s="5" t="s">
        <v>2</v>
      </c>
      <c r="L810" s="5" t="s">
        <v>2158</v>
      </c>
      <c r="M810" s="5" t="s">
        <v>2159</v>
      </c>
      <c r="N810" s="5" t="s">
        <v>2160</v>
      </c>
      <c r="O810" s="5">
        <v>6</v>
      </c>
      <c r="P810" s="6">
        <v>4548800</v>
      </c>
      <c r="Q810" s="5">
        <v>2419400</v>
      </c>
      <c r="R810" s="5">
        <v>2129400</v>
      </c>
      <c r="S810" s="5">
        <v>0.79984999999999995</v>
      </c>
      <c r="T810" s="5">
        <f>LOG(Table2[[#This Row],[ratio heavy to light normalized]],2)</f>
        <v>-0.32219862557057333</v>
      </c>
      <c r="U810" s="5">
        <v>0.44688706511214099</v>
      </c>
    </row>
    <row r="811" spans="1:21" x14ac:dyDescent="0.3">
      <c r="A811" s="5" t="s">
        <v>3487</v>
      </c>
      <c r="B811" s="5" t="s">
        <v>3488</v>
      </c>
      <c r="C811" s="5">
        <v>68</v>
      </c>
      <c r="D811" s="5">
        <v>68</v>
      </c>
      <c r="E811" s="5">
        <v>1</v>
      </c>
      <c r="F811" s="6">
        <v>32.152099999999997</v>
      </c>
      <c r="G811" s="5">
        <v>1.00211E-2</v>
      </c>
      <c r="H811" s="5">
        <v>32.152000000000001</v>
      </c>
      <c r="I811" s="5"/>
      <c r="J811" s="5">
        <v>1</v>
      </c>
      <c r="K811" s="5" t="s">
        <v>2</v>
      </c>
      <c r="L811" s="5" t="s">
        <v>3489</v>
      </c>
      <c r="M811" s="5" t="s">
        <v>3490</v>
      </c>
      <c r="N811" s="5" t="s">
        <v>3491</v>
      </c>
      <c r="O811" s="5">
        <v>13</v>
      </c>
      <c r="P811" s="6">
        <v>934730</v>
      </c>
      <c r="Q811" s="5">
        <v>515850</v>
      </c>
      <c r="R811" s="5">
        <v>418880</v>
      </c>
      <c r="S811" s="5">
        <v>0.79893999999999998</v>
      </c>
      <c r="T811" s="5">
        <f>LOG(Table2[[#This Row],[ratio heavy to light normalized]],2)</f>
        <v>-0.32384093335206093</v>
      </c>
      <c r="U811" s="5">
        <v>0.75621332575220301</v>
      </c>
    </row>
    <row r="812" spans="1:21" x14ac:dyDescent="0.3">
      <c r="A812" s="5" t="s">
        <v>2879</v>
      </c>
      <c r="B812" s="5" t="s">
        <v>2880</v>
      </c>
      <c r="C812" s="5">
        <v>156</v>
      </c>
      <c r="D812" s="5">
        <v>156</v>
      </c>
      <c r="E812" s="5">
        <v>1</v>
      </c>
      <c r="F812" s="6">
        <v>146.35599999999999</v>
      </c>
      <c r="G812" s="7">
        <v>1.8765500000000001E-49</v>
      </c>
      <c r="H812" s="5">
        <v>146.36000000000001</v>
      </c>
      <c r="I812" s="5" t="s">
        <v>11</v>
      </c>
      <c r="J812" s="5">
        <v>1</v>
      </c>
      <c r="K812" s="5" t="s">
        <v>2</v>
      </c>
      <c r="L812" s="5" t="s">
        <v>2881</v>
      </c>
      <c r="M812" s="5" t="s">
        <v>2882</v>
      </c>
      <c r="N812" s="5" t="s">
        <v>2883</v>
      </c>
      <c r="O812" s="5">
        <v>7</v>
      </c>
      <c r="P812" s="6">
        <v>1947000</v>
      </c>
      <c r="Q812" s="5">
        <v>1088000</v>
      </c>
      <c r="R812" s="5">
        <v>858950</v>
      </c>
      <c r="S812" s="5">
        <v>0.79879</v>
      </c>
      <c r="T812" s="5">
        <f>LOG(Table2[[#This Row],[ratio heavy to light normalized]],2)</f>
        <v>-0.32411182299770708</v>
      </c>
      <c r="U812" s="5">
        <v>0.59947442380720495</v>
      </c>
    </row>
    <row r="813" spans="1:21" x14ac:dyDescent="0.3">
      <c r="A813" s="5" t="s">
        <v>2129</v>
      </c>
      <c r="B813" s="5" t="s">
        <v>2130</v>
      </c>
      <c r="C813" s="5">
        <v>141</v>
      </c>
      <c r="D813" s="5">
        <v>141</v>
      </c>
      <c r="E813" s="5">
        <v>1</v>
      </c>
      <c r="F813" s="6">
        <v>77.062399999999997</v>
      </c>
      <c r="G813" s="7">
        <v>1.2260100000000001E-8</v>
      </c>
      <c r="H813" s="5">
        <v>77.061999999999998</v>
      </c>
      <c r="I813" s="5" t="s">
        <v>11</v>
      </c>
      <c r="J813" s="5">
        <v>1</v>
      </c>
      <c r="K813" s="5" t="s">
        <v>2</v>
      </c>
      <c r="L813" s="5" t="s">
        <v>2131</v>
      </c>
      <c r="M813" s="5" t="s">
        <v>2132</v>
      </c>
      <c r="N813" s="5" t="s">
        <v>2133</v>
      </c>
      <c r="O813" s="5">
        <v>9</v>
      </c>
      <c r="P813" s="6">
        <v>2792800</v>
      </c>
      <c r="Q813" s="5">
        <v>1470500</v>
      </c>
      <c r="R813" s="5">
        <v>1322400</v>
      </c>
      <c r="S813" s="5">
        <v>0.79823999999999995</v>
      </c>
      <c r="T813" s="5">
        <f>LOG(Table2[[#This Row],[ratio heavy to light normalized]],2)</f>
        <v>-0.32510552042838664</v>
      </c>
      <c r="U813" s="5">
        <v>0.441032599999028</v>
      </c>
    </row>
    <row r="814" spans="1:21" x14ac:dyDescent="0.3">
      <c r="A814" s="5" t="s">
        <v>1082</v>
      </c>
      <c r="B814" s="5" t="s">
        <v>1083</v>
      </c>
      <c r="C814" s="5">
        <v>257</v>
      </c>
      <c r="D814" s="5">
        <v>257</v>
      </c>
      <c r="E814" s="5">
        <v>1</v>
      </c>
      <c r="F814" s="6">
        <v>47.2879</v>
      </c>
      <c r="G814" s="5">
        <v>1.7262400000000001E-2</v>
      </c>
      <c r="H814" s="5">
        <v>47.287999999999997</v>
      </c>
      <c r="I814" s="5"/>
      <c r="J814" s="5">
        <v>1</v>
      </c>
      <c r="K814" s="5" t="s">
        <v>2</v>
      </c>
      <c r="L814" s="5" t="s">
        <v>2122</v>
      </c>
      <c r="M814" s="5" t="s">
        <v>2123</v>
      </c>
      <c r="N814" s="5" t="s">
        <v>2124</v>
      </c>
      <c r="O814" s="5">
        <v>3</v>
      </c>
      <c r="P814" s="6">
        <v>4346600</v>
      </c>
      <c r="Q814" s="5">
        <v>2295700</v>
      </c>
      <c r="R814" s="5">
        <v>2050900</v>
      </c>
      <c r="S814" s="5">
        <v>0.79796</v>
      </c>
      <c r="T814" s="5">
        <f>LOG(Table2[[#This Row],[ratio heavy to light normalized]],2)</f>
        <v>-0.32561166579311812</v>
      </c>
      <c r="U814" s="5">
        <v>0.44001773817044698</v>
      </c>
    </row>
    <row r="815" spans="1:21" x14ac:dyDescent="0.3">
      <c r="A815" s="5" t="s">
        <v>628</v>
      </c>
      <c r="B815" s="5" t="s">
        <v>629</v>
      </c>
      <c r="C815" s="5">
        <v>158</v>
      </c>
      <c r="D815" s="5">
        <v>158</v>
      </c>
      <c r="E815" s="5">
        <v>1</v>
      </c>
      <c r="F815" s="6">
        <v>100.742</v>
      </c>
      <c r="G815" s="7">
        <v>1.43353E-15</v>
      </c>
      <c r="H815" s="5">
        <v>100.74</v>
      </c>
      <c r="I815" s="5" t="s">
        <v>11</v>
      </c>
      <c r="J815" s="5">
        <v>1</v>
      </c>
      <c r="K815" s="5" t="s">
        <v>2</v>
      </c>
      <c r="L815" s="5" t="s">
        <v>2868</v>
      </c>
      <c r="M815" s="5" t="s">
        <v>2869</v>
      </c>
      <c r="N815" s="5" t="s">
        <v>2870</v>
      </c>
      <c r="O815" s="5">
        <v>3</v>
      </c>
      <c r="P815" s="6">
        <v>1902200</v>
      </c>
      <c r="Q815" s="5">
        <v>910300</v>
      </c>
      <c r="R815" s="5">
        <v>991890</v>
      </c>
      <c r="S815" s="5">
        <v>0.79773000000000005</v>
      </c>
      <c r="T815" s="5">
        <f>LOG(Table2[[#This Row],[ratio heavy to light normalized]],2)</f>
        <v>-0.326027560937792</v>
      </c>
      <c r="U815" s="5">
        <v>0.59607495253423604</v>
      </c>
    </row>
    <row r="816" spans="1:21" x14ac:dyDescent="0.3">
      <c r="A816" s="5" t="s">
        <v>643</v>
      </c>
      <c r="B816" s="5" t="s">
        <v>644</v>
      </c>
      <c r="C816" s="5">
        <v>251</v>
      </c>
      <c r="D816" s="5">
        <v>251</v>
      </c>
      <c r="E816" s="5">
        <v>1</v>
      </c>
      <c r="F816" s="6">
        <v>86.377499999999998</v>
      </c>
      <c r="G816" s="7">
        <v>4.6488800000000001E-16</v>
      </c>
      <c r="H816" s="5">
        <v>86.378</v>
      </c>
      <c r="I816" s="5" t="s">
        <v>11</v>
      </c>
      <c r="J816" s="5">
        <v>1</v>
      </c>
      <c r="K816" s="5" t="s">
        <v>2</v>
      </c>
      <c r="L816" s="5" t="s">
        <v>2865</v>
      </c>
      <c r="M816" s="5" t="s">
        <v>2866</v>
      </c>
      <c r="N816" s="5" t="s">
        <v>2867</v>
      </c>
      <c r="O816" s="5">
        <v>6</v>
      </c>
      <c r="P816" s="6">
        <v>2076900</v>
      </c>
      <c r="Q816" s="5">
        <v>1021400</v>
      </c>
      <c r="R816" s="5">
        <v>1055600</v>
      </c>
      <c r="S816" s="5">
        <v>0.79747000000000001</v>
      </c>
      <c r="T816" s="5">
        <f>LOG(Table2[[#This Row],[ratio heavy to light normalized]],2)</f>
        <v>-0.32649784769049106</v>
      </c>
      <c r="U816" s="5">
        <v>0.59524177500536102</v>
      </c>
    </row>
    <row r="817" spans="1:21" x14ac:dyDescent="0.3">
      <c r="A817" s="5" t="s">
        <v>981</v>
      </c>
      <c r="B817" s="5" t="s">
        <v>982</v>
      </c>
      <c r="C817" s="5">
        <v>149</v>
      </c>
      <c r="D817" s="5">
        <v>149</v>
      </c>
      <c r="E817" s="5">
        <v>1</v>
      </c>
      <c r="F817" s="6">
        <v>22.917300000000001</v>
      </c>
      <c r="G817" s="5">
        <v>0.67792600000000003</v>
      </c>
      <c r="H817" s="5">
        <v>22.917000000000002</v>
      </c>
      <c r="I817" s="5"/>
      <c r="J817" s="5">
        <v>1</v>
      </c>
      <c r="K817" s="5" t="s">
        <v>2</v>
      </c>
      <c r="L817" s="5" t="s">
        <v>3319</v>
      </c>
      <c r="M817" s="5" t="s">
        <v>3320</v>
      </c>
      <c r="N817" s="5" t="s">
        <v>3321</v>
      </c>
      <c r="O817" s="5">
        <v>9</v>
      </c>
      <c r="P817" s="6">
        <v>255460</v>
      </c>
      <c r="Q817" s="5">
        <v>154800</v>
      </c>
      <c r="R817" s="5">
        <v>100660</v>
      </c>
      <c r="S817" s="5">
        <v>0.78373999999999999</v>
      </c>
      <c r="T817" s="5">
        <f>LOG(Table2[[#This Row],[ratio heavy to light normalized]],2)</f>
        <v>-0.35155296468234787</v>
      </c>
      <c r="U817" s="5">
        <v>0.70356741674087497</v>
      </c>
    </row>
    <row r="818" spans="1:21" x14ac:dyDescent="0.3">
      <c r="A818" s="5" t="s">
        <v>1311</v>
      </c>
      <c r="B818" s="5" t="s">
        <v>1312</v>
      </c>
      <c r="C818" s="5">
        <v>395</v>
      </c>
      <c r="D818" s="5">
        <v>395</v>
      </c>
      <c r="E818" s="5">
        <v>1</v>
      </c>
      <c r="F818" s="6">
        <v>74.162000000000006</v>
      </c>
      <c r="G818" s="7">
        <v>3.2491199999999998E-5</v>
      </c>
      <c r="H818" s="5">
        <v>74.162000000000006</v>
      </c>
      <c r="I818" s="5" t="s">
        <v>11</v>
      </c>
      <c r="J818" s="5">
        <v>1</v>
      </c>
      <c r="K818" s="5" t="s">
        <v>2</v>
      </c>
      <c r="L818" s="5" t="s">
        <v>2827</v>
      </c>
      <c r="M818" s="5" t="s">
        <v>2828</v>
      </c>
      <c r="N818" s="5" t="s">
        <v>2829</v>
      </c>
      <c r="O818" s="5">
        <v>5</v>
      </c>
      <c r="P818" s="6">
        <v>1548800</v>
      </c>
      <c r="Q818" s="5">
        <v>917790</v>
      </c>
      <c r="R818" s="5">
        <v>631050</v>
      </c>
      <c r="S818" s="5">
        <v>0.79512000000000005</v>
      </c>
      <c r="T818" s="5">
        <f>LOG(Table2[[#This Row],[ratio heavy to light normalized]],2)</f>
        <v>-0.33075548563464097</v>
      </c>
      <c r="U818" s="5">
        <v>0.58772309642757803</v>
      </c>
    </row>
    <row r="819" spans="1:21" x14ac:dyDescent="0.3">
      <c r="A819" s="5" t="s">
        <v>3423</v>
      </c>
      <c r="B819" s="5" t="s">
        <v>3424</v>
      </c>
      <c r="C819" s="5">
        <v>211</v>
      </c>
      <c r="D819" s="5">
        <v>211</v>
      </c>
      <c r="E819" s="5">
        <v>1</v>
      </c>
      <c r="F819" s="6">
        <v>69.601600000000005</v>
      </c>
      <c r="G819" s="7">
        <v>1.10134E-7</v>
      </c>
      <c r="H819" s="5">
        <v>69.602000000000004</v>
      </c>
      <c r="I819" s="5"/>
      <c r="J819" s="5">
        <v>1</v>
      </c>
      <c r="K819" s="5" t="s">
        <v>2</v>
      </c>
      <c r="L819" s="5" t="s">
        <v>3425</v>
      </c>
      <c r="M819" s="5" t="s">
        <v>3426</v>
      </c>
      <c r="N819" s="5" t="s">
        <v>3427</v>
      </c>
      <c r="O819" s="5">
        <v>3</v>
      </c>
      <c r="P819" s="6">
        <v>308310</v>
      </c>
      <c r="Q819" s="5">
        <v>162020</v>
      </c>
      <c r="R819" s="5">
        <v>146290</v>
      </c>
      <c r="S819" s="5">
        <v>0.79427999999999999</v>
      </c>
      <c r="T819" s="5">
        <f>LOG(Table2[[#This Row],[ratio heavy to light normalized]],2)</f>
        <v>-0.33228041824717008</v>
      </c>
      <c r="U819" s="5">
        <v>0.74004708472895198</v>
      </c>
    </row>
    <row r="820" spans="1:21" x14ac:dyDescent="0.3">
      <c r="A820" s="5" t="s">
        <v>1045</v>
      </c>
      <c r="B820" s="5" t="s">
        <v>1046</v>
      </c>
      <c r="C820" s="5">
        <v>590</v>
      </c>
      <c r="D820" s="5">
        <v>590</v>
      </c>
      <c r="E820" s="5">
        <v>1</v>
      </c>
      <c r="F820" s="6">
        <v>56.0107</v>
      </c>
      <c r="G820" s="5">
        <v>7.3369199999999996E-2</v>
      </c>
      <c r="H820" s="5">
        <v>56.011000000000003</v>
      </c>
      <c r="I820" s="5" t="s">
        <v>11</v>
      </c>
      <c r="J820" s="5">
        <v>1</v>
      </c>
      <c r="K820" s="5" t="s">
        <v>2</v>
      </c>
      <c r="L820" s="5" t="s">
        <v>3328</v>
      </c>
      <c r="M820" s="5" t="s">
        <v>3329</v>
      </c>
      <c r="N820" s="5" t="s">
        <v>3330</v>
      </c>
      <c r="O820" s="5">
        <v>4</v>
      </c>
      <c r="P820" s="6">
        <v>1834900</v>
      </c>
      <c r="Q820" s="5">
        <v>1153500</v>
      </c>
      <c r="R820" s="5">
        <v>681390</v>
      </c>
      <c r="S820" s="5">
        <v>0.83316999999999997</v>
      </c>
      <c r="T820" s="5">
        <f>LOG(Table2[[#This Row],[ratio heavy to light normalized]],2)</f>
        <v>-0.26331720177671597</v>
      </c>
      <c r="U820" s="5">
        <v>0.71156296144480802</v>
      </c>
    </row>
    <row r="821" spans="1:21" x14ac:dyDescent="0.3">
      <c r="A821" s="5" t="s">
        <v>3331</v>
      </c>
      <c r="B821" s="5" t="s">
        <v>3332</v>
      </c>
      <c r="C821" s="5">
        <v>20</v>
      </c>
      <c r="D821" s="5">
        <v>20</v>
      </c>
      <c r="E821" s="5">
        <v>1</v>
      </c>
      <c r="F821" s="6">
        <v>37.064599999999999</v>
      </c>
      <c r="G821" s="5">
        <v>5.3239399999999999E-2</v>
      </c>
      <c r="H821" s="5">
        <v>37.064999999999998</v>
      </c>
      <c r="I821" s="5" t="s">
        <v>11</v>
      </c>
      <c r="J821" s="5">
        <v>1</v>
      </c>
      <c r="K821" s="5" t="s">
        <v>2</v>
      </c>
      <c r="L821" s="5" t="s">
        <v>3333</v>
      </c>
      <c r="M821" s="5" t="s">
        <v>3334</v>
      </c>
      <c r="N821" s="5" t="s">
        <v>3335</v>
      </c>
      <c r="O821" s="5">
        <v>5</v>
      </c>
      <c r="P821" s="6">
        <v>415660</v>
      </c>
      <c r="Q821" s="5">
        <v>231790</v>
      </c>
      <c r="R821" s="5">
        <v>183870</v>
      </c>
      <c r="S821" s="5">
        <v>0.97506000000000004</v>
      </c>
      <c r="T821" s="5">
        <f>LOG(Table2[[#This Row],[ratio heavy to light normalized]],2)</f>
        <v>-3.643709752344667E-2</v>
      </c>
      <c r="U821" s="5">
        <v>0.71169851662461103</v>
      </c>
    </row>
    <row r="822" spans="1:21" x14ac:dyDescent="0.3">
      <c r="A822" s="5" t="s">
        <v>2003</v>
      </c>
      <c r="B822" s="5" t="s">
        <v>2004</v>
      </c>
      <c r="C822" s="5">
        <v>143</v>
      </c>
      <c r="D822" s="5">
        <v>143</v>
      </c>
      <c r="E822" s="5">
        <v>1</v>
      </c>
      <c r="F822" s="6">
        <v>98.132400000000004</v>
      </c>
      <c r="G822" s="7">
        <v>3.7985200000000001E-73</v>
      </c>
      <c r="H822" s="5">
        <v>147.53</v>
      </c>
      <c r="I822" s="5" t="s">
        <v>11</v>
      </c>
      <c r="J822" s="5">
        <v>1</v>
      </c>
      <c r="K822" s="5" t="s">
        <v>2</v>
      </c>
      <c r="L822" s="5" t="s">
        <v>2078</v>
      </c>
      <c r="M822" s="5" t="s">
        <v>2079</v>
      </c>
      <c r="N822" s="5" t="s">
        <v>2080</v>
      </c>
      <c r="O822" s="5">
        <v>11</v>
      </c>
      <c r="P822" s="6">
        <v>14692000</v>
      </c>
      <c r="Q822" s="5">
        <v>6986800</v>
      </c>
      <c r="R822" s="5">
        <v>7705000</v>
      </c>
      <c r="S822" s="5">
        <v>0.79351000000000005</v>
      </c>
      <c r="T822" s="5">
        <f>LOG(Table2[[#This Row],[ratio heavy to light normalized]],2)</f>
        <v>-0.33367969052948526</v>
      </c>
      <c r="U822" s="5">
        <v>0.424022562266196</v>
      </c>
    </row>
    <row r="823" spans="1:21" x14ac:dyDescent="0.3">
      <c r="A823" s="5" t="s">
        <v>735</v>
      </c>
      <c r="B823" s="5" t="s">
        <v>736</v>
      </c>
      <c r="C823" s="5">
        <v>218</v>
      </c>
      <c r="D823" s="5">
        <v>218</v>
      </c>
      <c r="E823" s="5">
        <v>1</v>
      </c>
      <c r="F823" s="6">
        <v>81.919700000000006</v>
      </c>
      <c r="G823" s="7">
        <v>1.46363E-10</v>
      </c>
      <c r="H823" s="5">
        <v>81.92</v>
      </c>
      <c r="I823" s="5" t="s">
        <v>11</v>
      </c>
      <c r="J823" s="5">
        <v>1</v>
      </c>
      <c r="K823" s="5" t="s">
        <v>2</v>
      </c>
      <c r="L823" s="5" t="s">
        <v>2777</v>
      </c>
      <c r="M823" s="5" t="s">
        <v>2778</v>
      </c>
      <c r="N823" s="5" t="s">
        <v>2779</v>
      </c>
      <c r="O823" s="5">
        <v>6</v>
      </c>
      <c r="P823" s="6">
        <v>1261400</v>
      </c>
      <c r="Q823" s="5">
        <v>819210</v>
      </c>
      <c r="R823" s="5">
        <v>442140</v>
      </c>
      <c r="S823" s="5">
        <v>0.79168000000000005</v>
      </c>
      <c r="T823" s="5">
        <f>LOG(Table2[[#This Row],[ratio heavy to light normalized]],2)</f>
        <v>-0.33701068946044194</v>
      </c>
      <c r="U823" s="5">
        <v>0.57675726372824199</v>
      </c>
    </row>
    <row r="824" spans="1:21" x14ac:dyDescent="0.3">
      <c r="A824" s="5" t="s">
        <v>564</v>
      </c>
      <c r="B824" s="5" t="s">
        <v>565</v>
      </c>
      <c r="C824" s="5">
        <v>503</v>
      </c>
      <c r="D824" s="5">
        <v>503</v>
      </c>
      <c r="E824" s="5">
        <v>1</v>
      </c>
      <c r="F824" s="6">
        <v>89.142300000000006</v>
      </c>
      <c r="G824" s="7">
        <v>1.0796999999999999E-11</v>
      </c>
      <c r="H824" s="5">
        <v>89.141999999999996</v>
      </c>
      <c r="I824" s="5" t="s">
        <v>11</v>
      </c>
      <c r="J824" s="5">
        <v>1</v>
      </c>
      <c r="K824" s="5" t="s">
        <v>2</v>
      </c>
      <c r="L824" s="5" t="s">
        <v>2765</v>
      </c>
      <c r="M824" s="5" t="s">
        <v>2766</v>
      </c>
      <c r="N824" s="5" t="s">
        <v>2767</v>
      </c>
      <c r="O824" s="5">
        <v>2</v>
      </c>
      <c r="P824" s="6">
        <v>1554800</v>
      </c>
      <c r="Q824" s="5">
        <v>871480</v>
      </c>
      <c r="R824" s="5">
        <v>683340</v>
      </c>
      <c r="S824" s="5">
        <v>0.79108000000000001</v>
      </c>
      <c r="T824" s="5">
        <f>LOG(Table2[[#This Row],[ratio heavy to light normalized]],2)</f>
        <v>-0.33810449656448549</v>
      </c>
      <c r="U824" s="5">
        <v>0.57484969229849203</v>
      </c>
    </row>
    <row r="825" spans="1:21" x14ac:dyDescent="0.3">
      <c r="A825" s="5" t="s">
        <v>1775</v>
      </c>
      <c r="B825" s="5" t="s">
        <v>1776</v>
      </c>
      <c r="C825" s="5">
        <v>368</v>
      </c>
      <c r="D825" s="5">
        <v>368</v>
      </c>
      <c r="E825" s="5">
        <v>1</v>
      </c>
      <c r="F825" s="6">
        <v>82.416700000000006</v>
      </c>
      <c r="G825" s="7">
        <v>7.9729600000000005E-8</v>
      </c>
      <c r="H825" s="5">
        <v>82.417000000000002</v>
      </c>
      <c r="I825" s="5" t="s">
        <v>11</v>
      </c>
      <c r="J825" s="5">
        <v>1</v>
      </c>
      <c r="K825" s="5" t="s">
        <v>2</v>
      </c>
      <c r="L825" s="5" t="s">
        <v>2008</v>
      </c>
      <c r="M825" s="5" t="s">
        <v>2009</v>
      </c>
      <c r="N825" s="5" t="s">
        <v>2010</v>
      </c>
      <c r="O825" s="5">
        <v>9</v>
      </c>
      <c r="P825" s="6">
        <v>4777700</v>
      </c>
      <c r="Q825" s="5">
        <v>2680000</v>
      </c>
      <c r="R825" s="5">
        <v>2097700</v>
      </c>
      <c r="S825" s="5">
        <v>0.7893</v>
      </c>
      <c r="T825" s="5">
        <f>LOG(Table2[[#This Row],[ratio heavy to light normalized]],2)</f>
        <v>-0.34135434566240397</v>
      </c>
      <c r="U825" s="5">
        <v>0.40912763426353499</v>
      </c>
    </row>
    <row r="826" spans="1:21" x14ac:dyDescent="0.3">
      <c r="A826" s="5" t="s">
        <v>3374</v>
      </c>
      <c r="B826" s="5" t="s">
        <v>3375</v>
      </c>
      <c r="C826" s="5">
        <v>214</v>
      </c>
      <c r="D826" s="5">
        <v>214</v>
      </c>
      <c r="E826" s="5">
        <v>1</v>
      </c>
      <c r="F826" s="6">
        <v>73.066699999999997</v>
      </c>
      <c r="G826" s="7">
        <v>5.2526199999999999E-5</v>
      </c>
      <c r="H826" s="5">
        <v>73.066999999999993</v>
      </c>
      <c r="I826" s="5" t="s">
        <v>11</v>
      </c>
      <c r="J826" s="5">
        <v>1</v>
      </c>
      <c r="K826" s="5" t="s">
        <v>2</v>
      </c>
      <c r="L826" s="5" t="s">
        <v>3376</v>
      </c>
      <c r="M826" s="5" t="s">
        <v>3377</v>
      </c>
      <c r="N826" s="5" t="s">
        <v>3378</v>
      </c>
      <c r="O826" s="5">
        <v>3</v>
      </c>
      <c r="P826" s="6">
        <v>781560</v>
      </c>
      <c r="Q826" s="5">
        <v>338630</v>
      </c>
      <c r="R826" s="5">
        <v>442930</v>
      </c>
      <c r="S826" s="5">
        <v>0.78922999999999999</v>
      </c>
      <c r="T826" s="5">
        <f>LOG(Table2[[#This Row],[ratio heavy to light normalized]],2)</f>
        <v>-0.34148229844496553</v>
      </c>
      <c r="U826" s="5">
        <v>0.72255059931559895</v>
      </c>
    </row>
    <row r="827" spans="1:21" x14ac:dyDescent="0.3">
      <c r="A827" s="5" t="s">
        <v>412</v>
      </c>
      <c r="B827" s="5" t="s">
        <v>413</v>
      </c>
      <c r="C827" s="5">
        <v>71</v>
      </c>
      <c r="D827" s="5">
        <v>71</v>
      </c>
      <c r="E827" s="5">
        <v>1</v>
      </c>
      <c r="F827" s="6">
        <v>27.329000000000001</v>
      </c>
      <c r="G827" s="5">
        <v>0.80995099999999998</v>
      </c>
      <c r="H827" s="5">
        <v>27.329000000000001</v>
      </c>
      <c r="I827" s="5"/>
      <c r="J827" s="5">
        <v>1</v>
      </c>
      <c r="K827" s="5" t="s">
        <v>2</v>
      </c>
      <c r="L827" s="5" t="s">
        <v>3353</v>
      </c>
      <c r="M827" s="5" t="s">
        <v>3354</v>
      </c>
      <c r="N827" s="5" t="s">
        <v>3355</v>
      </c>
      <c r="O827" s="5">
        <v>8</v>
      </c>
      <c r="P827" s="6">
        <v>616190</v>
      </c>
      <c r="Q827" s="5">
        <v>327920</v>
      </c>
      <c r="R827" s="5">
        <v>288270</v>
      </c>
      <c r="S827" s="5">
        <v>0.97328999999999999</v>
      </c>
      <c r="T827" s="5">
        <f>LOG(Table2[[#This Row],[ratio heavy to light normalized]],2)</f>
        <v>-3.9058362619412222E-2</v>
      </c>
      <c r="U827" s="5">
        <v>0.716089511896561</v>
      </c>
    </row>
    <row r="828" spans="1:21" x14ac:dyDescent="0.3">
      <c r="A828" s="5" t="s">
        <v>2003</v>
      </c>
      <c r="B828" s="5" t="s">
        <v>2004</v>
      </c>
      <c r="C828" s="5">
        <v>15</v>
      </c>
      <c r="D828" s="5">
        <v>15</v>
      </c>
      <c r="E828" s="5">
        <v>1</v>
      </c>
      <c r="F828" s="6">
        <v>63.9176</v>
      </c>
      <c r="G828" s="7">
        <v>6.7631900000000006E-23</v>
      </c>
      <c r="H828" s="5">
        <v>92.438999999999993</v>
      </c>
      <c r="I828" s="5"/>
      <c r="J828" s="5">
        <v>1</v>
      </c>
      <c r="K828" s="5" t="s">
        <v>2</v>
      </c>
      <c r="L828" s="5" t="s">
        <v>2005</v>
      </c>
      <c r="M828" s="5" t="s">
        <v>2006</v>
      </c>
      <c r="N828" s="5" t="s">
        <v>2007</v>
      </c>
      <c r="O828" s="5">
        <v>12</v>
      </c>
      <c r="P828" s="6">
        <v>13223000</v>
      </c>
      <c r="Q828" s="5">
        <v>6985300</v>
      </c>
      <c r="R828" s="5">
        <v>6238200</v>
      </c>
      <c r="S828" s="5">
        <v>0.78910000000000002</v>
      </c>
      <c r="T828" s="5">
        <f>LOG(Table2[[#This Row],[ratio heavy to light normalized]],2)</f>
        <v>-0.34171995515267511</v>
      </c>
      <c r="U828" s="5">
        <v>0.40842591810916801</v>
      </c>
    </row>
    <row r="829" spans="1:21" x14ac:dyDescent="0.3">
      <c r="A829" s="5" t="s">
        <v>1993</v>
      </c>
      <c r="B829" s="5" t="s">
        <v>1994</v>
      </c>
      <c r="C829" s="5">
        <v>224</v>
      </c>
      <c r="D829" s="5">
        <v>224</v>
      </c>
      <c r="E829" s="5">
        <v>1</v>
      </c>
      <c r="F829" s="6">
        <v>45.972200000000001</v>
      </c>
      <c r="G829" s="5">
        <v>1.4072799999999999E-3</v>
      </c>
      <c r="H829" s="5">
        <v>45.972000000000001</v>
      </c>
      <c r="I829" s="5"/>
      <c r="J829" s="5">
        <v>1</v>
      </c>
      <c r="K829" s="5" t="s">
        <v>2</v>
      </c>
      <c r="L829" s="5" t="s">
        <v>1995</v>
      </c>
      <c r="M829" s="5" t="s">
        <v>1996</v>
      </c>
      <c r="N829" s="5" t="s">
        <v>1997</v>
      </c>
      <c r="O829" s="5">
        <v>2</v>
      </c>
      <c r="P829" s="6">
        <v>28450000</v>
      </c>
      <c r="Q829" s="5">
        <v>15000000</v>
      </c>
      <c r="R829" s="5">
        <v>13450000</v>
      </c>
      <c r="S829" s="5">
        <v>0.78857999999999995</v>
      </c>
      <c r="T829" s="5">
        <f>LOG(Table2[[#This Row],[ratio heavy to light normalized]],2)</f>
        <v>-0.34267097367154886</v>
      </c>
      <c r="U829" s="5">
        <v>0.406603983584373</v>
      </c>
    </row>
    <row r="830" spans="1:21" x14ac:dyDescent="0.3">
      <c r="A830" s="5" t="s">
        <v>2713</v>
      </c>
      <c r="B830" s="5" t="s">
        <v>2714</v>
      </c>
      <c r="C830" s="5">
        <v>371</v>
      </c>
      <c r="D830" s="5">
        <v>371</v>
      </c>
      <c r="E830" s="5">
        <v>1</v>
      </c>
      <c r="F830" s="6">
        <v>131.55600000000001</v>
      </c>
      <c r="G830" s="7">
        <v>2.53259E-53</v>
      </c>
      <c r="H830" s="5">
        <v>131.56</v>
      </c>
      <c r="I830" s="5" t="s">
        <v>11</v>
      </c>
      <c r="J830" s="5">
        <v>1</v>
      </c>
      <c r="K830" s="5" t="s">
        <v>2</v>
      </c>
      <c r="L830" s="5" t="s">
        <v>2715</v>
      </c>
      <c r="M830" s="5" t="s">
        <v>2716</v>
      </c>
      <c r="N830" s="5" t="s">
        <v>2717</v>
      </c>
      <c r="O830" s="5">
        <v>9</v>
      </c>
      <c r="P830" s="6">
        <v>1989600</v>
      </c>
      <c r="Q830" s="5">
        <v>945320</v>
      </c>
      <c r="R830" s="5">
        <v>1044300</v>
      </c>
      <c r="S830" s="5">
        <v>0.78842999999999996</v>
      </c>
      <c r="T830" s="5">
        <f>LOG(Table2[[#This Row],[ratio heavy to light normalized]],2)</f>
        <v>-0.34294542247883092</v>
      </c>
      <c r="U830" s="5">
        <v>0.56644327211618895</v>
      </c>
    </row>
    <row r="831" spans="1:21" x14ac:dyDescent="0.3">
      <c r="A831" s="5" t="s">
        <v>1983</v>
      </c>
      <c r="B831" s="5" t="s">
        <v>1984</v>
      </c>
      <c r="C831" s="5">
        <v>63</v>
      </c>
      <c r="D831" s="5">
        <v>63</v>
      </c>
      <c r="E831" s="5">
        <v>1</v>
      </c>
      <c r="F831" s="6">
        <v>116.816</v>
      </c>
      <c r="G831" s="7">
        <v>3.7936899999999998E-37</v>
      </c>
      <c r="H831" s="5">
        <v>116.82</v>
      </c>
      <c r="I831" s="5" t="s">
        <v>11</v>
      </c>
      <c r="J831" s="5">
        <v>1</v>
      </c>
      <c r="K831" s="5" t="s">
        <v>2</v>
      </c>
      <c r="L831" s="5" t="s">
        <v>1985</v>
      </c>
      <c r="M831" s="5" t="s">
        <v>1986</v>
      </c>
      <c r="N831" s="5" t="s">
        <v>1987</v>
      </c>
      <c r="O831" s="5">
        <v>15</v>
      </c>
      <c r="P831" s="6">
        <v>9195400</v>
      </c>
      <c r="Q831" s="5">
        <v>5434200</v>
      </c>
      <c r="R831" s="5">
        <v>3761300</v>
      </c>
      <c r="S831" s="5">
        <v>0.78837000000000002</v>
      </c>
      <c r="T831" s="5">
        <f>LOG(Table2[[#This Row],[ratio heavy to light normalized]],2)</f>
        <v>-0.34305521662202604</v>
      </c>
      <c r="U831" s="5">
        <v>0.405869239578315</v>
      </c>
    </row>
    <row r="832" spans="1:21" x14ac:dyDescent="0.3">
      <c r="A832" s="5" t="s">
        <v>854</v>
      </c>
      <c r="B832" s="5" t="s">
        <v>855</v>
      </c>
      <c r="C832" s="5">
        <v>215</v>
      </c>
      <c r="D832" s="5">
        <v>215</v>
      </c>
      <c r="E832" s="5">
        <v>1</v>
      </c>
      <c r="F832" s="6">
        <v>47.574300000000001</v>
      </c>
      <c r="G832" s="5">
        <v>2.3683699999999999E-3</v>
      </c>
      <c r="H832" s="5">
        <v>47.573999999999998</v>
      </c>
      <c r="I832" s="5" t="s">
        <v>11</v>
      </c>
      <c r="J832" s="5">
        <v>1</v>
      </c>
      <c r="K832" s="5" t="s">
        <v>2</v>
      </c>
      <c r="L832" s="5" t="s">
        <v>3365</v>
      </c>
      <c r="M832" s="5" t="s">
        <v>3366</v>
      </c>
      <c r="N832" s="5" t="s">
        <v>3367</v>
      </c>
      <c r="O832" s="5">
        <v>4</v>
      </c>
      <c r="P832" s="6">
        <v>594590</v>
      </c>
      <c r="Q832" s="5">
        <v>329680</v>
      </c>
      <c r="R832" s="5">
        <v>264920</v>
      </c>
      <c r="S832" s="5">
        <v>0.78795999999999999</v>
      </c>
      <c r="T832" s="5">
        <f>LOG(Table2[[#This Row],[ratio heavy to light normalized]],2)</f>
        <v>-0.34380570031529223</v>
      </c>
      <c r="U832" s="5">
        <v>0.71815530501519498</v>
      </c>
    </row>
    <row r="833" spans="1:21" x14ac:dyDescent="0.3">
      <c r="A833" s="5" t="s">
        <v>960</v>
      </c>
      <c r="B833" s="5" t="s">
        <v>961</v>
      </c>
      <c r="C833" s="5">
        <v>506</v>
      </c>
      <c r="D833" s="5">
        <v>506</v>
      </c>
      <c r="E833" s="5">
        <v>1</v>
      </c>
      <c r="F833" s="6">
        <v>46.964100000000002</v>
      </c>
      <c r="G833" s="5">
        <v>4.4402899999999997E-4</v>
      </c>
      <c r="H833" s="5">
        <v>46.963999999999999</v>
      </c>
      <c r="I833" s="5" t="s">
        <v>11</v>
      </c>
      <c r="J833" s="5">
        <v>1</v>
      </c>
      <c r="K833" s="5" t="s">
        <v>2</v>
      </c>
      <c r="L833" s="5" t="s">
        <v>3359</v>
      </c>
      <c r="M833" s="5" t="s">
        <v>3360</v>
      </c>
      <c r="N833" s="5" t="s">
        <v>3361</v>
      </c>
      <c r="O833" s="5">
        <v>11</v>
      </c>
      <c r="P833" s="6">
        <v>621820</v>
      </c>
      <c r="Q833" s="5">
        <v>273220</v>
      </c>
      <c r="R833" s="5">
        <v>348600</v>
      </c>
      <c r="S833" s="5">
        <v>0.78778000000000004</v>
      </c>
      <c r="T833" s="5">
        <f>LOG(Table2[[#This Row],[ratio heavy to light normalized]],2)</f>
        <v>-0.34413530432165046</v>
      </c>
      <c r="U833" s="5">
        <v>0.71753252758282804</v>
      </c>
    </row>
    <row r="834" spans="1:21" x14ac:dyDescent="0.3">
      <c r="A834" s="5" t="s">
        <v>1178</v>
      </c>
      <c r="B834" s="5" t="s">
        <v>1179</v>
      </c>
      <c r="C834" s="5">
        <v>281</v>
      </c>
      <c r="D834" s="5">
        <v>281</v>
      </c>
      <c r="E834" s="5">
        <v>1</v>
      </c>
      <c r="F834" s="6">
        <v>54.4863</v>
      </c>
      <c r="G834" s="5">
        <v>3.3138E-3</v>
      </c>
      <c r="H834" s="5">
        <v>54.485999999999997</v>
      </c>
      <c r="I834" s="5" t="s">
        <v>11</v>
      </c>
      <c r="J834" s="5">
        <v>1</v>
      </c>
      <c r="K834" s="5" t="s">
        <v>2</v>
      </c>
      <c r="L834" s="5" t="s">
        <v>1949</v>
      </c>
      <c r="M834" s="5" t="s">
        <v>1950</v>
      </c>
      <c r="N834" s="5" t="s">
        <v>1951</v>
      </c>
      <c r="O834" s="5">
        <v>4</v>
      </c>
      <c r="P834" s="6">
        <v>30361000</v>
      </c>
      <c r="Q834" s="5">
        <v>16800000</v>
      </c>
      <c r="R834" s="5">
        <v>13561000</v>
      </c>
      <c r="S834" s="5">
        <v>0.78647999999999996</v>
      </c>
      <c r="T834" s="5">
        <f>LOG(Table2[[#This Row],[ratio heavy to light normalized]],2)</f>
        <v>-0.34651801617289585</v>
      </c>
      <c r="U834" s="5">
        <v>0.39928356883204702</v>
      </c>
    </row>
    <row r="835" spans="1:21" x14ac:dyDescent="0.3">
      <c r="A835" s="5" t="s">
        <v>2680</v>
      </c>
      <c r="B835" s="5" t="s">
        <v>2681</v>
      </c>
      <c r="C835" s="5">
        <v>138</v>
      </c>
      <c r="D835" s="5">
        <v>138</v>
      </c>
      <c r="E835" s="5">
        <v>1</v>
      </c>
      <c r="F835" s="6">
        <v>95.098699999999994</v>
      </c>
      <c r="G835" s="7">
        <v>1.4382199999999999E-10</v>
      </c>
      <c r="H835" s="5">
        <v>95.099000000000004</v>
      </c>
      <c r="I835" s="5" t="s">
        <v>11</v>
      </c>
      <c r="J835" s="5">
        <v>1</v>
      </c>
      <c r="K835" s="5" t="s">
        <v>2</v>
      </c>
      <c r="L835" s="5" t="s">
        <v>2682</v>
      </c>
      <c r="M835" s="5" t="s">
        <v>2683</v>
      </c>
      <c r="N835" s="5" t="s">
        <v>2684</v>
      </c>
      <c r="O835" s="5">
        <v>4</v>
      </c>
      <c r="P835" s="6">
        <v>1366300</v>
      </c>
      <c r="Q835" s="5">
        <v>801590</v>
      </c>
      <c r="R835" s="5">
        <v>564710</v>
      </c>
      <c r="S835" s="5">
        <v>0.78632000000000002</v>
      </c>
      <c r="T835" s="5">
        <f>LOG(Table2[[#This Row],[ratio heavy to light normalized]],2)</f>
        <v>-0.34681154517510643</v>
      </c>
      <c r="U835" s="5">
        <v>0.55977226633358101</v>
      </c>
    </row>
    <row r="836" spans="1:21" x14ac:dyDescent="0.3">
      <c r="A836" s="5" t="s">
        <v>623</v>
      </c>
      <c r="B836" s="5" t="s">
        <v>624</v>
      </c>
      <c r="C836" s="5">
        <v>117</v>
      </c>
      <c r="D836" s="5">
        <v>117</v>
      </c>
      <c r="E836" s="5">
        <v>1</v>
      </c>
      <c r="F836" s="6">
        <v>54.607799999999997</v>
      </c>
      <c r="G836" s="5">
        <v>5.5473800000000002E-3</v>
      </c>
      <c r="H836" s="5">
        <v>54.607999999999997</v>
      </c>
      <c r="I836" s="5" t="s">
        <v>11</v>
      </c>
      <c r="J836" s="5">
        <v>1</v>
      </c>
      <c r="K836" s="5" t="s">
        <v>2</v>
      </c>
      <c r="L836" s="5" t="s">
        <v>3325</v>
      </c>
      <c r="M836" s="5" t="s">
        <v>3326</v>
      </c>
      <c r="N836" s="5" t="s">
        <v>3327</v>
      </c>
      <c r="O836" s="5">
        <v>4</v>
      </c>
      <c r="P836" s="6">
        <v>654220</v>
      </c>
      <c r="Q836" s="5">
        <v>379080</v>
      </c>
      <c r="R836" s="5">
        <v>275130</v>
      </c>
      <c r="S836" s="5">
        <v>0.78602000000000005</v>
      </c>
      <c r="T836" s="5">
        <f>LOG(Table2[[#This Row],[ratio heavy to light normalized]],2)</f>
        <v>-0.34736207307304023</v>
      </c>
      <c r="U836" s="5">
        <v>0.71144561012788099</v>
      </c>
    </row>
    <row r="837" spans="1:21" x14ac:dyDescent="0.3">
      <c r="A837" s="5" t="s">
        <v>2670</v>
      </c>
      <c r="B837" s="5" t="s">
        <v>2671</v>
      </c>
      <c r="C837" s="5">
        <v>136</v>
      </c>
      <c r="D837" s="5">
        <v>136</v>
      </c>
      <c r="E837" s="5">
        <v>1</v>
      </c>
      <c r="F837" s="6">
        <v>21.533799999999999</v>
      </c>
      <c r="G837" s="7">
        <v>1.9852E-10</v>
      </c>
      <c r="H837" s="5">
        <v>65.373999999999995</v>
      </c>
      <c r="I837" s="5"/>
      <c r="J837" s="5">
        <v>1</v>
      </c>
      <c r="K837" s="5" t="s">
        <v>2</v>
      </c>
      <c r="L837" s="5" t="s">
        <v>2672</v>
      </c>
      <c r="M837" s="5" t="s">
        <v>2673</v>
      </c>
      <c r="N837" s="5" t="s">
        <v>2674</v>
      </c>
      <c r="O837" s="5">
        <v>11</v>
      </c>
      <c r="P837" s="6">
        <v>2306000</v>
      </c>
      <c r="Q837" s="5">
        <v>1313500</v>
      </c>
      <c r="R837" s="5">
        <v>992460</v>
      </c>
      <c r="S837" s="5">
        <v>0.78552999999999995</v>
      </c>
      <c r="T837" s="5">
        <f>LOG(Table2[[#This Row],[ratio heavy to light normalized]],2)</f>
        <v>-0.34826172067310851</v>
      </c>
      <c r="U837" s="5">
        <v>0.55727984795447205</v>
      </c>
    </row>
    <row r="838" spans="1:21" x14ac:dyDescent="0.3">
      <c r="A838" s="5" t="s">
        <v>2659</v>
      </c>
      <c r="B838" s="5" t="s">
        <v>2660</v>
      </c>
      <c r="C838" s="5">
        <v>134</v>
      </c>
      <c r="D838" s="5">
        <v>134</v>
      </c>
      <c r="E838" s="5">
        <v>1</v>
      </c>
      <c r="F838" s="6">
        <v>50.353400000000001</v>
      </c>
      <c r="G838" s="5">
        <v>1.6724900000000001E-2</v>
      </c>
      <c r="H838" s="5">
        <v>50.353000000000002</v>
      </c>
      <c r="I838" s="5" t="s">
        <v>11</v>
      </c>
      <c r="J838" s="5">
        <v>1</v>
      </c>
      <c r="K838" s="5" t="s">
        <v>2</v>
      </c>
      <c r="L838" s="5" t="s">
        <v>2661</v>
      </c>
      <c r="M838" s="5" t="s">
        <v>2662</v>
      </c>
      <c r="N838" s="5" t="s">
        <v>2663</v>
      </c>
      <c r="O838" s="5">
        <v>8</v>
      </c>
      <c r="P838" s="6">
        <v>1447700</v>
      </c>
      <c r="Q838" s="5">
        <v>777490</v>
      </c>
      <c r="R838" s="5">
        <v>670230</v>
      </c>
      <c r="S838" s="5">
        <v>0.78500999999999999</v>
      </c>
      <c r="T838" s="5">
        <f>LOG(Table2[[#This Row],[ratio heavy to light normalized]],2)</f>
        <v>-0.34921706271938019</v>
      </c>
      <c r="U838" s="5">
        <v>0.55564085841870903</v>
      </c>
    </row>
    <row r="839" spans="1:21" x14ac:dyDescent="0.3">
      <c r="A839" s="5" t="s">
        <v>564</v>
      </c>
      <c r="B839" s="5" t="s">
        <v>565</v>
      </c>
      <c r="C839" s="5">
        <v>776</v>
      </c>
      <c r="D839" s="5">
        <v>776</v>
      </c>
      <c r="E839" s="5">
        <v>1</v>
      </c>
      <c r="F839" s="6">
        <v>53.166400000000003</v>
      </c>
      <c r="G839" s="5">
        <v>9.0256099999999997E-4</v>
      </c>
      <c r="H839" s="5">
        <v>53.165999999999997</v>
      </c>
      <c r="I839" s="5" t="s">
        <v>11</v>
      </c>
      <c r="J839" s="5">
        <v>1</v>
      </c>
      <c r="K839" s="5" t="s">
        <v>2</v>
      </c>
      <c r="L839" s="5" t="s">
        <v>2627</v>
      </c>
      <c r="M839" s="5" t="s">
        <v>2628</v>
      </c>
      <c r="N839" s="5" t="s">
        <v>2629</v>
      </c>
      <c r="O839" s="5">
        <v>6</v>
      </c>
      <c r="P839" s="6">
        <v>1513000</v>
      </c>
      <c r="Q839" s="5">
        <v>762800</v>
      </c>
      <c r="R839" s="5">
        <v>750170</v>
      </c>
      <c r="S839" s="5">
        <v>0.78413999999999995</v>
      </c>
      <c r="T839" s="5">
        <f>LOG(Table2[[#This Row],[ratio heavy to light normalized]],2)</f>
        <v>-0.35081683943184955</v>
      </c>
      <c r="U839" s="5">
        <v>0.55290155497335702</v>
      </c>
    </row>
    <row r="840" spans="1:21" x14ac:dyDescent="0.3">
      <c r="A840" s="5" t="s">
        <v>2616</v>
      </c>
      <c r="B840" s="5" t="s">
        <v>2617</v>
      </c>
      <c r="C840" s="5">
        <v>32</v>
      </c>
      <c r="D840" s="5">
        <v>32</v>
      </c>
      <c r="E840" s="5">
        <v>1</v>
      </c>
      <c r="F840" s="6">
        <v>104.19799999999999</v>
      </c>
      <c r="G840" s="7">
        <v>1.35195E-14</v>
      </c>
      <c r="H840" s="5">
        <v>104.2</v>
      </c>
      <c r="I840" s="5" t="s">
        <v>11</v>
      </c>
      <c r="J840" s="5">
        <v>1</v>
      </c>
      <c r="K840" s="5" t="s">
        <v>2</v>
      </c>
      <c r="L840" s="5" t="s">
        <v>2618</v>
      </c>
      <c r="M840" s="5" t="s">
        <v>2619</v>
      </c>
      <c r="N840" s="5" t="s">
        <v>2620</v>
      </c>
      <c r="O840" s="5">
        <v>5</v>
      </c>
      <c r="P840" s="6">
        <v>2255000</v>
      </c>
      <c r="Q840" s="5">
        <v>1378700</v>
      </c>
      <c r="R840" s="5">
        <v>876260</v>
      </c>
      <c r="S840" s="5">
        <v>0.78402000000000005</v>
      </c>
      <c r="T840" s="5">
        <f>LOG(Table2[[#This Row],[ratio heavy to light normalized]],2)</f>
        <v>-0.35103763757138184</v>
      </c>
      <c r="U840" s="5">
        <v>0.55252400225142395</v>
      </c>
    </row>
    <row r="841" spans="1:21" x14ac:dyDescent="0.3">
      <c r="A841" s="5" t="s">
        <v>710</v>
      </c>
      <c r="B841" s="5" t="s">
        <v>711</v>
      </c>
      <c r="C841" s="5">
        <v>596</v>
      </c>
      <c r="D841" s="5">
        <v>596</v>
      </c>
      <c r="E841" s="5">
        <v>1</v>
      </c>
      <c r="F841" s="6">
        <v>17.0395</v>
      </c>
      <c r="G841" s="7">
        <v>4.6633599999999999E-6</v>
      </c>
      <c r="H841" s="5">
        <v>46.158999999999999</v>
      </c>
      <c r="I841" s="5" t="s">
        <v>11</v>
      </c>
      <c r="J841" s="5">
        <v>1</v>
      </c>
      <c r="K841" s="5" t="s">
        <v>2</v>
      </c>
      <c r="L841" s="5" t="s">
        <v>1897</v>
      </c>
      <c r="M841" s="5" t="s">
        <v>1898</v>
      </c>
      <c r="N841" s="5" t="s">
        <v>1899</v>
      </c>
      <c r="O841" s="5">
        <v>12</v>
      </c>
      <c r="P841" s="6">
        <v>2773400</v>
      </c>
      <c r="Q841" s="5">
        <v>1662700</v>
      </c>
      <c r="R841" s="5">
        <v>1110700</v>
      </c>
      <c r="S841" s="5">
        <v>0.78300999999999998</v>
      </c>
      <c r="T841" s="5">
        <f>LOG(Table2[[#This Row],[ratio heavy to light normalized]],2)</f>
        <v>-0.35289736226468171</v>
      </c>
      <c r="U841" s="5">
        <v>0.38732073357535901</v>
      </c>
    </row>
    <row r="842" spans="1:21" x14ac:dyDescent="0.3">
      <c r="A842" s="5" t="s">
        <v>200</v>
      </c>
      <c r="B842" s="5" t="s">
        <v>201</v>
      </c>
      <c r="C842" s="5">
        <v>16</v>
      </c>
      <c r="D842" s="5">
        <v>16</v>
      </c>
      <c r="E842" s="5">
        <v>1</v>
      </c>
      <c r="F842" s="6">
        <v>77.123699999999999</v>
      </c>
      <c r="G842" s="7">
        <v>1.13948E-32</v>
      </c>
      <c r="H842" s="5">
        <v>126.12</v>
      </c>
      <c r="I842" s="5" t="s">
        <v>11</v>
      </c>
      <c r="J842" s="5">
        <v>1</v>
      </c>
      <c r="K842" s="5" t="s">
        <v>2</v>
      </c>
      <c r="L842" s="5" t="s">
        <v>1886</v>
      </c>
      <c r="M842" s="5" t="s">
        <v>1887</v>
      </c>
      <c r="N842" s="5" t="s">
        <v>1888</v>
      </c>
      <c r="O842" s="5">
        <v>6</v>
      </c>
      <c r="P842" s="6">
        <v>340210000</v>
      </c>
      <c r="Q842" s="5">
        <v>183390000</v>
      </c>
      <c r="R842" s="5">
        <v>156820000</v>
      </c>
      <c r="S842" s="5">
        <v>0.78210999999999997</v>
      </c>
      <c r="T842" s="5">
        <f>LOG(Table2[[#This Row],[ratio heavy to light normalized]],2)</f>
        <v>-0.35455656498385374</v>
      </c>
      <c r="U842" s="5">
        <v>0.38424550563114601</v>
      </c>
    </row>
    <row r="843" spans="1:21" x14ac:dyDescent="0.3">
      <c r="A843" s="5" t="s">
        <v>1868</v>
      </c>
      <c r="B843" s="5" t="s">
        <v>1869</v>
      </c>
      <c r="C843" s="5">
        <v>628</v>
      </c>
      <c r="D843" s="5">
        <v>628</v>
      </c>
      <c r="E843" s="5">
        <v>1</v>
      </c>
      <c r="F843" s="6">
        <v>41.400799999999997</v>
      </c>
      <c r="G843" s="5">
        <v>2.0241200000000001E-2</v>
      </c>
      <c r="H843" s="5">
        <v>41.401000000000003</v>
      </c>
      <c r="I843" s="5" t="s">
        <v>11</v>
      </c>
      <c r="J843" s="5">
        <v>1</v>
      </c>
      <c r="K843" s="5" t="s">
        <v>2</v>
      </c>
      <c r="L843" s="5" t="s">
        <v>1870</v>
      </c>
      <c r="M843" s="5" t="s">
        <v>1871</v>
      </c>
      <c r="N843" s="5" t="s">
        <v>1872</v>
      </c>
      <c r="O843" s="5">
        <v>12</v>
      </c>
      <c r="P843" s="6">
        <v>6307300</v>
      </c>
      <c r="Q843" s="5">
        <v>3325000</v>
      </c>
      <c r="R843" s="5">
        <v>2982300</v>
      </c>
      <c r="S843" s="5">
        <v>0.78117000000000003</v>
      </c>
      <c r="T843" s="5">
        <f>LOG(Table2[[#This Row],[ratio heavy to light normalized]],2)</f>
        <v>-0.35629154976185562</v>
      </c>
      <c r="U843" s="5">
        <v>0.38104584817910397</v>
      </c>
    </row>
    <row r="844" spans="1:21" x14ac:dyDescent="0.3">
      <c r="A844" s="5" t="s">
        <v>381</v>
      </c>
      <c r="B844" s="5" t="s">
        <v>382</v>
      </c>
      <c r="C844" s="5">
        <v>725</v>
      </c>
      <c r="D844" s="5">
        <v>725</v>
      </c>
      <c r="E844" s="5">
        <v>1</v>
      </c>
      <c r="F844" s="6">
        <v>60.972900000000003</v>
      </c>
      <c r="G844" s="5">
        <v>2.7371900000000001E-4</v>
      </c>
      <c r="H844" s="5">
        <v>60.972999999999999</v>
      </c>
      <c r="I844" s="5" t="s">
        <v>11</v>
      </c>
      <c r="J844" s="5">
        <v>1</v>
      </c>
      <c r="K844" s="5" t="s">
        <v>2</v>
      </c>
      <c r="L844" s="5" t="s">
        <v>3260</v>
      </c>
      <c r="M844" s="5" t="s">
        <v>3261</v>
      </c>
      <c r="N844" s="5" t="s">
        <v>3262</v>
      </c>
      <c r="O844" s="5">
        <v>4</v>
      </c>
      <c r="P844" s="6">
        <v>753690</v>
      </c>
      <c r="Q844" s="5">
        <v>388340</v>
      </c>
      <c r="R844" s="5">
        <v>365350</v>
      </c>
      <c r="S844" s="5">
        <v>0.78012999999999999</v>
      </c>
      <c r="T844" s="5">
        <f>LOG(Table2[[#This Row],[ratio heavy to light normalized]],2)</f>
        <v>-0.3582135417741999</v>
      </c>
      <c r="U844" s="5">
        <v>0.69111213271545102</v>
      </c>
    </row>
    <row r="845" spans="1:21" x14ac:dyDescent="0.3">
      <c r="A845" s="5" t="s">
        <v>1993</v>
      </c>
      <c r="B845" s="5" t="s">
        <v>1994</v>
      </c>
      <c r="C845" s="5">
        <v>308</v>
      </c>
      <c r="D845" s="5">
        <v>308</v>
      </c>
      <c r="E845" s="5">
        <v>1</v>
      </c>
      <c r="F845" s="6">
        <v>62.202599999999997</v>
      </c>
      <c r="G845" s="7">
        <v>4.4545100000000002E-9</v>
      </c>
      <c r="H845" s="5">
        <v>62.203000000000003</v>
      </c>
      <c r="I845" s="5"/>
      <c r="J845" s="5">
        <v>1</v>
      </c>
      <c r="K845" s="5" t="s">
        <v>2</v>
      </c>
      <c r="L845" s="5" t="s">
        <v>2553</v>
      </c>
      <c r="M845" s="5" t="s">
        <v>2554</v>
      </c>
      <c r="N845" s="5" t="s">
        <v>2555</v>
      </c>
      <c r="O845" s="5">
        <v>19</v>
      </c>
      <c r="P845" s="6">
        <v>1412500</v>
      </c>
      <c r="Q845" s="5">
        <v>888740</v>
      </c>
      <c r="R845" s="5">
        <v>523730</v>
      </c>
      <c r="S845" s="5">
        <v>0.77951999999999999</v>
      </c>
      <c r="T845" s="5">
        <f>LOG(Table2[[#This Row],[ratio heavy to light normalized]],2)</f>
        <v>-0.35934205653047935</v>
      </c>
      <c r="U845" s="5">
        <v>0.53841646751372296</v>
      </c>
    </row>
    <row r="846" spans="1:21" x14ac:dyDescent="0.3">
      <c r="A846" s="5" t="s">
        <v>2545</v>
      </c>
      <c r="B846" s="5" t="s">
        <v>2546</v>
      </c>
      <c r="C846" s="5">
        <v>275</v>
      </c>
      <c r="D846" s="5">
        <v>275</v>
      </c>
      <c r="E846" s="5">
        <v>1</v>
      </c>
      <c r="F846" s="6">
        <v>77.740300000000005</v>
      </c>
      <c r="G846" s="7">
        <v>2.6527000000000001E-10</v>
      </c>
      <c r="H846" s="5">
        <v>77.739999999999995</v>
      </c>
      <c r="I846" s="5" t="s">
        <v>11</v>
      </c>
      <c r="J846" s="5">
        <v>1</v>
      </c>
      <c r="K846" s="5" t="s">
        <v>2</v>
      </c>
      <c r="L846" s="5" t="s">
        <v>2547</v>
      </c>
      <c r="M846" s="5" t="s">
        <v>2548</v>
      </c>
      <c r="N846" s="5" t="s">
        <v>2549</v>
      </c>
      <c r="O846" s="5">
        <v>4</v>
      </c>
      <c r="P846" s="6">
        <v>1431900</v>
      </c>
      <c r="Q846" s="5">
        <v>790210</v>
      </c>
      <c r="R846" s="5">
        <v>641680</v>
      </c>
      <c r="S846" s="5">
        <v>0.77915999999999996</v>
      </c>
      <c r="T846" s="5">
        <f>LOG(Table2[[#This Row],[ratio heavy to light normalized]],2)</f>
        <v>-0.36000847968847877</v>
      </c>
      <c r="U846" s="5">
        <v>0.53729222998151305</v>
      </c>
    </row>
    <row r="847" spans="1:21" x14ac:dyDescent="0.3">
      <c r="A847" s="5" t="s">
        <v>564</v>
      </c>
      <c r="B847" s="5" t="s">
        <v>565</v>
      </c>
      <c r="C847" s="5">
        <v>423</v>
      </c>
      <c r="D847" s="5">
        <v>423</v>
      </c>
      <c r="E847" s="5">
        <v>1</v>
      </c>
      <c r="F847" s="6">
        <v>65.841700000000003</v>
      </c>
      <c r="G847" s="7">
        <v>8.8004800000000001E-6</v>
      </c>
      <c r="H847" s="5">
        <v>65.841999999999999</v>
      </c>
      <c r="I847" s="5" t="s">
        <v>11</v>
      </c>
      <c r="J847" s="5">
        <v>1</v>
      </c>
      <c r="K847" s="5" t="s">
        <v>2</v>
      </c>
      <c r="L847" s="5" t="s">
        <v>1816</v>
      </c>
      <c r="M847" s="5" t="s">
        <v>1817</v>
      </c>
      <c r="N847" s="5" t="s">
        <v>1818</v>
      </c>
      <c r="O847" s="5">
        <v>6</v>
      </c>
      <c r="P847" s="6">
        <v>6737300</v>
      </c>
      <c r="Q847" s="5">
        <v>3860400</v>
      </c>
      <c r="R847" s="5">
        <v>2876800</v>
      </c>
      <c r="S847" s="5">
        <v>0.77832999999999997</v>
      </c>
      <c r="T847" s="5">
        <f>LOG(Table2[[#This Row],[ratio heavy to light normalized]],2)</f>
        <v>-0.36154612936493497</v>
      </c>
      <c r="U847" s="5">
        <v>0.37145557695640102</v>
      </c>
    </row>
    <row r="848" spans="1:21" x14ac:dyDescent="0.3">
      <c r="A848" s="5" t="s">
        <v>2529</v>
      </c>
      <c r="B848" s="5" t="s">
        <v>2530</v>
      </c>
      <c r="C848" s="5">
        <v>20</v>
      </c>
      <c r="D848" s="5">
        <v>20</v>
      </c>
      <c r="E848" s="5">
        <v>1</v>
      </c>
      <c r="F848" s="6">
        <v>102.366</v>
      </c>
      <c r="G848" s="7">
        <v>2.50813E-29</v>
      </c>
      <c r="H848" s="5">
        <v>102.37</v>
      </c>
      <c r="I848" s="5" t="s">
        <v>11</v>
      </c>
      <c r="J848" s="5">
        <v>1</v>
      </c>
      <c r="K848" s="5" t="s">
        <v>2</v>
      </c>
      <c r="L848" s="5" t="s">
        <v>2531</v>
      </c>
      <c r="M848" s="5" t="s">
        <v>2532</v>
      </c>
      <c r="N848" s="5" t="s">
        <v>2533</v>
      </c>
      <c r="O848" s="5">
        <v>18</v>
      </c>
      <c r="P848" s="6">
        <v>2685600</v>
      </c>
      <c r="Q848" s="5">
        <v>1766800</v>
      </c>
      <c r="R848" s="5">
        <v>918730</v>
      </c>
      <c r="S848" s="5">
        <v>0.77761999999999998</v>
      </c>
      <c r="T848" s="5">
        <f>LOG(Table2[[#This Row],[ratio heavy to light normalized]],2)</f>
        <v>-0.3628627700669188</v>
      </c>
      <c r="U848" s="5">
        <v>0.53249050485376703</v>
      </c>
    </row>
    <row r="849" spans="1:21" x14ac:dyDescent="0.3">
      <c r="A849" s="5" t="s">
        <v>2516</v>
      </c>
      <c r="B849" s="5" t="s">
        <v>2517</v>
      </c>
      <c r="C849" s="5">
        <v>270</v>
      </c>
      <c r="D849" s="5">
        <v>270</v>
      </c>
      <c r="E849" s="5">
        <v>1</v>
      </c>
      <c r="F849" s="6">
        <v>113.706</v>
      </c>
      <c r="G849" s="7">
        <v>1.10433E-19</v>
      </c>
      <c r="H849" s="5">
        <v>113.71</v>
      </c>
      <c r="I849" s="5" t="s">
        <v>11</v>
      </c>
      <c r="J849" s="5">
        <v>1</v>
      </c>
      <c r="K849" s="5" t="s">
        <v>2</v>
      </c>
      <c r="L849" s="5" t="s">
        <v>2518</v>
      </c>
      <c r="M849" s="5" t="s">
        <v>2519</v>
      </c>
      <c r="N849" s="5" t="s">
        <v>2520</v>
      </c>
      <c r="O849" s="5">
        <v>7</v>
      </c>
      <c r="P849" s="6">
        <v>2579300</v>
      </c>
      <c r="Q849" s="5">
        <v>1443200</v>
      </c>
      <c r="R849" s="5">
        <v>1136100</v>
      </c>
      <c r="S849" s="5">
        <v>0.77671999999999997</v>
      </c>
      <c r="T849" s="5">
        <f>LOG(Table2[[#This Row],[ratio heavy to light normalized]],2)</f>
        <v>-0.36453348005560499</v>
      </c>
      <c r="U849" s="5">
        <v>0.52969001035955499</v>
      </c>
    </row>
    <row r="850" spans="1:21" x14ac:dyDescent="0.3">
      <c r="A850" s="5" t="s">
        <v>590</v>
      </c>
      <c r="B850" s="5" t="s">
        <v>591</v>
      </c>
      <c r="C850" s="5">
        <v>97</v>
      </c>
      <c r="D850" s="5">
        <v>97</v>
      </c>
      <c r="E850" s="5">
        <v>1</v>
      </c>
      <c r="F850" s="6">
        <v>75.854299999999995</v>
      </c>
      <c r="G850" s="7">
        <v>1.65521E-10</v>
      </c>
      <c r="H850" s="5">
        <v>91.317999999999998</v>
      </c>
      <c r="I850" s="5" t="s">
        <v>11</v>
      </c>
      <c r="J850" s="5">
        <v>1</v>
      </c>
      <c r="K850" s="5" t="s">
        <v>2</v>
      </c>
      <c r="L850" s="5" t="s">
        <v>1797</v>
      </c>
      <c r="M850" s="5" t="s">
        <v>1798</v>
      </c>
      <c r="N850" s="5" t="s">
        <v>1799</v>
      </c>
      <c r="O850" s="5">
        <v>4</v>
      </c>
      <c r="P850" s="6">
        <v>4239700</v>
      </c>
      <c r="Q850" s="5">
        <v>2478200</v>
      </c>
      <c r="R850" s="5">
        <v>1761500</v>
      </c>
      <c r="S850" s="5">
        <v>0.77641000000000004</v>
      </c>
      <c r="T850" s="5">
        <f>LOG(Table2[[#This Row],[ratio heavy to light normalized]],2)</f>
        <v>-0.36510939510278656</v>
      </c>
      <c r="U850" s="5">
        <v>0.36503815293777903</v>
      </c>
    </row>
    <row r="851" spans="1:21" x14ac:dyDescent="0.3">
      <c r="A851" s="5" t="s">
        <v>1126</v>
      </c>
      <c r="B851" s="5" t="s">
        <v>1127</v>
      </c>
      <c r="C851" s="5">
        <v>5</v>
      </c>
      <c r="D851" s="5">
        <v>5</v>
      </c>
      <c r="E851" s="5">
        <v>1</v>
      </c>
      <c r="F851" s="6">
        <v>55.676099999999998</v>
      </c>
      <c r="G851" s="7">
        <v>1.64129E-5</v>
      </c>
      <c r="H851" s="5">
        <v>55.676000000000002</v>
      </c>
      <c r="I851" s="5" t="s">
        <v>11</v>
      </c>
      <c r="J851" s="5">
        <v>1</v>
      </c>
      <c r="K851" s="5" t="s">
        <v>2</v>
      </c>
      <c r="L851" s="5" t="s">
        <v>2505</v>
      </c>
      <c r="M851" s="5" t="s">
        <v>2506</v>
      </c>
      <c r="N851" s="5" t="s">
        <v>2507</v>
      </c>
      <c r="O851" s="5">
        <v>2</v>
      </c>
      <c r="P851" s="6">
        <v>1084600</v>
      </c>
      <c r="Q851" s="5">
        <v>642730</v>
      </c>
      <c r="R851" s="5">
        <v>441860</v>
      </c>
      <c r="S851" s="5">
        <v>0.77627999999999997</v>
      </c>
      <c r="T851" s="5">
        <f>LOG(Table2[[#This Row],[ratio heavy to light normalized]],2)</f>
        <v>-0.36535097630154995</v>
      </c>
      <c r="U851" s="5">
        <v>0.52832243162587</v>
      </c>
    </row>
    <row r="852" spans="1:21" x14ac:dyDescent="0.3">
      <c r="A852" s="5" t="s">
        <v>2485</v>
      </c>
      <c r="B852" s="5" t="s">
        <v>2486</v>
      </c>
      <c r="C852" s="5">
        <v>210</v>
      </c>
      <c r="D852" s="5">
        <v>210</v>
      </c>
      <c r="E852" s="5">
        <v>1</v>
      </c>
      <c r="F852" s="6">
        <v>58.981099999999998</v>
      </c>
      <c r="G852" s="7">
        <v>9.5305600000000004E-6</v>
      </c>
      <c r="H852" s="5">
        <v>58.981000000000002</v>
      </c>
      <c r="I852" s="5" t="s">
        <v>11</v>
      </c>
      <c r="J852" s="5">
        <v>1</v>
      </c>
      <c r="K852" s="5" t="s">
        <v>2</v>
      </c>
      <c r="L852" s="5" t="s">
        <v>2487</v>
      </c>
      <c r="M852" s="5" t="s">
        <v>2488</v>
      </c>
      <c r="N852" s="5" t="s">
        <v>2489</v>
      </c>
      <c r="O852" s="5">
        <v>3</v>
      </c>
      <c r="P852" s="6">
        <v>1116000</v>
      </c>
      <c r="Q852" s="5">
        <v>676140</v>
      </c>
      <c r="R852" s="5">
        <v>439880</v>
      </c>
      <c r="S852" s="5">
        <v>0.77602000000000004</v>
      </c>
      <c r="T852" s="5">
        <f>LOG(Table2[[#This Row],[ratio heavy to light normalized]],2)</f>
        <v>-0.36583426009223313</v>
      </c>
      <c r="U852" s="5">
        <v>0.52751479926518996</v>
      </c>
    </row>
    <row r="853" spans="1:21" x14ac:dyDescent="0.3">
      <c r="A853" s="5" t="s">
        <v>407</v>
      </c>
      <c r="B853" s="5" t="s">
        <v>408</v>
      </c>
      <c r="C853" s="5">
        <v>1045</v>
      </c>
      <c r="D853" s="5">
        <v>1045</v>
      </c>
      <c r="E853" s="5">
        <v>0.99746999999999997</v>
      </c>
      <c r="F853" s="6">
        <v>25.957999999999998</v>
      </c>
      <c r="G853" s="5">
        <v>3.6046699999999999E-3</v>
      </c>
      <c r="H853" s="5">
        <v>59.426000000000002</v>
      </c>
      <c r="I853" s="5" t="s">
        <v>11</v>
      </c>
      <c r="J853" s="5">
        <v>1</v>
      </c>
      <c r="K853" s="5" t="s">
        <v>2</v>
      </c>
      <c r="L853" s="5" t="s">
        <v>1783</v>
      </c>
      <c r="M853" s="5" t="s">
        <v>1784</v>
      </c>
      <c r="N853" s="5" t="s">
        <v>1785</v>
      </c>
      <c r="O853" s="5">
        <v>6</v>
      </c>
      <c r="P853" s="6">
        <v>4427000</v>
      </c>
      <c r="Q853" s="5">
        <v>1744200</v>
      </c>
      <c r="R853" s="5">
        <v>2682900</v>
      </c>
      <c r="S853" s="5">
        <v>0.77598</v>
      </c>
      <c r="T853" s="5">
        <f>LOG(Table2[[#This Row],[ratio heavy to light normalized]],2)</f>
        <v>-0.36590862581600681</v>
      </c>
      <c r="U853" s="5">
        <v>0.36360830681587902</v>
      </c>
    </row>
    <row r="854" spans="1:21" x14ac:dyDescent="0.3">
      <c r="A854" s="5" t="s">
        <v>2452</v>
      </c>
      <c r="B854" s="5" t="s">
        <v>2453</v>
      </c>
      <c r="C854" s="5">
        <v>164</v>
      </c>
      <c r="D854" s="5">
        <v>164</v>
      </c>
      <c r="E854" s="5">
        <v>1</v>
      </c>
      <c r="F854" s="6">
        <v>122.28100000000001</v>
      </c>
      <c r="G854" s="7">
        <v>1.9614800000000001E-26</v>
      </c>
      <c r="H854" s="5">
        <v>122.28</v>
      </c>
      <c r="I854" s="5" t="s">
        <v>11</v>
      </c>
      <c r="J854" s="5">
        <v>1</v>
      </c>
      <c r="K854" s="5" t="s">
        <v>2</v>
      </c>
      <c r="L854" s="5" t="s">
        <v>2454</v>
      </c>
      <c r="M854" s="5" t="s">
        <v>2455</v>
      </c>
      <c r="N854" s="5" t="s">
        <v>2456</v>
      </c>
      <c r="O854" s="5">
        <v>8</v>
      </c>
      <c r="P854" s="6">
        <v>2018100</v>
      </c>
      <c r="Q854" s="5">
        <v>1153400</v>
      </c>
      <c r="R854" s="5">
        <v>864790</v>
      </c>
      <c r="S854" s="5">
        <v>0.77476</v>
      </c>
      <c r="T854" s="5">
        <f>LOG(Table2[[#This Row],[ratio heavy to light normalized]],2)</f>
        <v>-0.36817862376925303</v>
      </c>
      <c r="U854" s="5">
        <v>0.52360600681019298</v>
      </c>
    </row>
    <row r="855" spans="1:21" x14ac:dyDescent="0.3">
      <c r="A855" s="5" t="s">
        <v>2439</v>
      </c>
      <c r="B855" s="5" t="s">
        <v>2440</v>
      </c>
      <c r="C855" s="5">
        <v>177</v>
      </c>
      <c r="D855" s="5">
        <v>177</v>
      </c>
      <c r="E855" s="5">
        <v>1</v>
      </c>
      <c r="F855" s="6">
        <v>113.926</v>
      </c>
      <c r="G855" s="7">
        <v>3.5364400000000001E-21</v>
      </c>
      <c r="H855" s="5">
        <v>113.93</v>
      </c>
      <c r="I855" s="5" t="s">
        <v>11</v>
      </c>
      <c r="J855" s="5">
        <v>1</v>
      </c>
      <c r="K855" s="5" t="s">
        <v>2</v>
      </c>
      <c r="L855" s="5" t="s">
        <v>2441</v>
      </c>
      <c r="M855" s="5" t="s">
        <v>2442</v>
      </c>
      <c r="N855" s="5" t="s">
        <v>2443</v>
      </c>
      <c r="O855" s="5">
        <v>6</v>
      </c>
      <c r="P855" s="6">
        <v>1804600</v>
      </c>
      <c r="Q855" s="5">
        <v>900280</v>
      </c>
      <c r="R855" s="5">
        <v>904300</v>
      </c>
      <c r="S855" s="5">
        <v>0.77373999999999998</v>
      </c>
      <c r="T855" s="5">
        <f>LOG(Table2[[#This Row],[ratio heavy to light normalized]],2)</f>
        <v>-0.37007923617420768</v>
      </c>
      <c r="U855" s="5">
        <v>0.52044802796884304</v>
      </c>
    </row>
    <row r="856" spans="1:21" x14ac:dyDescent="0.3">
      <c r="A856" s="5" t="s">
        <v>1535</v>
      </c>
      <c r="B856" s="5" t="s">
        <v>1536</v>
      </c>
      <c r="C856" s="5">
        <v>207</v>
      </c>
      <c r="D856" s="5">
        <v>207</v>
      </c>
      <c r="E856" s="5">
        <v>1</v>
      </c>
      <c r="F856" s="6">
        <v>45.220599999999997</v>
      </c>
      <c r="G856" s="7">
        <v>5.2166299999999997E-6</v>
      </c>
      <c r="H856" s="5">
        <v>45.220999999999997</v>
      </c>
      <c r="I856" s="5"/>
      <c r="J856" s="5">
        <v>1</v>
      </c>
      <c r="K856" s="5" t="s">
        <v>2</v>
      </c>
      <c r="L856" s="5" t="s">
        <v>2436</v>
      </c>
      <c r="M856" s="5" t="s">
        <v>2437</v>
      </c>
      <c r="N856" s="5" t="s">
        <v>2438</v>
      </c>
      <c r="O856" s="5">
        <v>13</v>
      </c>
      <c r="P856" s="6">
        <v>1614700</v>
      </c>
      <c r="Q856" s="5">
        <v>867930</v>
      </c>
      <c r="R856" s="5">
        <v>746770</v>
      </c>
      <c r="S856" s="5">
        <v>0.77320999999999995</v>
      </c>
      <c r="T856" s="5">
        <f>LOG(Table2[[#This Row],[ratio heavy to light normalized]],2)</f>
        <v>-0.37106779870252327</v>
      </c>
      <c r="U856" s="5">
        <v>0.51880936241492204</v>
      </c>
    </row>
    <row r="857" spans="1:21" x14ac:dyDescent="0.3">
      <c r="A857" s="5" t="s">
        <v>2019</v>
      </c>
      <c r="B857" s="5" t="s">
        <v>2020</v>
      </c>
      <c r="C857" s="5">
        <v>293</v>
      </c>
      <c r="D857" s="5">
        <v>293</v>
      </c>
      <c r="E857" s="5">
        <v>1</v>
      </c>
      <c r="F857" s="6">
        <v>46.796199999999999</v>
      </c>
      <c r="G857" s="5">
        <v>1.8266500000000001E-2</v>
      </c>
      <c r="H857" s="5">
        <v>46.795999999999999</v>
      </c>
      <c r="I857" s="5" t="s">
        <v>11</v>
      </c>
      <c r="J857" s="5">
        <v>1</v>
      </c>
      <c r="K857" s="5" t="s">
        <v>2</v>
      </c>
      <c r="L857" s="5" t="s">
        <v>3139</v>
      </c>
      <c r="M857" s="5" t="s">
        <v>3140</v>
      </c>
      <c r="N857" s="5" t="s">
        <v>3141</v>
      </c>
      <c r="O857" s="5">
        <v>9</v>
      </c>
      <c r="P857" s="6">
        <v>885740</v>
      </c>
      <c r="Q857" s="5">
        <v>516000</v>
      </c>
      <c r="R857" s="5">
        <v>369750</v>
      </c>
      <c r="S857" s="5">
        <v>0.77242</v>
      </c>
      <c r="T857" s="5">
        <f>LOG(Table2[[#This Row],[ratio heavy to light normalized]],2)</f>
        <v>-0.37254257491875953</v>
      </c>
      <c r="U857" s="5">
        <v>0.66460214741345602</v>
      </c>
    </row>
    <row r="858" spans="1:21" x14ac:dyDescent="0.3">
      <c r="A858" s="5" t="s">
        <v>3134</v>
      </c>
      <c r="B858" s="5" t="s">
        <v>3135</v>
      </c>
      <c r="C858" s="5">
        <v>98</v>
      </c>
      <c r="D858" s="5">
        <v>98</v>
      </c>
      <c r="E858" s="5">
        <v>1</v>
      </c>
      <c r="F858" s="6">
        <v>96.6404</v>
      </c>
      <c r="G858" s="7">
        <v>2.2608100000000001E-15</v>
      </c>
      <c r="H858" s="5">
        <v>96.64</v>
      </c>
      <c r="I858" s="5" t="s">
        <v>11</v>
      </c>
      <c r="J858" s="5">
        <v>1</v>
      </c>
      <c r="K858" s="5" t="s">
        <v>2</v>
      </c>
      <c r="L858" s="5" t="s">
        <v>3136</v>
      </c>
      <c r="M858" s="5" t="s">
        <v>3137</v>
      </c>
      <c r="N858" s="5" t="s">
        <v>3138</v>
      </c>
      <c r="O858" s="5">
        <v>10</v>
      </c>
      <c r="P858" s="6">
        <v>579200</v>
      </c>
      <c r="Q858" s="5">
        <v>269240</v>
      </c>
      <c r="R858" s="5">
        <v>309960</v>
      </c>
      <c r="S858" s="5">
        <v>0.77207999999999999</v>
      </c>
      <c r="T858" s="5">
        <f>LOG(Table2[[#This Row],[ratio heavy to light normalized]],2)</f>
        <v>-0.37317775306291712</v>
      </c>
      <c r="U858" s="5">
        <v>0.66343636511270399</v>
      </c>
    </row>
    <row r="859" spans="1:21" x14ac:dyDescent="0.3">
      <c r="A859" s="5" t="s">
        <v>1201</v>
      </c>
      <c r="B859" s="5" t="s">
        <v>1202</v>
      </c>
      <c r="C859" s="5">
        <v>422</v>
      </c>
      <c r="D859" s="5">
        <v>422</v>
      </c>
      <c r="E859" s="5">
        <v>1</v>
      </c>
      <c r="F859" s="6">
        <v>136.113</v>
      </c>
      <c r="G859" s="7">
        <v>5.5690500000000001E-33</v>
      </c>
      <c r="H859" s="5">
        <v>136.11000000000001</v>
      </c>
      <c r="I859" s="5" t="s">
        <v>11</v>
      </c>
      <c r="J859" s="5">
        <v>1</v>
      </c>
      <c r="K859" s="5" t="s">
        <v>2</v>
      </c>
      <c r="L859" s="5" t="s">
        <v>2400</v>
      </c>
      <c r="M859" s="5" t="s">
        <v>2401</v>
      </c>
      <c r="N859" s="5" t="s">
        <v>2402</v>
      </c>
      <c r="O859" s="5">
        <v>4</v>
      </c>
      <c r="P859" s="6">
        <v>2520900</v>
      </c>
      <c r="Q859" s="5">
        <v>1877000</v>
      </c>
      <c r="R859" s="5">
        <v>643890</v>
      </c>
      <c r="S859" s="5">
        <v>0.76949000000000001</v>
      </c>
      <c r="T859" s="5">
        <f>LOG(Table2[[#This Row],[ratio heavy to light normalized]],2)</f>
        <v>-0.37802551692926611</v>
      </c>
      <c r="U859" s="5">
        <v>0.50735192934940698</v>
      </c>
    </row>
    <row r="860" spans="1:21" x14ac:dyDescent="0.3">
      <c r="A860" s="5" t="s">
        <v>1719</v>
      </c>
      <c r="B860" s="5" t="s">
        <v>1720</v>
      </c>
      <c r="C860" s="5">
        <v>203</v>
      </c>
      <c r="D860" s="5">
        <v>203</v>
      </c>
      <c r="E860" s="5">
        <v>1</v>
      </c>
      <c r="F860" s="6">
        <v>70.912499999999994</v>
      </c>
      <c r="G860" s="7">
        <v>4.0611500000000001E-7</v>
      </c>
      <c r="H860" s="5">
        <v>70.912000000000006</v>
      </c>
      <c r="I860" s="5"/>
      <c r="J860" s="5">
        <v>1</v>
      </c>
      <c r="K860" s="5" t="s">
        <v>2</v>
      </c>
      <c r="L860" s="5" t="s">
        <v>1721</v>
      </c>
      <c r="M860" s="5" t="s">
        <v>1722</v>
      </c>
      <c r="N860" s="5" t="s">
        <v>1723</v>
      </c>
      <c r="O860" s="5">
        <v>4</v>
      </c>
      <c r="P860" s="6">
        <v>4801700</v>
      </c>
      <c r="Q860" s="5">
        <v>3378300</v>
      </c>
      <c r="R860" s="5">
        <v>1423300</v>
      </c>
      <c r="S860" s="5">
        <v>0.76910000000000001</v>
      </c>
      <c r="T860" s="5">
        <f>LOG(Table2[[#This Row],[ratio heavy to light normalized]],2)</f>
        <v>-0.3787569022599872</v>
      </c>
      <c r="U860" s="5">
        <v>0.34110505243267097</v>
      </c>
    </row>
    <row r="861" spans="1:21" x14ac:dyDescent="0.3">
      <c r="A861" s="5" t="s">
        <v>3094</v>
      </c>
      <c r="B861" s="5" t="s">
        <v>3095</v>
      </c>
      <c r="C861" s="5">
        <v>209</v>
      </c>
      <c r="D861" s="5">
        <v>209</v>
      </c>
      <c r="E861" s="5">
        <v>1</v>
      </c>
      <c r="F861" s="6">
        <v>99.499899999999997</v>
      </c>
      <c r="G861" s="7">
        <v>1.7980200000000001E-19</v>
      </c>
      <c r="H861" s="5">
        <v>99.5</v>
      </c>
      <c r="I861" s="5" t="s">
        <v>11</v>
      </c>
      <c r="J861" s="5">
        <v>1</v>
      </c>
      <c r="K861" s="5" t="s">
        <v>2</v>
      </c>
      <c r="L861" s="5" t="s">
        <v>3096</v>
      </c>
      <c r="M861" s="5" t="s">
        <v>3097</v>
      </c>
      <c r="N861" s="5" t="s">
        <v>3098</v>
      </c>
      <c r="O861" s="5">
        <v>11</v>
      </c>
      <c r="P861" s="6">
        <v>692360</v>
      </c>
      <c r="Q861" s="5">
        <v>434030</v>
      </c>
      <c r="R861" s="5">
        <v>258330</v>
      </c>
      <c r="S861" s="5">
        <v>0.76856999999999998</v>
      </c>
      <c r="T861" s="5">
        <f>LOG(Table2[[#This Row],[ratio heavy to light normalized]],2)</f>
        <v>-0.37975143086749219</v>
      </c>
      <c r="U861" s="5">
        <v>0.65141954701503901</v>
      </c>
    </row>
    <row r="862" spans="1:21" x14ac:dyDescent="0.3">
      <c r="A862" s="5" t="s">
        <v>2386</v>
      </c>
      <c r="B862" s="5" t="s">
        <v>2387</v>
      </c>
      <c r="C862" s="5">
        <v>203</v>
      </c>
      <c r="D862" s="5">
        <v>203</v>
      </c>
      <c r="E862" s="5">
        <v>1</v>
      </c>
      <c r="F862" s="6">
        <v>51.3476</v>
      </c>
      <c r="G862" s="7">
        <v>7.89664E-7</v>
      </c>
      <c r="H862" s="5">
        <v>51.347999999999999</v>
      </c>
      <c r="I862" s="5" t="s">
        <v>11</v>
      </c>
      <c r="J862" s="5">
        <v>1</v>
      </c>
      <c r="K862" s="5" t="s">
        <v>2</v>
      </c>
      <c r="L862" s="5" t="s">
        <v>2388</v>
      </c>
      <c r="M862" s="5" t="s">
        <v>2389</v>
      </c>
      <c r="N862" s="5" t="s">
        <v>2390</v>
      </c>
      <c r="O862" s="5">
        <v>5</v>
      </c>
      <c r="P862" s="6">
        <v>1203900</v>
      </c>
      <c r="Q862" s="5">
        <v>663010</v>
      </c>
      <c r="R862" s="5">
        <v>540900</v>
      </c>
      <c r="S862" s="5">
        <v>0.76827999999999996</v>
      </c>
      <c r="T862" s="5">
        <f>LOG(Table2[[#This Row],[ratio heavy to light normalized]],2)</f>
        <v>-0.3802958972328806</v>
      </c>
      <c r="U862" s="5">
        <v>0.50364220539345494</v>
      </c>
    </row>
    <row r="863" spans="1:21" x14ac:dyDescent="0.3">
      <c r="A863" s="5" t="s">
        <v>3089</v>
      </c>
      <c r="B863" s="5" t="s">
        <v>3090</v>
      </c>
      <c r="C863" s="5">
        <v>151</v>
      </c>
      <c r="D863" s="5">
        <v>151</v>
      </c>
      <c r="E863" s="5">
        <v>1</v>
      </c>
      <c r="F863" s="6">
        <v>51.841000000000001</v>
      </c>
      <c r="G863" s="5">
        <v>3.2722300000000001E-3</v>
      </c>
      <c r="H863" s="5">
        <v>51.841000000000001</v>
      </c>
      <c r="I863" s="5"/>
      <c r="J863" s="5">
        <v>1</v>
      </c>
      <c r="K863" s="5" t="s">
        <v>2</v>
      </c>
      <c r="L863" s="5" t="s">
        <v>3091</v>
      </c>
      <c r="M863" s="5" t="s">
        <v>3092</v>
      </c>
      <c r="N863" s="5" t="s">
        <v>3093</v>
      </c>
      <c r="O863" s="5">
        <v>6</v>
      </c>
      <c r="P863" s="6">
        <v>385880</v>
      </c>
      <c r="Q863" s="5">
        <v>220180</v>
      </c>
      <c r="R863" s="5">
        <v>165700</v>
      </c>
      <c r="S863" s="5">
        <v>0.76788999999999996</v>
      </c>
      <c r="T863" s="5">
        <f>LOG(Table2[[#This Row],[ratio heavy to light normalized]],2)</f>
        <v>-0.38102843474895642</v>
      </c>
      <c r="U863" s="5">
        <v>0.64909550143377004</v>
      </c>
    </row>
    <row r="864" spans="1:21" x14ac:dyDescent="0.3">
      <c r="A864" s="5" t="s">
        <v>381</v>
      </c>
      <c r="B864" s="5" t="s">
        <v>382</v>
      </c>
      <c r="C864" s="5">
        <v>356</v>
      </c>
      <c r="D864" s="5">
        <v>356</v>
      </c>
      <c r="E864" s="5">
        <v>1</v>
      </c>
      <c r="F864" s="6">
        <v>74.415199999999999</v>
      </c>
      <c r="G864" s="7">
        <v>1.2882100000000001E-7</v>
      </c>
      <c r="H864" s="5">
        <v>74.415000000000006</v>
      </c>
      <c r="I864" s="5" t="s">
        <v>11</v>
      </c>
      <c r="J864" s="5">
        <v>1</v>
      </c>
      <c r="K864" s="5" t="s">
        <v>2</v>
      </c>
      <c r="L864" s="5" t="s">
        <v>1686</v>
      </c>
      <c r="M864" s="5" t="s">
        <v>1687</v>
      </c>
      <c r="N864" s="5" t="s">
        <v>1688</v>
      </c>
      <c r="O864" s="5">
        <v>5</v>
      </c>
      <c r="P864" s="6">
        <v>3335200</v>
      </c>
      <c r="Q864" s="5">
        <v>1661800</v>
      </c>
      <c r="R864" s="5">
        <v>1673400</v>
      </c>
      <c r="S864" s="5">
        <v>0.76590999999999998</v>
      </c>
      <c r="T864" s="5">
        <f>LOG(Table2[[#This Row],[ratio heavy to light normalized]],2)</f>
        <v>-0.38475321994614281</v>
      </c>
      <c r="U864" s="5">
        <v>0.33091471765279801</v>
      </c>
    </row>
    <row r="865" spans="1:21" x14ac:dyDescent="0.3">
      <c r="A865" s="5" t="s">
        <v>2229</v>
      </c>
      <c r="B865" s="5" t="s">
        <v>2230</v>
      </c>
      <c r="C865" s="5">
        <v>68</v>
      </c>
      <c r="D865" s="5">
        <v>68</v>
      </c>
      <c r="E865" s="5">
        <v>1</v>
      </c>
      <c r="F865" s="6">
        <v>51.566200000000002</v>
      </c>
      <c r="G865" s="7">
        <v>1.1734100000000001E-19</v>
      </c>
      <c r="H865" s="5">
        <v>85.146000000000001</v>
      </c>
      <c r="I865" s="5"/>
      <c r="J865" s="5">
        <v>1</v>
      </c>
      <c r="K865" s="5" t="s">
        <v>2</v>
      </c>
      <c r="L865" s="5" t="s">
        <v>2360</v>
      </c>
      <c r="M865" s="5" t="s">
        <v>2361</v>
      </c>
      <c r="N865" s="5" t="s">
        <v>2362</v>
      </c>
      <c r="O865" s="5">
        <v>14</v>
      </c>
      <c r="P865" s="6">
        <v>1804500</v>
      </c>
      <c r="Q865" s="5">
        <v>1183300</v>
      </c>
      <c r="R865" s="5">
        <v>621230</v>
      </c>
      <c r="S865" s="5">
        <v>0.76554999999999995</v>
      </c>
      <c r="T865" s="5">
        <f>LOG(Table2[[#This Row],[ratio heavy to light normalized]],2)</f>
        <v>-0.38543148803579119</v>
      </c>
      <c r="U865" s="5">
        <v>0.49530394634888802</v>
      </c>
    </row>
    <row r="866" spans="1:21" x14ac:dyDescent="0.3">
      <c r="A866" s="5" t="s">
        <v>43</v>
      </c>
      <c r="B866" s="5" t="s">
        <v>44</v>
      </c>
      <c r="C866" s="5">
        <v>307</v>
      </c>
      <c r="D866" s="5">
        <v>307</v>
      </c>
      <c r="E866" s="5">
        <v>1</v>
      </c>
      <c r="F866" s="6">
        <v>42.3949</v>
      </c>
      <c r="G866" s="5">
        <v>3.9269900000000003E-2</v>
      </c>
      <c r="H866" s="5">
        <v>42.395000000000003</v>
      </c>
      <c r="I866" s="5"/>
      <c r="J866" s="5">
        <v>1</v>
      </c>
      <c r="K866" s="5" t="s">
        <v>2</v>
      </c>
      <c r="L866" s="5" t="s">
        <v>3056</v>
      </c>
      <c r="M866" s="5" t="s">
        <v>3057</v>
      </c>
      <c r="N866" s="5" t="s">
        <v>3058</v>
      </c>
      <c r="O866" s="5">
        <v>8</v>
      </c>
      <c r="P866" s="6">
        <v>384000</v>
      </c>
      <c r="Q866" s="5">
        <v>198590</v>
      </c>
      <c r="R866" s="5">
        <v>185410</v>
      </c>
      <c r="S866" s="5">
        <v>0.76522999999999997</v>
      </c>
      <c r="T866" s="5">
        <f>LOG(Table2[[#This Row],[ratio heavy to light normalized]],2)</f>
        <v>-0.38603466082327115</v>
      </c>
      <c r="U866" s="5">
        <v>0.64001764577905196</v>
      </c>
    </row>
    <row r="867" spans="1:21" x14ac:dyDescent="0.3">
      <c r="A867" s="5" t="s">
        <v>1050</v>
      </c>
      <c r="B867" s="5" t="s">
        <v>1051</v>
      </c>
      <c r="C867" s="5">
        <v>443</v>
      </c>
      <c r="D867" s="5">
        <v>443</v>
      </c>
      <c r="E867" s="5">
        <v>1</v>
      </c>
      <c r="F867" s="6">
        <v>87.498500000000007</v>
      </c>
      <c r="G867" s="7">
        <v>1.6070199999999999E-16</v>
      </c>
      <c r="H867" s="5">
        <v>87.498000000000005</v>
      </c>
      <c r="I867" s="5"/>
      <c r="J867" s="5">
        <v>1</v>
      </c>
      <c r="K867" s="5" t="s">
        <v>2</v>
      </c>
      <c r="L867" s="5" t="s">
        <v>3042</v>
      </c>
      <c r="M867" s="5" t="s">
        <v>3043</v>
      </c>
      <c r="N867" s="5" t="s">
        <v>3044</v>
      </c>
      <c r="O867" s="5">
        <v>14</v>
      </c>
      <c r="P867" s="6">
        <v>602120</v>
      </c>
      <c r="Q867" s="5">
        <v>315740</v>
      </c>
      <c r="R867" s="5">
        <v>286380</v>
      </c>
      <c r="S867" s="5">
        <v>0.76458999999999999</v>
      </c>
      <c r="T867" s="5">
        <f>LOG(Table2[[#This Row],[ratio heavy to light normalized]],2)</f>
        <v>-0.38724176346284261</v>
      </c>
      <c r="U867" s="5">
        <v>0.63783676311083004</v>
      </c>
    </row>
    <row r="868" spans="1:21" x14ac:dyDescent="0.3">
      <c r="A868" s="5" t="s">
        <v>1009</v>
      </c>
      <c r="B868" s="5" t="s">
        <v>1010</v>
      </c>
      <c r="C868" s="5">
        <v>179</v>
      </c>
      <c r="D868" s="5">
        <v>179</v>
      </c>
      <c r="E868" s="5">
        <v>1</v>
      </c>
      <c r="F868" s="6">
        <v>76.655100000000004</v>
      </c>
      <c r="G868" s="7">
        <v>1.2771400000000001E-8</v>
      </c>
      <c r="H868" s="5">
        <v>76.655000000000001</v>
      </c>
      <c r="I868" s="5" t="s">
        <v>11</v>
      </c>
      <c r="J868" s="5">
        <v>1</v>
      </c>
      <c r="K868" s="5" t="s">
        <v>2</v>
      </c>
      <c r="L868" s="5" t="s">
        <v>1657</v>
      </c>
      <c r="M868" s="5" t="s">
        <v>1658</v>
      </c>
      <c r="N868" s="5" t="s">
        <v>1659</v>
      </c>
      <c r="O868" s="5">
        <v>3</v>
      </c>
      <c r="P868" s="6">
        <v>2805000</v>
      </c>
      <c r="Q868" s="5">
        <v>1753700</v>
      </c>
      <c r="R868" s="5">
        <v>1051400</v>
      </c>
      <c r="S868" s="5">
        <v>0.76409000000000005</v>
      </c>
      <c r="T868" s="5">
        <f>LOG(Table2[[#This Row],[ratio heavy to light normalized]],2)</f>
        <v>-0.38818551564926218</v>
      </c>
      <c r="U868" s="5">
        <v>0.32517132449496999</v>
      </c>
    </row>
    <row r="869" spans="1:21" x14ac:dyDescent="0.3">
      <c r="A869" s="5" t="s">
        <v>1321</v>
      </c>
      <c r="B869" s="5" t="s">
        <v>1322</v>
      </c>
      <c r="C869" s="5">
        <v>136</v>
      </c>
      <c r="D869" s="5">
        <v>136</v>
      </c>
      <c r="E869" s="5">
        <v>1</v>
      </c>
      <c r="F869" s="6">
        <v>91.937299999999993</v>
      </c>
      <c r="G869" s="7">
        <v>1.4067000000000001E-12</v>
      </c>
      <c r="H869" s="5">
        <v>91.936999999999998</v>
      </c>
      <c r="I869" s="5" t="s">
        <v>11</v>
      </c>
      <c r="J869" s="5">
        <v>1</v>
      </c>
      <c r="K869" s="5" t="s">
        <v>2</v>
      </c>
      <c r="L869" s="5" t="s">
        <v>1625</v>
      </c>
      <c r="M869" s="5" t="s">
        <v>1626</v>
      </c>
      <c r="N869" s="5" t="s">
        <v>1627</v>
      </c>
      <c r="O869" s="5">
        <v>5</v>
      </c>
      <c r="P869" s="6">
        <v>14269000</v>
      </c>
      <c r="Q869" s="5">
        <v>8793400</v>
      </c>
      <c r="R869" s="5">
        <v>5475200</v>
      </c>
      <c r="S869" s="5">
        <v>0.76251000000000002</v>
      </c>
      <c r="T869" s="5">
        <f>LOG(Table2[[#This Row],[ratio heavy to light normalized]],2)</f>
        <v>-0.39117183685784424</v>
      </c>
      <c r="U869" s="5">
        <v>0.320227281607457</v>
      </c>
    </row>
    <row r="870" spans="1:21" x14ac:dyDescent="0.3">
      <c r="A870" s="5" t="s">
        <v>3506</v>
      </c>
      <c r="B870" s="5" t="s">
        <v>3507</v>
      </c>
      <c r="C870" s="5">
        <v>89</v>
      </c>
      <c r="D870" s="5">
        <v>89</v>
      </c>
      <c r="E870" s="5">
        <v>1</v>
      </c>
      <c r="F870" s="6">
        <v>25.341999999999999</v>
      </c>
      <c r="G870" s="5">
        <v>0.52664599999999995</v>
      </c>
      <c r="H870" s="5">
        <v>25.341999999999999</v>
      </c>
      <c r="I870" s="5"/>
      <c r="J870" s="5">
        <v>1</v>
      </c>
      <c r="K870" s="5" t="s">
        <v>2</v>
      </c>
      <c r="L870" s="5" t="s">
        <v>3508</v>
      </c>
      <c r="M870" s="5" t="s">
        <v>3509</v>
      </c>
      <c r="N870" s="5" t="s">
        <v>3510</v>
      </c>
      <c r="O870" s="5">
        <v>7</v>
      </c>
      <c r="P870" s="6">
        <v>816310</v>
      </c>
      <c r="Q870" s="5">
        <v>527930</v>
      </c>
      <c r="R870" s="5">
        <v>288380</v>
      </c>
      <c r="S870" s="5">
        <v>0.80089999999999995</v>
      </c>
      <c r="T870" s="5">
        <f>LOG(Table2[[#This Row],[ratio heavy to light normalized]],2)</f>
        <v>-0.32030597523767856</v>
      </c>
      <c r="U870" s="5">
        <v>0.76301701486200102</v>
      </c>
    </row>
    <row r="871" spans="1:21" x14ac:dyDescent="0.3">
      <c r="A871" s="5" t="s">
        <v>1019</v>
      </c>
      <c r="B871" s="5" t="s">
        <v>1020</v>
      </c>
      <c r="C871" s="5">
        <v>143</v>
      </c>
      <c r="D871" s="5">
        <v>143</v>
      </c>
      <c r="E871" s="5">
        <v>1</v>
      </c>
      <c r="F871" s="6">
        <v>40.519500000000001</v>
      </c>
      <c r="G871" s="5">
        <v>4.9147500000000001E-4</v>
      </c>
      <c r="H871" s="5">
        <v>40.520000000000003</v>
      </c>
      <c r="I871" s="5"/>
      <c r="J871" s="5">
        <v>1</v>
      </c>
      <c r="K871" s="5" t="s">
        <v>2</v>
      </c>
      <c r="L871" s="5" t="s">
        <v>3017</v>
      </c>
      <c r="M871" s="5" t="s">
        <v>3018</v>
      </c>
      <c r="N871" s="5" t="s">
        <v>3019</v>
      </c>
      <c r="O871" s="5">
        <v>16</v>
      </c>
      <c r="P871" s="6">
        <v>896170</v>
      </c>
      <c r="Q871" s="5">
        <v>604110</v>
      </c>
      <c r="R871" s="5">
        <v>292060</v>
      </c>
      <c r="S871" s="5">
        <v>0.76217000000000001</v>
      </c>
      <c r="T871" s="5">
        <f>LOG(Table2[[#This Row],[ratio heavy to light normalized]],2)</f>
        <v>-0.39181527196820581</v>
      </c>
      <c r="U871" s="5">
        <v>0.62960229684486202</v>
      </c>
    </row>
    <row r="872" spans="1:21" x14ac:dyDescent="0.3">
      <c r="A872" s="5" t="s">
        <v>3012</v>
      </c>
      <c r="B872" s="5" t="s">
        <v>3013</v>
      </c>
      <c r="C872" s="5">
        <v>504</v>
      </c>
      <c r="D872" s="5">
        <v>504</v>
      </c>
      <c r="E872" s="5">
        <v>1</v>
      </c>
      <c r="F872" s="6">
        <v>68.068700000000007</v>
      </c>
      <c r="G872" s="7">
        <v>5.6044900000000003E-5</v>
      </c>
      <c r="H872" s="5">
        <v>68.069000000000003</v>
      </c>
      <c r="I872" s="5"/>
      <c r="J872" s="5">
        <v>1</v>
      </c>
      <c r="K872" s="5" t="s">
        <v>2</v>
      </c>
      <c r="L872" s="5" t="s">
        <v>3014</v>
      </c>
      <c r="M872" s="5" t="s">
        <v>3015</v>
      </c>
      <c r="N872" s="5" t="s">
        <v>3016</v>
      </c>
      <c r="O872" s="5">
        <v>8</v>
      </c>
      <c r="P872" s="6">
        <v>341150</v>
      </c>
      <c r="Q872" s="5">
        <v>181520</v>
      </c>
      <c r="R872" s="5">
        <v>159640</v>
      </c>
      <c r="S872" s="5">
        <v>0.76193</v>
      </c>
      <c r="T872" s="5">
        <f>LOG(Table2[[#This Row],[ratio heavy to light normalized]],2)</f>
        <v>-0.39226963429702322</v>
      </c>
      <c r="U872" s="5">
        <v>0.62878671742285197</v>
      </c>
    </row>
    <row r="873" spans="1:21" x14ac:dyDescent="0.3">
      <c r="A873" s="5" t="s">
        <v>1082</v>
      </c>
      <c r="B873" s="5" t="s">
        <v>1083</v>
      </c>
      <c r="C873" s="5">
        <v>82</v>
      </c>
      <c r="D873" s="5">
        <v>82</v>
      </c>
      <c r="E873" s="5">
        <v>1</v>
      </c>
      <c r="F873" s="6">
        <v>88.441000000000003</v>
      </c>
      <c r="G873" s="7">
        <v>2.2522499999999998E-12</v>
      </c>
      <c r="H873" s="5">
        <v>88.441000000000003</v>
      </c>
      <c r="I873" s="5" t="s">
        <v>11</v>
      </c>
      <c r="J873" s="5">
        <v>1</v>
      </c>
      <c r="K873" s="5" t="s">
        <v>2</v>
      </c>
      <c r="L873" s="5" t="s">
        <v>1586</v>
      </c>
      <c r="M873" s="5" t="s">
        <v>1587</v>
      </c>
      <c r="N873" s="5" t="s">
        <v>1588</v>
      </c>
      <c r="O873" s="5">
        <v>6</v>
      </c>
      <c r="P873" s="6">
        <v>3601800</v>
      </c>
      <c r="Q873" s="5">
        <v>1744800</v>
      </c>
      <c r="R873" s="5">
        <v>1857000</v>
      </c>
      <c r="S873" s="5">
        <v>0.76141000000000003</v>
      </c>
      <c r="T873" s="5">
        <f>LOG(Table2[[#This Row],[ratio heavy to light normalized]],2)</f>
        <v>-0.3932545771862021</v>
      </c>
      <c r="U873" s="5">
        <v>0.31680841867181903</v>
      </c>
    </row>
    <row r="874" spans="1:21" x14ac:dyDescent="0.3">
      <c r="A874" s="5" t="s">
        <v>2992</v>
      </c>
      <c r="B874" s="5" t="s">
        <v>2993</v>
      </c>
      <c r="C874" s="5">
        <v>96</v>
      </c>
      <c r="D874" s="5">
        <v>96</v>
      </c>
      <c r="E874" s="5">
        <v>1</v>
      </c>
      <c r="F874" s="6">
        <v>101.956</v>
      </c>
      <c r="G874" s="7">
        <v>2.6708200000000002E-29</v>
      </c>
      <c r="H874" s="5">
        <v>101.96</v>
      </c>
      <c r="I874" s="5"/>
      <c r="J874" s="5">
        <v>1</v>
      </c>
      <c r="K874" s="5" t="s">
        <v>2</v>
      </c>
      <c r="L874" s="5" t="s">
        <v>2994</v>
      </c>
      <c r="M874" s="5" t="s">
        <v>2995</v>
      </c>
      <c r="N874" s="5" t="s">
        <v>2996</v>
      </c>
      <c r="O874" s="5">
        <v>10</v>
      </c>
      <c r="P874" s="6">
        <v>332360</v>
      </c>
      <c r="Q874" s="5">
        <v>219450</v>
      </c>
      <c r="R874" s="5">
        <v>112910</v>
      </c>
      <c r="S874" s="5">
        <v>0.76137999999999995</v>
      </c>
      <c r="T874" s="5">
        <f>LOG(Table2[[#This Row],[ratio heavy to light normalized]],2)</f>
        <v>-0.39331142133573344</v>
      </c>
      <c r="U874" s="5">
        <v>0.62691842228892602</v>
      </c>
    </row>
    <row r="875" spans="1:21" x14ac:dyDescent="0.3">
      <c r="A875" s="5" t="s">
        <v>25</v>
      </c>
      <c r="B875" s="5" t="s">
        <v>26</v>
      </c>
      <c r="C875" s="5">
        <v>126</v>
      </c>
      <c r="D875" s="5">
        <v>126</v>
      </c>
      <c r="E875" s="5">
        <v>1</v>
      </c>
      <c r="F875" s="6">
        <v>47.531700000000001</v>
      </c>
      <c r="G875" s="5">
        <v>4.09071E-4</v>
      </c>
      <c r="H875" s="5">
        <v>47.531999999999996</v>
      </c>
      <c r="I875" s="5" t="s">
        <v>11</v>
      </c>
      <c r="J875" s="5">
        <v>1</v>
      </c>
      <c r="K875" s="5" t="s">
        <v>2</v>
      </c>
      <c r="L875" s="5" t="s">
        <v>1580</v>
      </c>
      <c r="M875" s="5" t="s">
        <v>1581</v>
      </c>
      <c r="N875" s="5" t="s">
        <v>1582</v>
      </c>
      <c r="O875" s="5">
        <v>11</v>
      </c>
      <c r="P875" s="6">
        <v>5200300</v>
      </c>
      <c r="Q875" s="5">
        <v>2886300</v>
      </c>
      <c r="R875" s="5">
        <v>2314000</v>
      </c>
      <c r="S875" s="5">
        <v>0.76097999999999999</v>
      </c>
      <c r="T875" s="5">
        <f>LOG(Table2[[#This Row],[ratio heavy to light normalized]],2)</f>
        <v>-0.3940695574265865</v>
      </c>
      <c r="U875" s="5">
        <v>0.31547715320015401</v>
      </c>
    </row>
    <row r="876" spans="1:21" x14ac:dyDescent="0.3">
      <c r="A876" s="5" t="s">
        <v>2978</v>
      </c>
      <c r="B876" s="5" t="s">
        <v>2979</v>
      </c>
      <c r="C876" s="5">
        <v>34</v>
      </c>
      <c r="D876" s="5">
        <v>34</v>
      </c>
      <c r="E876" s="5">
        <v>1</v>
      </c>
      <c r="F876" s="6">
        <v>57.598399999999998</v>
      </c>
      <c r="G876" s="5">
        <v>4.0165899999999996E-3</v>
      </c>
      <c r="H876" s="5">
        <v>57.597999999999999</v>
      </c>
      <c r="I876" s="5" t="s">
        <v>11</v>
      </c>
      <c r="J876" s="5">
        <v>1</v>
      </c>
      <c r="K876" s="5" t="s">
        <v>2</v>
      </c>
      <c r="L876" s="5" t="s">
        <v>2980</v>
      </c>
      <c r="M876" s="5" t="s">
        <v>2981</v>
      </c>
      <c r="N876" s="5" t="s">
        <v>2982</v>
      </c>
      <c r="O876" s="5">
        <v>4</v>
      </c>
      <c r="P876" s="6">
        <v>429050</v>
      </c>
      <c r="Q876" s="5">
        <v>204150</v>
      </c>
      <c r="R876" s="5">
        <v>224890</v>
      </c>
      <c r="S876" s="5">
        <v>0.76058000000000003</v>
      </c>
      <c r="T876" s="5">
        <f>LOG(Table2[[#This Row],[ratio heavy to light normalized]],2)</f>
        <v>-0.39482809212735342</v>
      </c>
      <c r="U876" s="5">
        <v>0.62420276662909002</v>
      </c>
    </row>
    <row r="877" spans="1:21" x14ac:dyDescent="0.3">
      <c r="A877" s="5" t="s">
        <v>3529</v>
      </c>
      <c r="B877" s="5" t="s">
        <v>3530</v>
      </c>
      <c r="C877" s="5">
        <v>94</v>
      </c>
      <c r="D877" s="5">
        <v>94</v>
      </c>
      <c r="E877" s="5">
        <v>1</v>
      </c>
      <c r="F877" s="6">
        <v>14.8086</v>
      </c>
      <c r="G877" s="5">
        <v>0.91806100000000002</v>
      </c>
      <c r="H877" s="5">
        <v>14.808999999999999</v>
      </c>
      <c r="I877" s="5"/>
      <c r="J877" s="5">
        <v>1</v>
      </c>
      <c r="K877" s="5" t="s">
        <v>2</v>
      </c>
      <c r="L877" s="5" t="s">
        <v>3531</v>
      </c>
      <c r="M877" s="5" t="s">
        <v>3532</v>
      </c>
      <c r="N877" s="5" t="s">
        <v>3533</v>
      </c>
      <c r="O877" s="5">
        <v>20</v>
      </c>
      <c r="P877" s="6">
        <v>2025300</v>
      </c>
      <c r="Q877" s="5">
        <v>1073000</v>
      </c>
      <c r="R877" s="5">
        <v>952270</v>
      </c>
      <c r="S877" s="5">
        <v>0.97709999999999997</v>
      </c>
      <c r="T877" s="5">
        <f>LOG(Table2[[#This Row],[ratio heavy to light normalized]],2)</f>
        <v>-3.3421874432389906E-2</v>
      </c>
      <c r="U877" s="5">
        <v>0.76947190235756002</v>
      </c>
    </row>
    <row r="878" spans="1:21" x14ac:dyDescent="0.3">
      <c r="A878" s="5" t="s">
        <v>3534</v>
      </c>
      <c r="B878" s="5" t="s">
        <v>3535</v>
      </c>
      <c r="C878" s="5">
        <v>282</v>
      </c>
      <c r="D878" s="5">
        <v>282</v>
      </c>
      <c r="E878" s="5">
        <v>1</v>
      </c>
      <c r="F878" s="6">
        <v>22.0458</v>
      </c>
      <c r="G878" s="5">
        <v>0.58599599999999996</v>
      </c>
      <c r="H878" s="5">
        <v>22.045999999999999</v>
      </c>
      <c r="I878" s="5" t="s">
        <v>11</v>
      </c>
      <c r="J878" s="5">
        <v>1</v>
      </c>
      <c r="K878" s="5" t="s">
        <v>2</v>
      </c>
      <c r="L878" s="5" t="s">
        <v>3536</v>
      </c>
      <c r="M878" s="5" t="s">
        <v>3537</v>
      </c>
      <c r="N878" s="5" t="s">
        <v>3538</v>
      </c>
      <c r="O878" s="5">
        <v>7</v>
      </c>
      <c r="P878" s="6">
        <v>309100</v>
      </c>
      <c r="Q878" s="5">
        <v>200470</v>
      </c>
      <c r="R878" s="5">
        <v>108630</v>
      </c>
      <c r="S878" s="5">
        <v>0.80330999999999997</v>
      </c>
      <c r="T878" s="5">
        <f>LOG(Table2[[#This Row],[ratio heavy to light normalized]],2)</f>
        <v>-0.31597125887983252</v>
      </c>
      <c r="U878" s="5">
        <v>0.77138499285810402</v>
      </c>
    </row>
    <row r="879" spans="1:21" x14ac:dyDescent="0.3">
      <c r="A879" s="5" t="s">
        <v>1491</v>
      </c>
      <c r="B879" s="5" t="s">
        <v>1492</v>
      </c>
      <c r="C879" s="5">
        <v>726</v>
      </c>
      <c r="D879" s="5">
        <v>726</v>
      </c>
      <c r="E879" s="5">
        <v>1</v>
      </c>
      <c r="F879" s="6">
        <v>58.676499999999997</v>
      </c>
      <c r="G879" s="5">
        <v>2.0215099999999998E-3</v>
      </c>
      <c r="H879" s="5">
        <v>58.676000000000002</v>
      </c>
      <c r="I879" s="5"/>
      <c r="J879" s="5">
        <v>1</v>
      </c>
      <c r="K879" s="5" t="s">
        <v>2</v>
      </c>
      <c r="L879" s="5" t="s">
        <v>2975</v>
      </c>
      <c r="M879" s="5" t="s">
        <v>2976</v>
      </c>
      <c r="N879" s="5" t="s">
        <v>2977</v>
      </c>
      <c r="O879" s="5">
        <v>8</v>
      </c>
      <c r="P879" s="6">
        <v>331550</v>
      </c>
      <c r="Q879" s="5">
        <v>202490</v>
      </c>
      <c r="R879" s="5">
        <v>129060</v>
      </c>
      <c r="S879" s="5">
        <v>0.76056000000000001</v>
      </c>
      <c r="T879" s="5">
        <f>LOG(Table2[[#This Row],[ratio heavy to light normalized]],2)</f>
        <v>-0.39486602933342191</v>
      </c>
      <c r="U879" s="5">
        <v>0.62413490384658799</v>
      </c>
    </row>
    <row r="880" spans="1:21" x14ac:dyDescent="0.3">
      <c r="A880" s="5" t="s">
        <v>2266</v>
      </c>
      <c r="B880" s="5" t="s">
        <v>2267</v>
      </c>
      <c r="C880" s="5">
        <v>331</v>
      </c>
      <c r="D880" s="5">
        <v>331</v>
      </c>
      <c r="E880" s="5">
        <v>1</v>
      </c>
      <c r="F880" s="6">
        <v>52.785699999999999</v>
      </c>
      <c r="G880" s="5">
        <v>1.00234E-3</v>
      </c>
      <c r="H880" s="5">
        <v>52.786000000000001</v>
      </c>
      <c r="I880" s="5" t="s">
        <v>11</v>
      </c>
      <c r="J880" s="5">
        <v>1</v>
      </c>
      <c r="K880" s="5" t="s">
        <v>2</v>
      </c>
      <c r="L880" s="5" t="s">
        <v>2268</v>
      </c>
      <c r="M880" s="5" t="s">
        <v>2269</v>
      </c>
      <c r="N880" s="5" t="s">
        <v>2270</v>
      </c>
      <c r="O880" s="5">
        <v>4</v>
      </c>
      <c r="P880" s="6">
        <v>2021800</v>
      </c>
      <c r="Q880" s="5">
        <v>1082600</v>
      </c>
      <c r="R880" s="5">
        <v>939180</v>
      </c>
      <c r="S880" s="5">
        <v>0.76049</v>
      </c>
      <c r="T880" s="5">
        <f>LOG(Table2[[#This Row],[ratio heavy to light normalized]],2)</f>
        <v>-0.39499881741130699</v>
      </c>
      <c r="U880" s="5">
        <v>0.47996894734485102</v>
      </c>
    </row>
    <row r="881" spans="1:21" x14ac:dyDescent="0.3">
      <c r="A881" s="5" t="s">
        <v>3545</v>
      </c>
      <c r="B881" s="5" t="s">
        <v>3546</v>
      </c>
      <c r="C881" s="5">
        <v>209</v>
      </c>
      <c r="D881" s="5">
        <v>209</v>
      </c>
      <c r="E881" s="5">
        <v>1</v>
      </c>
      <c r="F881" s="6">
        <v>38.962499999999999</v>
      </c>
      <c r="G881" s="5">
        <v>5.3406599999999999E-2</v>
      </c>
      <c r="H881" s="5">
        <v>38.962000000000003</v>
      </c>
      <c r="I881" s="5" t="s">
        <v>11</v>
      </c>
      <c r="J881" s="5">
        <v>1</v>
      </c>
      <c r="K881" s="5" t="s">
        <v>2</v>
      </c>
      <c r="L881" s="5" t="s">
        <v>3547</v>
      </c>
      <c r="M881" s="5" t="s">
        <v>3548</v>
      </c>
      <c r="N881" s="5" t="s">
        <v>3549</v>
      </c>
      <c r="O881" s="5">
        <v>7</v>
      </c>
      <c r="P881" s="6">
        <v>289010</v>
      </c>
      <c r="Q881" s="5">
        <v>185470</v>
      </c>
      <c r="R881" s="5">
        <v>103540</v>
      </c>
      <c r="S881" s="5">
        <v>0.80408999999999997</v>
      </c>
      <c r="T881" s="5">
        <f>LOG(Table2[[#This Row],[ratio heavy to light normalized]],2)</f>
        <v>-0.31457110680789085</v>
      </c>
      <c r="U881" s="5">
        <v>0.77409367067303103</v>
      </c>
    </row>
    <row r="882" spans="1:21" x14ac:dyDescent="0.3">
      <c r="A882" s="5" t="s">
        <v>1473</v>
      </c>
      <c r="B882" s="5" t="s">
        <v>1474</v>
      </c>
      <c r="C882" s="5">
        <v>405</v>
      </c>
      <c r="D882" s="5">
        <v>405</v>
      </c>
      <c r="E882" s="5">
        <v>1</v>
      </c>
      <c r="F882" s="6">
        <v>98.390500000000003</v>
      </c>
      <c r="G882" s="7">
        <v>1.78768E-31</v>
      </c>
      <c r="H882" s="5">
        <v>98.391000000000005</v>
      </c>
      <c r="I882" s="5"/>
      <c r="J882" s="5">
        <v>1</v>
      </c>
      <c r="K882" s="5" t="s">
        <v>2</v>
      </c>
      <c r="L882" s="5" t="s">
        <v>1553</v>
      </c>
      <c r="M882" s="5" t="s">
        <v>1554</v>
      </c>
      <c r="N882" s="5" t="s">
        <v>1555</v>
      </c>
      <c r="O882" s="5">
        <v>17</v>
      </c>
      <c r="P882" s="6">
        <v>4320300</v>
      </c>
      <c r="Q882" s="5">
        <v>1786100</v>
      </c>
      <c r="R882" s="5">
        <v>2534200</v>
      </c>
      <c r="S882" s="5">
        <v>0.75888999999999995</v>
      </c>
      <c r="T882" s="5">
        <f>LOG(Table2[[#This Row],[ratio heavy to light normalized]],2)</f>
        <v>-0.39803731063707148</v>
      </c>
      <c r="U882" s="5">
        <v>0.309048417608348</v>
      </c>
    </row>
    <row r="883" spans="1:21" x14ac:dyDescent="0.3">
      <c r="A883" s="5" t="s">
        <v>2925</v>
      </c>
      <c r="B883" s="5" t="s">
        <v>2926</v>
      </c>
      <c r="C883" s="5">
        <v>293</v>
      </c>
      <c r="D883" s="5">
        <v>293</v>
      </c>
      <c r="E883" s="5">
        <v>1</v>
      </c>
      <c r="F883" s="6">
        <v>58.699300000000001</v>
      </c>
      <c r="G883" s="5">
        <v>4.0502000000000003E-3</v>
      </c>
      <c r="H883" s="5">
        <v>58.698999999999998</v>
      </c>
      <c r="I883" s="5"/>
      <c r="J883" s="5">
        <v>1</v>
      </c>
      <c r="K883" s="5" t="s">
        <v>2</v>
      </c>
      <c r="L883" s="5" t="s">
        <v>2927</v>
      </c>
      <c r="M883" s="5" t="s">
        <v>2928</v>
      </c>
      <c r="N883" s="5" t="s">
        <v>2929</v>
      </c>
      <c r="O883" s="5">
        <v>6</v>
      </c>
      <c r="P883" s="6">
        <v>976750</v>
      </c>
      <c r="Q883" s="5">
        <v>676210</v>
      </c>
      <c r="R883" s="5">
        <v>300540</v>
      </c>
      <c r="S883" s="5">
        <v>0.75799000000000005</v>
      </c>
      <c r="T883" s="5">
        <f>LOG(Table2[[#This Row],[ratio heavy to light normalized]],2)</f>
        <v>-0.39974927953264999</v>
      </c>
      <c r="U883" s="5">
        <v>0.61542644508915101</v>
      </c>
    </row>
    <row r="884" spans="1:21" x14ac:dyDescent="0.3">
      <c r="A884" s="5" t="s">
        <v>564</v>
      </c>
      <c r="B884" s="5" t="s">
        <v>565</v>
      </c>
      <c r="C884" s="5">
        <v>353</v>
      </c>
      <c r="D884" s="5">
        <v>353</v>
      </c>
      <c r="E884" s="5">
        <v>1</v>
      </c>
      <c r="F884" s="6">
        <v>38.021000000000001</v>
      </c>
      <c r="G884" s="7">
        <v>3.7919399999999999E-78</v>
      </c>
      <c r="H884" s="5">
        <v>174.4</v>
      </c>
      <c r="I884" s="5"/>
      <c r="J884" s="5">
        <v>1</v>
      </c>
      <c r="K884" s="5" t="s">
        <v>2</v>
      </c>
      <c r="L884" s="5" t="s">
        <v>1540</v>
      </c>
      <c r="M884" s="5" t="s">
        <v>1541</v>
      </c>
      <c r="N884" s="5" t="s">
        <v>1542</v>
      </c>
      <c r="O884" s="5">
        <v>9</v>
      </c>
      <c r="P884" s="6">
        <v>7594300</v>
      </c>
      <c r="Q884" s="5">
        <v>3722200</v>
      </c>
      <c r="R884" s="5">
        <v>3872100</v>
      </c>
      <c r="S884" s="5">
        <v>0.75797000000000003</v>
      </c>
      <c r="T884" s="5">
        <f>LOG(Table2[[#This Row],[ratio heavy to light normalized]],2)</f>
        <v>-0.39978734636926766</v>
      </c>
      <c r="U884" s="5">
        <v>0.30624064282813701</v>
      </c>
    </row>
    <row r="885" spans="1:21" x14ac:dyDescent="0.3">
      <c r="A885" s="5" t="s">
        <v>2229</v>
      </c>
      <c r="B885" s="5" t="s">
        <v>2230</v>
      </c>
      <c r="C885" s="5">
        <v>51</v>
      </c>
      <c r="D885" s="5">
        <v>51</v>
      </c>
      <c r="E885" s="5">
        <v>1</v>
      </c>
      <c r="F885" s="6">
        <v>88.818799999999996</v>
      </c>
      <c r="G885" s="7">
        <v>4.8392100000000003E-10</v>
      </c>
      <c r="H885" s="5">
        <v>88.819000000000003</v>
      </c>
      <c r="I885" s="5" t="s">
        <v>11</v>
      </c>
      <c r="J885" s="5">
        <v>1</v>
      </c>
      <c r="K885" s="5" t="s">
        <v>2</v>
      </c>
      <c r="L885" s="5" t="s">
        <v>2231</v>
      </c>
      <c r="M885" s="5" t="s">
        <v>2232</v>
      </c>
      <c r="N885" s="5" t="s">
        <v>2233</v>
      </c>
      <c r="O885" s="5">
        <v>6</v>
      </c>
      <c r="P885" s="6">
        <v>1779100</v>
      </c>
      <c r="Q885" s="5">
        <v>1021800</v>
      </c>
      <c r="R885" s="5">
        <v>757300</v>
      </c>
      <c r="S885" s="5">
        <v>0.75760000000000005</v>
      </c>
      <c r="T885" s="5">
        <f>LOG(Table2[[#This Row],[ratio heavy to light normalized]],2)</f>
        <v>-0.40049176408106429</v>
      </c>
      <c r="U885" s="5">
        <v>0.47128295535821801</v>
      </c>
    </row>
    <row r="886" spans="1:21" x14ac:dyDescent="0.3">
      <c r="A886" s="5" t="s">
        <v>1496</v>
      </c>
      <c r="B886" s="5" t="s">
        <v>1497</v>
      </c>
      <c r="C886" s="5">
        <v>632</v>
      </c>
      <c r="D886" s="5">
        <v>632</v>
      </c>
      <c r="E886" s="5">
        <v>1</v>
      </c>
      <c r="F886" s="6">
        <v>82.101699999999994</v>
      </c>
      <c r="G886" s="7">
        <v>1.5094499999999999E-13</v>
      </c>
      <c r="H886" s="5">
        <v>82.102000000000004</v>
      </c>
      <c r="I886" s="5" t="s">
        <v>11</v>
      </c>
      <c r="J886" s="5">
        <v>1</v>
      </c>
      <c r="K886" s="5" t="s">
        <v>2</v>
      </c>
      <c r="L886" s="5" t="s">
        <v>2215</v>
      </c>
      <c r="M886" s="5" t="s">
        <v>2216</v>
      </c>
      <c r="N886" s="5" t="s">
        <v>2217</v>
      </c>
      <c r="O886" s="5">
        <v>13</v>
      </c>
      <c r="P886" s="6">
        <v>1947900</v>
      </c>
      <c r="Q886" s="5">
        <v>1081700</v>
      </c>
      <c r="R886" s="5">
        <v>866200</v>
      </c>
      <c r="S886" s="5">
        <v>0.75478000000000001</v>
      </c>
      <c r="T886" s="5">
        <f>LOG(Table2[[#This Row],[ratio heavy to light normalized]],2)</f>
        <v>-0.4058718996690579</v>
      </c>
      <c r="U886" s="5">
        <v>0.46286008442423998</v>
      </c>
    </row>
    <row r="887" spans="1:21" x14ac:dyDescent="0.3">
      <c r="A887" s="5" t="s">
        <v>1045</v>
      </c>
      <c r="B887" s="5" t="s">
        <v>1046</v>
      </c>
      <c r="C887" s="5">
        <v>845</v>
      </c>
      <c r="D887" s="5">
        <v>845</v>
      </c>
      <c r="E887" s="5">
        <v>1</v>
      </c>
      <c r="F887" s="6">
        <v>45.279800000000002</v>
      </c>
      <c r="G887" s="5">
        <v>4.2186699999999999E-3</v>
      </c>
      <c r="H887" s="5">
        <v>45.28</v>
      </c>
      <c r="I887" s="5" t="s">
        <v>11</v>
      </c>
      <c r="J887" s="5">
        <v>1</v>
      </c>
      <c r="K887" s="5" t="s">
        <v>2</v>
      </c>
      <c r="L887" s="5" t="s">
        <v>1504</v>
      </c>
      <c r="M887" s="5" t="s">
        <v>1505</v>
      </c>
      <c r="N887" s="5" t="s">
        <v>1506</v>
      </c>
      <c r="O887" s="5">
        <v>10</v>
      </c>
      <c r="P887" s="6">
        <v>3009100</v>
      </c>
      <c r="Q887" s="5">
        <v>1876400</v>
      </c>
      <c r="R887" s="5">
        <v>1132700</v>
      </c>
      <c r="S887" s="5">
        <v>0.75344999999999995</v>
      </c>
      <c r="T887" s="5">
        <f>LOG(Table2[[#This Row],[ratio heavy to light normalized]],2)</f>
        <v>-0.40841631915646387</v>
      </c>
      <c r="U887" s="5">
        <v>0.292644085636725</v>
      </c>
    </row>
    <row r="888" spans="1:21" x14ac:dyDescent="0.3">
      <c r="A888" s="5" t="s">
        <v>278</v>
      </c>
      <c r="B888" s="5" t="s">
        <v>279</v>
      </c>
      <c r="C888" s="5">
        <v>614</v>
      </c>
      <c r="D888" s="5">
        <v>614</v>
      </c>
      <c r="E888" s="5">
        <v>1</v>
      </c>
      <c r="F888" s="6">
        <v>140.98400000000001</v>
      </c>
      <c r="G888" s="7">
        <v>2.8726600000000002E-34</v>
      </c>
      <c r="H888" s="5">
        <v>140.97999999999999</v>
      </c>
      <c r="I888" s="5" t="s">
        <v>11</v>
      </c>
      <c r="J888" s="5">
        <v>1</v>
      </c>
      <c r="K888" s="5" t="s">
        <v>2</v>
      </c>
      <c r="L888" s="5" t="s">
        <v>2201</v>
      </c>
      <c r="M888" s="5" t="s">
        <v>2202</v>
      </c>
      <c r="N888" s="5" t="s">
        <v>2203</v>
      </c>
      <c r="O888" s="5">
        <v>6</v>
      </c>
      <c r="P888" s="6">
        <v>1876300</v>
      </c>
      <c r="Q888" s="5">
        <v>1011000</v>
      </c>
      <c r="R888" s="5">
        <v>865250</v>
      </c>
      <c r="S888" s="5">
        <v>0.75327</v>
      </c>
      <c r="T888" s="5">
        <f>LOG(Table2[[#This Row],[ratio heavy to light normalized]],2)</f>
        <v>-0.40876102170052692</v>
      </c>
      <c r="U888" s="5">
        <v>0.45837189035155801</v>
      </c>
    </row>
    <row r="889" spans="1:21" x14ac:dyDescent="0.3">
      <c r="A889" s="5" t="s">
        <v>2871</v>
      </c>
      <c r="B889" s="5" t="s">
        <v>2872</v>
      </c>
      <c r="C889" s="5">
        <v>22</v>
      </c>
      <c r="D889" s="5">
        <v>22</v>
      </c>
      <c r="E889" s="5">
        <v>1</v>
      </c>
      <c r="F889" s="6">
        <v>81.624899999999997</v>
      </c>
      <c r="G889" s="7">
        <v>6.5337299999999999E-9</v>
      </c>
      <c r="H889" s="5">
        <v>81.625</v>
      </c>
      <c r="I889" s="5" t="s">
        <v>11</v>
      </c>
      <c r="J889" s="5">
        <v>1</v>
      </c>
      <c r="K889" s="5" t="s">
        <v>2</v>
      </c>
      <c r="L889" s="5" t="s">
        <v>2873</v>
      </c>
      <c r="M889" s="5" t="s">
        <v>2874</v>
      </c>
      <c r="N889" s="5" t="s">
        <v>2875</v>
      </c>
      <c r="O889" s="5">
        <v>8</v>
      </c>
      <c r="P889" s="6">
        <v>422610</v>
      </c>
      <c r="Q889" s="5">
        <v>207080</v>
      </c>
      <c r="R889" s="5">
        <v>215540</v>
      </c>
      <c r="S889" s="5">
        <v>0.75226000000000004</v>
      </c>
      <c r="T889" s="5">
        <f>LOG(Table2[[#This Row],[ratio heavy to light normalized]],2)</f>
        <v>-0.41069671505754013</v>
      </c>
      <c r="U889" s="5">
        <v>0.59610061747709198</v>
      </c>
    </row>
    <row r="890" spans="1:21" x14ac:dyDescent="0.3">
      <c r="A890" s="5" t="s">
        <v>1491</v>
      </c>
      <c r="B890" s="5" t="s">
        <v>1492</v>
      </c>
      <c r="C890" s="5">
        <v>237</v>
      </c>
      <c r="D890" s="5">
        <v>237</v>
      </c>
      <c r="E890" s="5">
        <v>1</v>
      </c>
      <c r="F890" s="6">
        <v>94.465299999999999</v>
      </c>
      <c r="G890" s="7">
        <v>1.8245399999999999E-11</v>
      </c>
      <c r="H890" s="5">
        <v>94.465000000000003</v>
      </c>
      <c r="I890" s="5"/>
      <c r="J890" s="5">
        <v>1</v>
      </c>
      <c r="K890" s="5" t="s">
        <v>2</v>
      </c>
      <c r="L890" s="5" t="s">
        <v>2183</v>
      </c>
      <c r="M890" s="5" t="s">
        <v>2184</v>
      </c>
      <c r="N890" s="5" t="s">
        <v>2185</v>
      </c>
      <c r="O890" s="5">
        <v>5</v>
      </c>
      <c r="P890" s="6">
        <v>1357500</v>
      </c>
      <c r="Q890" s="5">
        <v>694920</v>
      </c>
      <c r="R890" s="5">
        <v>662550</v>
      </c>
      <c r="S890" s="5">
        <v>0.75109999999999999</v>
      </c>
      <c r="T890" s="5">
        <f>LOG(Table2[[#This Row],[ratio heavy to light normalized]],2)</f>
        <v>-0.41292309673532346</v>
      </c>
      <c r="U890" s="5">
        <v>0.45194930623143398</v>
      </c>
    </row>
    <row r="891" spans="1:21" x14ac:dyDescent="0.3">
      <c r="A891" s="5" t="s">
        <v>1473</v>
      </c>
      <c r="B891" s="5" t="s">
        <v>1474</v>
      </c>
      <c r="C891" s="5">
        <v>64</v>
      </c>
      <c r="D891" s="5">
        <v>64</v>
      </c>
      <c r="E891" s="5">
        <v>1</v>
      </c>
      <c r="F891" s="6">
        <v>122.423</v>
      </c>
      <c r="G891" s="7">
        <v>4.4663199999999997E-50</v>
      </c>
      <c r="H891" s="5">
        <v>147.24</v>
      </c>
      <c r="I891" s="5" t="s">
        <v>11</v>
      </c>
      <c r="J891" s="5">
        <v>1</v>
      </c>
      <c r="K891" s="5" t="s">
        <v>2</v>
      </c>
      <c r="L891" s="5" t="s">
        <v>1475</v>
      </c>
      <c r="M891" s="5" t="s">
        <v>1476</v>
      </c>
      <c r="N891" s="5" t="s">
        <v>1477</v>
      </c>
      <c r="O891" s="5">
        <v>8</v>
      </c>
      <c r="P891" s="6">
        <v>11833000</v>
      </c>
      <c r="Q891" s="5">
        <v>6176800</v>
      </c>
      <c r="R891" s="5">
        <v>5656500</v>
      </c>
      <c r="S891" s="5">
        <v>0.75036000000000003</v>
      </c>
      <c r="T891" s="5">
        <f>LOG(Table2[[#This Row],[ratio heavy to light normalized]],2)</f>
        <v>-0.41434517180452141</v>
      </c>
      <c r="U891" s="5">
        <v>0.283540578363008</v>
      </c>
    </row>
    <row r="892" spans="1:21" x14ac:dyDescent="0.3">
      <c r="A892" s="5" t="s">
        <v>710</v>
      </c>
      <c r="B892" s="5" t="s">
        <v>711</v>
      </c>
      <c r="C892" s="5">
        <v>882</v>
      </c>
      <c r="D892" s="5">
        <v>882</v>
      </c>
      <c r="E892" s="5">
        <v>1</v>
      </c>
      <c r="F892" s="6">
        <v>131.369</v>
      </c>
      <c r="G892" s="7">
        <v>2.8739100000000001E-40</v>
      </c>
      <c r="H892" s="5">
        <v>131.37</v>
      </c>
      <c r="I892" s="5" t="s">
        <v>11</v>
      </c>
      <c r="J892" s="5">
        <v>1</v>
      </c>
      <c r="K892" s="5" t="s">
        <v>2</v>
      </c>
      <c r="L892" s="5" t="s">
        <v>2830</v>
      </c>
      <c r="M892" s="5" t="s">
        <v>2831</v>
      </c>
      <c r="N892" s="5" t="s">
        <v>2832</v>
      </c>
      <c r="O892" s="5">
        <v>9</v>
      </c>
      <c r="P892" s="6">
        <v>874850</v>
      </c>
      <c r="Q892" s="5">
        <v>412190</v>
      </c>
      <c r="R892" s="5">
        <v>462670</v>
      </c>
      <c r="S892" s="5">
        <v>0.74995000000000001</v>
      </c>
      <c r="T892" s="5">
        <f>LOG(Table2[[#This Row],[ratio heavy to light normalized]],2)</f>
        <v>-0.41513368215436786</v>
      </c>
      <c r="U892" s="5">
        <v>0.58834744696184504</v>
      </c>
    </row>
    <row r="893" spans="1:21" x14ac:dyDescent="0.3">
      <c r="A893" s="5" t="s">
        <v>243</v>
      </c>
      <c r="B893" s="5" t="s">
        <v>244</v>
      </c>
      <c r="C893" s="5">
        <v>295</v>
      </c>
      <c r="D893" s="5">
        <v>295</v>
      </c>
      <c r="E893" s="5">
        <v>1</v>
      </c>
      <c r="F893" s="6">
        <v>95.650499999999994</v>
      </c>
      <c r="G893" s="7">
        <v>1.6169299999999999E-17</v>
      </c>
      <c r="H893" s="5">
        <v>95.650999999999996</v>
      </c>
      <c r="I893" s="5"/>
      <c r="J893" s="5">
        <v>1</v>
      </c>
      <c r="K893" s="5" t="s">
        <v>2</v>
      </c>
      <c r="L893" s="5" t="s">
        <v>2164</v>
      </c>
      <c r="M893" s="5" t="s">
        <v>2165</v>
      </c>
      <c r="N893" s="5" t="s">
        <v>2166</v>
      </c>
      <c r="O893" s="5">
        <v>13</v>
      </c>
      <c r="P893" s="6">
        <v>1575800</v>
      </c>
      <c r="Q893" s="5">
        <v>903330</v>
      </c>
      <c r="R893" s="5">
        <v>672480</v>
      </c>
      <c r="S893" s="5">
        <v>0.74955000000000005</v>
      </c>
      <c r="T893" s="5">
        <f>LOG(Table2[[#This Row],[ratio heavy to light normalized]],2)</f>
        <v>-0.4159033760924053</v>
      </c>
      <c r="U893" s="5">
        <v>0.447381807685655</v>
      </c>
    </row>
    <row r="894" spans="1:21" x14ac:dyDescent="0.3">
      <c r="A894" s="5" t="s">
        <v>368</v>
      </c>
      <c r="B894" s="5" t="s">
        <v>369</v>
      </c>
      <c r="C894" s="5">
        <v>188</v>
      </c>
      <c r="D894" s="5">
        <v>188</v>
      </c>
      <c r="E894" s="5">
        <v>1</v>
      </c>
      <c r="F894" s="6">
        <v>49.0886</v>
      </c>
      <c r="G894" s="7">
        <v>8.1416999999999999E-7</v>
      </c>
      <c r="H894" s="5">
        <v>49.088999999999999</v>
      </c>
      <c r="I894" s="5"/>
      <c r="J894" s="5">
        <v>1</v>
      </c>
      <c r="K894" s="5" t="s">
        <v>2</v>
      </c>
      <c r="L894" s="5" t="s">
        <v>2161</v>
      </c>
      <c r="M894" s="5" t="s">
        <v>2162</v>
      </c>
      <c r="N894" s="5" t="s">
        <v>2163</v>
      </c>
      <c r="O894" s="5">
        <v>21</v>
      </c>
      <c r="P894" s="6">
        <v>1740300</v>
      </c>
      <c r="Q894" s="5">
        <v>995280</v>
      </c>
      <c r="R894" s="5">
        <v>745060</v>
      </c>
      <c r="S894" s="5">
        <v>0.74941000000000002</v>
      </c>
      <c r="T894" s="5">
        <f>LOG(Table2[[#This Row],[ratio heavy to light normalized]],2)</f>
        <v>-0.41617286601383319</v>
      </c>
      <c r="U894" s="5">
        <v>0.446970092357657</v>
      </c>
    </row>
    <row r="895" spans="1:21" x14ac:dyDescent="0.3">
      <c r="A895" s="5" t="s">
        <v>215</v>
      </c>
      <c r="B895" s="5" t="s">
        <v>216</v>
      </c>
      <c r="C895" s="5">
        <v>591</v>
      </c>
      <c r="D895" s="5">
        <v>591</v>
      </c>
      <c r="E895" s="5">
        <v>1</v>
      </c>
      <c r="F895" s="6">
        <v>43.162399999999998</v>
      </c>
      <c r="G895" s="7">
        <v>1.22498E-6</v>
      </c>
      <c r="H895" s="5">
        <v>55.884999999999998</v>
      </c>
      <c r="I895" s="5"/>
      <c r="J895" s="5">
        <v>1</v>
      </c>
      <c r="K895" s="5" t="s">
        <v>2</v>
      </c>
      <c r="L895" s="5" t="s">
        <v>2152</v>
      </c>
      <c r="M895" s="5" t="s">
        <v>2153</v>
      </c>
      <c r="N895" s="5" t="s">
        <v>2154</v>
      </c>
      <c r="O895" s="5">
        <v>11</v>
      </c>
      <c r="P895" s="6">
        <v>1087500</v>
      </c>
      <c r="Q895" s="5">
        <v>622280</v>
      </c>
      <c r="R895" s="5">
        <v>465220</v>
      </c>
      <c r="S895" s="5">
        <v>0.74872000000000005</v>
      </c>
      <c r="T895" s="5">
        <f>LOG(Table2[[#This Row],[ratio heavy to light normalized]],2)</f>
        <v>-0.41750180228585476</v>
      </c>
      <c r="U895" s="5">
        <v>0.44494295455384902</v>
      </c>
    </row>
    <row r="896" spans="1:21" x14ac:dyDescent="0.3">
      <c r="A896" s="5" t="s">
        <v>1105</v>
      </c>
      <c r="B896" s="5" t="s">
        <v>1106</v>
      </c>
      <c r="C896" s="5">
        <v>219</v>
      </c>
      <c r="D896" s="5">
        <v>219</v>
      </c>
      <c r="E896" s="5">
        <v>1</v>
      </c>
      <c r="F896" s="6">
        <v>55.186100000000003</v>
      </c>
      <c r="G896" s="7">
        <v>1.31906E-6</v>
      </c>
      <c r="H896" s="5">
        <v>55.186</v>
      </c>
      <c r="I896" s="5" t="s">
        <v>11</v>
      </c>
      <c r="J896" s="5">
        <v>1</v>
      </c>
      <c r="K896" s="5" t="s">
        <v>2</v>
      </c>
      <c r="L896" s="5" t="s">
        <v>2810</v>
      </c>
      <c r="M896" s="5" t="s">
        <v>2811</v>
      </c>
      <c r="N896" s="5" t="s">
        <v>2812</v>
      </c>
      <c r="O896" s="5">
        <v>7</v>
      </c>
      <c r="P896" s="6">
        <v>823730</v>
      </c>
      <c r="Q896" s="5">
        <v>495620</v>
      </c>
      <c r="R896" s="5">
        <v>328110</v>
      </c>
      <c r="S896" s="5">
        <v>0.74863999999999997</v>
      </c>
      <c r="T896" s="5">
        <f>LOG(Table2[[#This Row],[ratio heavy to light normalized]],2)</f>
        <v>-0.41765596107650099</v>
      </c>
      <c r="U896" s="5">
        <v>0.58396088336494101</v>
      </c>
    </row>
    <row r="897" spans="1:21" x14ac:dyDescent="0.3">
      <c r="A897" s="5" t="s">
        <v>2802</v>
      </c>
      <c r="B897" s="5" t="s">
        <v>2803</v>
      </c>
      <c r="C897" s="5">
        <v>204</v>
      </c>
      <c r="D897" s="5">
        <v>204</v>
      </c>
      <c r="E897" s="5">
        <v>1</v>
      </c>
      <c r="F897" s="6">
        <v>55.549399999999999</v>
      </c>
      <c r="G897" s="5">
        <v>5.0653900000000003E-3</v>
      </c>
      <c r="H897" s="5">
        <v>55.548999999999999</v>
      </c>
      <c r="I897" s="5" t="s">
        <v>11</v>
      </c>
      <c r="J897" s="5">
        <v>1</v>
      </c>
      <c r="K897" s="5" t="s">
        <v>2</v>
      </c>
      <c r="L897" s="5" t="s">
        <v>2804</v>
      </c>
      <c r="M897" s="5" t="s">
        <v>2805</v>
      </c>
      <c r="N897" s="5" t="s">
        <v>2806</v>
      </c>
      <c r="O897" s="5">
        <v>7</v>
      </c>
      <c r="P897" s="6">
        <v>510880</v>
      </c>
      <c r="Q897" s="5">
        <v>345450</v>
      </c>
      <c r="R897" s="5">
        <v>165430</v>
      </c>
      <c r="S897" s="5">
        <v>0.74846000000000001</v>
      </c>
      <c r="T897" s="5">
        <f>LOG(Table2[[#This Row],[ratio heavy to light normalized]],2)</f>
        <v>-0.41800287859518553</v>
      </c>
      <c r="U897" s="5">
        <v>0.58335874296447399</v>
      </c>
    </row>
    <row r="898" spans="1:21" x14ac:dyDescent="0.3">
      <c r="A898" s="5" t="s">
        <v>1438</v>
      </c>
      <c r="B898" s="5" t="s">
        <v>1439</v>
      </c>
      <c r="C898" s="5">
        <v>90</v>
      </c>
      <c r="D898" s="5">
        <v>90</v>
      </c>
      <c r="E898" s="5">
        <v>1</v>
      </c>
      <c r="F898" s="6">
        <v>69.188199999999995</v>
      </c>
      <c r="G898" s="7">
        <v>5.6428499999999999E-12</v>
      </c>
      <c r="H898" s="5">
        <v>69.188000000000002</v>
      </c>
      <c r="I898" s="5" t="s">
        <v>11</v>
      </c>
      <c r="J898" s="5">
        <v>1</v>
      </c>
      <c r="K898" s="5" t="s">
        <v>2</v>
      </c>
      <c r="L898" s="5" t="s">
        <v>1440</v>
      </c>
      <c r="M898" s="5" t="s">
        <v>1441</v>
      </c>
      <c r="N898" s="5" t="s">
        <v>1442</v>
      </c>
      <c r="O898" s="5">
        <v>12</v>
      </c>
      <c r="P898" s="6">
        <v>3305800</v>
      </c>
      <c r="Q898" s="5">
        <v>1840900</v>
      </c>
      <c r="R898" s="5">
        <v>1464900</v>
      </c>
      <c r="S898" s="5">
        <v>0.74782999999999999</v>
      </c>
      <c r="T898" s="5">
        <f>LOG(Table2[[#This Row],[ratio heavy to light normalized]],2)</f>
        <v>-0.41921774727634847</v>
      </c>
      <c r="U898" s="5">
        <v>0.27620401129847699</v>
      </c>
    </row>
    <row r="899" spans="1:21" x14ac:dyDescent="0.3">
      <c r="A899" s="5" t="s">
        <v>1082</v>
      </c>
      <c r="B899" s="5" t="s">
        <v>1083</v>
      </c>
      <c r="C899" s="5">
        <v>8</v>
      </c>
      <c r="D899" s="5">
        <v>8</v>
      </c>
      <c r="E899" s="5">
        <v>1</v>
      </c>
      <c r="F899" s="6">
        <v>49.058199999999999</v>
      </c>
      <c r="G899" s="5">
        <v>8.76197E-4</v>
      </c>
      <c r="H899" s="5">
        <v>49.058</v>
      </c>
      <c r="I899" s="5"/>
      <c r="J899" s="5">
        <v>1</v>
      </c>
      <c r="K899" s="5" t="s">
        <v>2</v>
      </c>
      <c r="L899" s="5" t="s">
        <v>2794</v>
      </c>
      <c r="M899" s="5" t="s">
        <v>2795</v>
      </c>
      <c r="N899" s="5" t="s">
        <v>2796</v>
      </c>
      <c r="O899" s="5">
        <v>5</v>
      </c>
      <c r="P899" s="6">
        <v>399050</v>
      </c>
      <c r="Q899" s="5">
        <v>200870</v>
      </c>
      <c r="R899" s="5">
        <v>198170</v>
      </c>
      <c r="S899" s="5">
        <v>0.74777000000000005</v>
      </c>
      <c r="T899" s="5">
        <f>LOG(Table2[[#This Row],[ratio heavy to light normalized]],2)</f>
        <v>-0.41933350242812656</v>
      </c>
      <c r="U899" s="5">
        <v>0.58105188388518003</v>
      </c>
    </row>
    <row r="900" spans="1:21" x14ac:dyDescent="0.3">
      <c r="A900" s="5" t="s">
        <v>2786</v>
      </c>
      <c r="B900" s="5" t="s">
        <v>2787</v>
      </c>
      <c r="C900" s="5">
        <v>206</v>
      </c>
      <c r="D900" s="5">
        <v>206</v>
      </c>
      <c r="E900" s="5">
        <v>1</v>
      </c>
      <c r="F900" s="6">
        <v>52.278300000000002</v>
      </c>
      <c r="G900" s="5">
        <v>1.1612300000000001E-2</v>
      </c>
      <c r="H900" s="5">
        <v>52.277999999999999</v>
      </c>
      <c r="I900" s="5" t="s">
        <v>11</v>
      </c>
      <c r="J900" s="5">
        <v>1</v>
      </c>
      <c r="K900" s="5" t="s">
        <v>2</v>
      </c>
      <c r="L900" s="5" t="s">
        <v>2788</v>
      </c>
      <c r="M900" s="5" t="s">
        <v>2789</v>
      </c>
      <c r="N900" s="5" t="s">
        <v>2790</v>
      </c>
      <c r="O900" s="5">
        <v>6</v>
      </c>
      <c r="P900" s="6">
        <v>789150</v>
      </c>
      <c r="Q900" s="5">
        <v>535930</v>
      </c>
      <c r="R900" s="5">
        <v>253220</v>
      </c>
      <c r="S900" s="5">
        <v>0.74717999999999996</v>
      </c>
      <c r="T900" s="5">
        <f>LOG(Table2[[#This Row],[ratio heavy to light normalized]],2)</f>
        <v>-0.4204722563908917</v>
      </c>
      <c r="U900" s="5">
        <v>0.57908105985497205</v>
      </c>
    </row>
    <row r="901" spans="1:21" x14ac:dyDescent="0.3">
      <c r="A901" s="5" t="s">
        <v>1090</v>
      </c>
      <c r="B901" s="5" t="s">
        <v>1091</v>
      </c>
      <c r="C901" s="5">
        <v>188</v>
      </c>
      <c r="D901" s="5">
        <v>188</v>
      </c>
      <c r="E901" s="5">
        <v>1</v>
      </c>
      <c r="F901" s="6">
        <v>107.60899999999999</v>
      </c>
      <c r="G901" s="7">
        <v>1.5239399999999999E-26</v>
      </c>
      <c r="H901" s="5">
        <v>107.61</v>
      </c>
      <c r="I901" s="5"/>
      <c r="J901" s="5">
        <v>1</v>
      </c>
      <c r="K901" s="5" t="s">
        <v>2</v>
      </c>
      <c r="L901" s="5" t="s">
        <v>2119</v>
      </c>
      <c r="M901" s="5" t="s">
        <v>2120</v>
      </c>
      <c r="N901" s="5" t="s">
        <v>2121</v>
      </c>
      <c r="O901" s="5">
        <v>12</v>
      </c>
      <c r="P901" s="6">
        <v>2654700</v>
      </c>
      <c r="Q901" s="5">
        <v>1616200</v>
      </c>
      <c r="R901" s="5">
        <v>1038500</v>
      </c>
      <c r="S901" s="5">
        <v>0.747</v>
      </c>
      <c r="T901" s="5">
        <f>LOG(Table2[[#This Row],[ratio heavy to light normalized]],2)</f>
        <v>-0.42081985187284998</v>
      </c>
      <c r="U901" s="5">
        <v>0.43990460864930298</v>
      </c>
    </row>
    <row r="902" spans="1:21" x14ac:dyDescent="0.3">
      <c r="A902" s="5" t="s">
        <v>1131</v>
      </c>
      <c r="B902" s="5" t="s">
        <v>1132</v>
      </c>
      <c r="C902" s="5">
        <v>30</v>
      </c>
      <c r="D902" s="5">
        <v>30</v>
      </c>
      <c r="E902" s="5">
        <v>1</v>
      </c>
      <c r="F902" s="6">
        <v>101.64400000000001</v>
      </c>
      <c r="G902" s="7">
        <v>2.4359599999999999E-14</v>
      </c>
      <c r="H902" s="5">
        <v>101.64</v>
      </c>
      <c r="I902" s="5" t="s">
        <v>11</v>
      </c>
      <c r="J902" s="5">
        <v>1</v>
      </c>
      <c r="K902" s="5" t="s">
        <v>2</v>
      </c>
      <c r="L902" s="5" t="s">
        <v>2116</v>
      </c>
      <c r="M902" s="5" t="s">
        <v>2117</v>
      </c>
      <c r="N902" s="5" t="s">
        <v>2118</v>
      </c>
      <c r="O902" s="5">
        <v>2</v>
      </c>
      <c r="P902" s="6">
        <v>1637000</v>
      </c>
      <c r="Q902" s="5">
        <v>870880</v>
      </c>
      <c r="R902" s="5">
        <v>766140</v>
      </c>
      <c r="S902" s="5">
        <v>0.74682000000000004</v>
      </c>
      <c r="T902" s="5">
        <f>LOG(Table2[[#This Row],[ratio heavy to light normalized]],2)</f>
        <v>-0.42116753112284899</v>
      </c>
      <c r="U902" s="5">
        <v>0.43937857106558897</v>
      </c>
    </row>
    <row r="903" spans="1:21" x14ac:dyDescent="0.3">
      <c r="A903" s="5" t="s">
        <v>1360</v>
      </c>
      <c r="B903" s="5" t="s">
        <v>1361</v>
      </c>
      <c r="C903" s="5">
        <v>119</v>
      </c>
      <c r="D903" s="5">
        <v>119</v>
      </c>
      <c r="E903" s="5">
        <v>1</v>
      </c>
      <c r="F903" s="6">
        <v>124.922</v>
      </c>
      <c r="G903" s="7">
        <v>5.43174E-26</v>
      </c>
      <c r="H903" s="5">
        <v>124.92</v>
      </c>
      <c r="I903" s="5" t="s">
        <v>11</v>
      </c>
      <c r="J903" s="5">
        <v>1</v>
      </c>
      <c r="K903" s="5" t="s">
        <v>2</v>
      </c>
      <c r="L903" s="5" t="s">
        <v>2107</v>
      </c>
      <c r="M903" s="5" t="s">
        <v>2108</v>
      </c>
      <c r="N903" s="5" t="s">
        <v>2109</v>
      </c>
      <c r="O903" s="5">
        <v>4</v>
      </c>
      <c r="P903" s="6">
        <v>2252000</v>
      </c>
      <c r="Q903" s="5">
        <v>1260600</v>
      </c>
      <c r="R903" s="5">
        <v>991380</v>
      </c>
      <c r="S903" s="5">
        <v>0.74541000000000002</v>
      </c>
      <c r="T903" s="5">
        <f>LOG(Table2[[#This Row],[ratio heavy to light normalized]],2)</f>
        <v>-0.42389392130807402</v>
      </c>
      <c r="U903" s="5">
        <v>0.43526609193904098</v>
      </c>
    </row>
    <row r="904" spans="1:21" x14ac:dyDescent="0.3">
      <c r="A904" s="5" t="s">
        <v>2737</v>
      </c>
      <c r="B904" s="5" t="s">
        <v>2738</v>
      </c>
      <c r="C904" s="5">
        <v>33</v>
      </c>
      <c r="D904" s="5">
        <v>33</v>
      </c>
      <c r="E904" s="5">
        <v>1</v>
      </c>
      <c r="F904" s="6">
        <v>114.292</v>
      </c>
      <c r="G904" s="7">
        <v>9.6995999999999994E-34</v>
      </c>
      <c r="H904" s="5">
        <v>114.29</v>
      </c>
      <c r="I904" s="5"/>
      <c r="J904" s="5">
        <v>1</v>
      </c>
      <c r="K904" s="5" t="s">
        <v>2</v>
      </c>
      <c r="L904" s="5" t="s">
        <v>2739</v>
      </c>
      <c r="M904" s="5" t="s">
        <v>2740</v>
      </c>
      <c r="N904" s="5" t="s">
        <v>2741</v>
      </c>
      <c r="O904" s="5">
        <v>11</v>
      </c>
      <c r="P904" s="6">
        <v>924350</v>
      </c>
      <c r="Q904" s="5">
        <v>485140</v>
      </c>
      <c r="R904" s="5">
        <v>439200</v>
      </c>
      <c r="S904" s="5">
        <v>0.74475999999999998</v>
      </c>
      <c r="T904" s="5">
        <f>LOG(Table2[[#This Row],[ratio heavy to light normalized]],2)</f>
        <v>-0.4251525050079889</v>
      </c>
      <c r="U904" s="5">
        <v>0.571014168545806</v>
      </c>
    </row>
    <row r="905" spans="1:21" x14ac:dyDescent="0.3">
      <c r="A905" s="5" t="s">
        <v>1278</v>
      </c>
      <c r="B905" s="5" t="s">
        <v>1279</v>
      </c>
      <c r="C905" s="5">
        <v>366</v>
      </c>
      <c r="D905" s="5">
        <v>366</v>
      </c>
      <c r="E905" s="5">
        <v>1</v>
      </c>
      <c r="F905" s="6">
        <v>60.972900000000003</v>
      </c>
      <c r="G905" s="5">
        <v>2.7371900000000001E-4</v>
      </c>
      <c r="H905" s="5">
        <v>60.972999999999999</v>
      </c>
      <c r="I905" s="5" t="s">
        <v>11</v>
      </c>
      <c r="J905" s="5">
        <v>1</v>
      </c>
      <c r="K905" s="5" t="s">
        <v>2</v>
      </c>
      <c r="L905" s="5" t="s">
        <v>2721</v>
      </c>
      <c r="M905" s="5" t="s">
        <v>2722</v>
      </c>
      <c r="N905" s="5" t="s">
        <v>2723</v>
      </c>
      <c r="O905" s="5">
        <v>5</v>
      </c>
      <c r="P905" s="6">
        <v>969120</v>
      </c>
      <c r="Q905" s="5">
        <v>565660</v>
      </c>
      <c r="R905" s="5">
        <v>403460</v>
      </c>
      <c r="S905" s="5">
        <v>0.74348999999999998</v>
      </c>
      <c r="T905" s="5">
        <f>LOG(Table2[[#This Row],[ratio heavy to light normalized]],2)</f>
        <v>-0.42761475684293043</v>
      </c>
      <c r="U905" s="5">
        <v>0.56679180876442903</v>
      </c>
    </row>
    <row r="906" spans="1:21" x14ac:dyDescent="0.3">
      <c r="A906" s="5" t="s">
        <v>2094</v>
      </c>
      <c r="B906" s="5" t="s">
        <v>2095</v>
      </c>
      <c r="C906" s="5">
        <v>173</v>
      </c>
      <c r="D906" s="5">
        <v>173</v>
      </c>
      <c r="E906" s="5">
        <v>1</v>
      </c>
      <c r="F906" s="6">
        <v>96.142899999999997</v>
      </c>
      <c r="G906" s="7">
        <v>3.8466799999999998E-11</v>
      </c>
      <c r="H906" s="5">
        <v>96.143000000000001</v>
      </c>
      <c r="I906" s="5" t="s">
        <v>11</v>
      </c>
      <c r="J906" s="5">
        <v>1</v>
      </c>
      <c r="K906" s="5" t="s">
        <v>2</v>
      </c>
      <c r="L906" s="5" t="s">
        <v>2096</v>
      </c>
      <c r="M906" s="5" t="s">
        <v>2097</v>
      </c>
      <c r="N906" s="5" t="s">
        <v>2098</v>
      </c>
      <c r="O906" s="5">
        <v>6</v>
      </c>
      <c r="P906" s="6">
        <v>2504100</v>
      </c>
      <c r="Q906" s="5">
        <v>1355200</v>
      </c>
      <c r="R906" s="5">
        <v>1148900</v>
      </c>
      <c r="S906" s="5">
        <v>0.74280000000000002</v>
      </c>
      <c r="T906" s="5">
        <f>LOG(Table2[[#This Row],[ratio heavy to light normalized]],2)</f>
        <v>-0.42895427961402849</v>
      </c>
      <c r="U906" s="5">
        <v>0.42769222663935702</v>
      </c>
    </row>
    <row r="907" spans="1:21" x14ac:dyDescent="0.3">
      <c r="A907" s="5" t="s">
        <v>200</v>
      </c>
      <c r="B907" s="5" t="s">
        <v>201</v>
      </c>
      <c r="C907" s="5">
        <v>10</v>
      </c>
      <c r="D907" s="5">
        <v>10</v>
      </c>
      <c r="E907" s="5">
        <v>1</v>
      </c>
      <c r="F907" s="6">
        <v>50.950200000000002</v>
      </c>
      <c r="G907" s="5">
        <v>4.2486299999999998E-3</v>
      </c>
      <c r="H907" s="5">
        <v>50.95</v>
      </c>
      <c r="I907" s="5"/>
      <c r="J907" s="5">
        <v>1</v>
      </c>
      <c r="K907" s="5" t="s">
        <v>2</v>
      </c>
      <c r="L907" s="5" t="s">
        <v>2091</v>
      </c>
      <c r="M907" s="5" t="s">
        <v>2092</v>
      </c>
      <c r="N907" s="5" t="s">
        <v>2093</v>
      </c>
      <c r="O907" s="5">
        <v>6</v>
      </c>
      <c r="P907" s="6">
        <v>2449900</v>
      </c>
      <c r="Q907" s="5">
        <v>1528300</v>
      </c>
      <c r="R907" s="5">
        <v>921600</v>
      </c>
      <c r="S907" s="5">
        <v>0.74278</v>
      </c>
      <c r="T907" s="5">
        <f>LOG(Table2[[#This Row],[ratio heavy to light normalized]],2)</f>
        <v>-0.42899312491461083</v>
      </c>
      <c r="U907" s="5">
        <v>0.427634385058481</v>
      </c>
    </row>
    <row r="908" spans="1:21" x14ac:dyDescent="0.3">
      <c r="A908" s="5" t="s">
        <v>1009</v>
      </c>
      <c r="B908" s="5" t="s">
        <v>1010</v>
      </c>
      <c r="C908" s="5">
        <v>176</v>
      </c>
      <c r="D908" s="5">
        <v>176</v>
      </c>
      <c r="E908" s="5">
        <v>1</v>
      </c>
      <c r="F908" s="6">
        <v>65.500500000000002</v>
      </c>
      <c r="G908" s="7">
        <v>7.4352100000000003E-5</v>
      </c>
      <c r="H908" s="5">
        <v>65.5</v>
      </c>
      <c r="I908" s="5" t="s">
        <v>11</v>
      </c>
      <c r="J908" s="5">
        <v>1</v>
      </c>
      <c r="K908" s="5" t="s">
        <v>2</v>
      </c>
      <c r="L908" s="5" t="s">
        <v>1349</v>
      </c>
      <c r="M908" s="5" t="s">
        <v>1350</v>
      </c>
      <c r="N908" s="5" t="s">
        <v>1351</v>
      </c>
      <c r="O908" s="5">
        <v>8</v>
      </c>
      <c r="P908" s="6">
        <v>15300000</v>
      </c>
      <c r="Q908" s="5">
        <v>8269100</v>
      </c>
      <c r="R908" s="5">
        <v>7031300</v>
      </c>
      <c r="S908" s="5">
        <v>0.74092000000000002</v>
      </c>
      <c r="T908" s="5">
        <f>LOG(Table2[[#This Row],[ratio heavy to light normalized]],2)</f>
        <v>-0.43261031731439292</v>
      </c>
      <c r="U908" s="5">
        <v>0.25671020821312701</v>
      </c>
    </row>
    <row r="909" spans="1:21" x14ac:dyDescent="0.3">
      <c r="A909" s="5" t="s">
        <v>1331</v>
      </c>
      <c r="B909" s="5" t="s">
        <v>1332</v>
      </c>
      <c r="C909" s="5">
        <v>37</v>
      </c>
      <c r="D909" s="5">
        <v>37</v>
      </c>
      <c r="E909" s="5">
        <v>1</v>
      </c>
      <c r="F909" s="6">
        <v>53.474899999999998</v>
      </c>
      <c r="G909" s="7">
        <v>3.1816599999999998E-8</v>
      </c>
      <c r="H909" s="5">
        <v>53.475000000000001</v>
      </c>
      <c r="I909" s="5" t="s">
        <v>11</v>
      </c>
      <c r="J909" s="5">
        <v>1</v>
      </c>
      <c r="K909" s="5" t="s">
        <v>2</v>
      </c>
      <c r="L909" s="5" t="s">
        <v>1333</v>
      </c>
      <c r="M909" s="5" t="s">
        <v>1334</v>
      </c>
      <c r="N909" s="5" t="s">
        <v>1335</v>
      </c>
      <c r="O909" s="5">
        <v>8</v>
      </c>
      <c r="P909" s="6">
        <v>9517800</v>
      </c>
      <c r="Q909" s="5">
        <v>3730600</v>
      </c>
      <c r="R909" s="5">
        <v>5787200</v>
      </c>
      <c r="S909" s="5">
        <v>0.74</v>
      </c>
      <c r="T909" s="5">
        <f>LOG(Table2[[#This Row],[ratio heavy to light normalized]],2)</f>
        <v>-0.43440282414577491</v>
      </c>
      <c r="U909" s="5">
        <v>0.25417542907733698</v>
      </c>
    </row>
    <row r="910" spans="1:21" x14ac:dyDescent="0.3">
      <c r="A910" s="5" t="s">
        <v>2648</v>
      </c>
      <c r="B910" s="5" t="s">
        <v>2649</v>
      </c>
      <c r="C910" s="5">
        <v>85</v>
      </c>
      <c r="D910" s="5">
        <v>85</v>
      </c>
      <c r="E910" s="5">
        <v>1</v>
      </c>
      <c r="F910" s="6">
        <v>73.233199999999997</v>
      </c>
      <c r="G910" s="7">
        <v>5.92823E-5</v>
      </c>
      <c r="H910" s="5">
        <v>73.233000000000004</v>
      </c>
      <c r="I910" s="5"/>
      <c r="J910" s="5">
        <v>1</v>
      </c>
      <c r="K910" s="5" t="s">
        <v>2</v>
      </c>
      <c r="L910" s="5" t="s">
        <v>2650</v>
      </c>
      <c r="M910" s="5" t="s">
        <v>2651</v>
      </c>
      <c r="N910" s="5" t="s">
        <v>2652</v>
      </c>
      <c r="O910" s="5">
        <v>6</v>
      </c>
      <c r="P910" s="6">
        <v>625570</v>
      </c>
      <c r="Q910" s="5">
        <v>332020</v>
      </c>
      <c r="R910" s="5">
        <v>293550</v>
      </c>
      <c r="S910" s="5">
        <v>0.73980999999999997</v>
      </c>
      <c r="T910" s="5">
        <f>LOG(Table2[[#This Row],[ratio heavy to light normalized]],2)</f>
        <v>-0.43477329340774129</v>
      </c>
      <c r="U910" s="5">
        <v>0.55460182807511205</v>
      </c>
    </row>
    <row r="911" spans="1:21" x14ac:dyDescent="0.3">
      <c r="A911" s="5" t="s">
        <v>2635</v>
      </c>
      <c r="B911" s="5" t="s">
        <v>2636</v>
      </c>
      <c r="C911" s="5">
        <v>115</v>
      </c>
      <c r="D911" s="5">
        <v>115</v>
      </c>
      <c r="E911" s="5">
        <v>1</v>
      </c>
      <c r="F911" s="6">
        <v>66.621300000000005</v>
      </c>
      <c r="G911" s="5">
        <v>2.0339699999999999E-4</v>
      </c>
      <c r="H911" s="5">
        <v>66.620999999999995</v>
      </c>
      <c r="I911" s="5"/>
      <c r="J911" s="5">
        <v>1</v>
      </c>
      <c r="K911" s="5" t="s">
        <v>2</v>
      </c>
      <c r="L911" s="5" t="s">
        <v>2637</v>
      </c>
      <c r="M911" s="5" t="s">
        <v>2638</v>
      </c>
      <c r="N911" s="5" t="s">
        <v>2639</v>
      </c>
      <c r="O911" s="5">
        <v>7</v>
      </c>
      <c r="P911" s="6">
        <v>566350</v>
      </c>
      <c r="Q911" s="5">
        <v>366680</v>
      </c>
      <c r="R911" s="5">
        <v>199670</v>
      </c>
      <c r="S911" s="5">
        <v>0.73958999999999997</v>
      </c>
      <c r="T911" s="5">
        <f>LOG(Table2[[#This Row],[ratio heavy to light normalized]],2)</f>
        <v>-0.43520237670006956</v>
      </c>
      <c r="U911" s="5">
        <v>0.55387525216108502</v>
      </c>
    </row>
    <row r="912" spans="1:21" x14ac:dyDescent="0.3">
      <c r="A912" s="5" t="s">
        <v>2054</v>
      </c>
      <c r="B912" s="5" t="s">
        <v>2055</v>
      </c>
      <c r="C912" s="5">
        <v>506</v>
      </c>
      <c r="D912" s="5">
        <v>506</v>
      </c>
      <c r="E912" s="5">
        <v>1</v>
      </c>
      <c r="F912" s="6">
        <v>56.122399999999999</v>
      </c>
      <c r="G912" s="7">
        <v>1.3873700000000001E-7</v>
      </c>
      <c r="H912" s="5">
        <v>67.963999999999999</v>
      </c>
      <c r="I912" s="5" t="s">
        <v>11</v>
      </c>
      <c r="J912" s="5">
        <v>1</v>
      </c>
      <c r="K912" s="5" t="s">
        <v>2</v>
      </c>
      <c r="L912" s="5" t="s">
        <v>2056</v>
      </c>
      <c r="M912" s="5" t="s">
        <v>2057</v>
      </c>
      <c r="N912" s="5" t="s">
        <v>2058</v>
      </c>
      <c r="O912" s="5">
        <v>4</v>
      </c>
      <c r="P912" s="6">
        <v>1925000</v>
      </c>
      <c r="Q912" s="5">
        <v>998710</v>
      </c>
      <c r="R912" s="5">
        <v>926280</v>
      </c>
      <c r="S912" s="5">
        <v>0.73951999999999996</v>
      </c>
      <c r="T912" s="5">
        <f>LOG(Table2[[#This Row],[ratio heavy to light normalized]],2)</f>
        <v>-0.43533892996918089</v>
      </c>
      <c r="U912" s="5">
        <v>0.41824664029342001</v>
      </c>
    </row>
    <row r="913" spans="1:21" x14ac:dyDescent="0.3">
      <c r="A913" s="5" t="s">
        <v>1326</v>
      </c>
      <c r="B913" s="5" t="s">
        <v>1327</v>
      </c>
      <c r="C913" s="5">
        <v>29</v>
      </c>
      <c r="D913" s="5">
        <v>29</v>
      </c>
      <c r="E913" s="5">
        <v>0.996645</v>
      </c>
      <c r="F913" s="6">
        <v>24.728300000000001</v>
      </c>
      <c r="G913" s="5">
        <v>5.9399399999999998E-2</v>
      </c>
      <c r="H913" s="5">
        <v>37.344000000000001</v>
      </c>
      <c r="I913" s="5"/>
      <c r="J913" s="5">
        <v>1</v>
      </c>
      <c r="K913" s="5" t="s">
        <v>2</v>
      </c>
      <c r="L913" s="5" t="s">
        <v>3665</v>
      </c>
      <c r="M913" s="5" t="s">
        <v>3666</v>
      </c>
      <c r="N913" s="5" t="s">
        <v>3667</v>
      </c>
      <c r="O913" s="5">
        <v>5</v>
      </c>
      <c r="P913" s="6">
        <v>1647600</v>
      </c>
      <c r="Q913" s="5">
        <v>819230</v>
      </c>
      <c r="R913" s="5">
        <v>828400</v>
      </c>
      <c r="S913" s="5">
        <v>0.96830000000000005</v>
      </c>
      <c r="T913" s="5">
        <f>LOG(Table2[[#This Row],[ratio heavy to light normalized]],2)</f>
        <v>-4.6474000426040364E-2</v>
      </c>
      <c r="U913" s="5">
        <v>0.80398680742778805</v>
      </c>
    </row>
    <row r="914" spans="1:21" x14ac:dyDescent="0.3">
      <c r="A914" s="5" t="s">
        <v>2027</v>
      </c>
      <c r="B914" s="5" t="s">
        <v>2028</v>
      </c>
      <c r="C914" s="5">
        <v>211</v>
      </c>
      <c r="D914" s="5">
        <v>211</v>
      </c>
      <c r="E914" s="5">
        <v>1</v>
      </c>
      <c r="F914" s="6">
        <v>73.927099999999996</v>
      </c>
      <c r="G914" s="7">
        <v>3.4600200000000003E-8</v>
      </c>
      <c r="H914" s="5">
        <v>73.927000000000007</v>
      </c>
      <c r="I914" s="5" t="s">
        <v>11</v>
      </c>
      <c r="J914" s="5">
        <v>1</v>
      </c>
      <c r="K914" s="5" t="s">
        <v>2</v>
      </c>
      <c r="L914" s="5" t="s">
        <v>2029</v>
      </c>
      <c r="M914" s="5" t="s">
        <v>2030</v>
      </c>
      <c r="N914" s="5" t="s">
        <v>2031</v>
      </c>
      <c r="O914" s="5">
        <v>12</v>
      </c>
      <c r="P914" s="6">
        <v>1434200</v>
      </c>
      <c r="Q914" s="5">
        <v>818270</v>
      </c>
      <c r="R914" s="5">
        <v>615960</v>
      </c>
      <c r="S914" s="5">
        <v>0.73733000000000004</v>
      </c>
      <c r="T914" s="5">
        <f>LOG(Table2[[#This Row],[ratio heavy to light normalized]],2)</f>
        <v>-0.43961763729275838</v>
      </c>
      <c r="U914" s="5">
        <v>0.41198594870440702</v>
      </c>
    </row>
    <row r="915" spans="1:21" x14ac:dyDescent="0.3">
      <c r="A915" s="5" t="s">
        <v>818</v>
      </c>
      <c r="B915" s="5" t="s">
        <v>819</v>
      </c>
      <c r="C915" s="5">
        <v>105</v>
      </c>
      <c r="D915" s="5">
        <v>105</v>
      </c>
      <c r="E915" s="5">
        <v>1</v>
      </c>
      <c r="F915" s="6">
        <v>63.893700000000003</v>
      </c>
      <c r="G915" s="7">
        <v>1.4761499999999999E-7</v>
      </c>
      <c r="H915" s="5">
        <v>63.893999999999998</v>
      </c>
      <c r="I915" s="5"/>
      <c r="J915" s="5">
        <v>1</v>
      </c>
      <c r="K915" s="5" t="s">
        <v>2</v>
      </c>
      <c r="L915" s="5" t="s">
        <v>2032</v>
      </c>
      <c r="M915" s="5" t="s">
        <v>2033</v>
      </c>
      <c r="N915" s="5" t="s">
        <v>2034</v>
      </c>
      <c r="O915" s="5">
        <v>11</v>
      </c>
      <c r="P915" s="6">
        <v>1184800</v>
      </c>
      <c r="Q915" s="5">
        <v>634750</v>
      </c>
      <c r="R915" s="5">
        <v>550090</v>
      </c>
      <c r="S915" s="5">
        <v>0.73733000000000004</v>
      </c>
      <c r="T915" s="5">
        <f>LOG(Table2[[#This Row],[ratio heavy to light normalized]],2)</f>
        <v>-0.43961763729275838</v>
      </c>
      <c r="U915" s="5">
        <v>0.41198594870440702</v>
      </c>
    </row>
    <row r="916" spans="1:21" x14ac:dyDescent="0.3">
      <c r="A916" s="5" t="s">
        <v>2019</v>
      </c>
      <c r="B916" s="5" t="s">
        <v>2020</v>
      </c>
      <c r="C916" s="5">
        <v>348</v>
      </c>
      <c r="D916" s="5">
        <v>348</v>
      </c>
      <c r="E916" s="5">
        <v>1</v>
      </c>
      <c r="F916" s="6">
        <v>97.965500000000006</v>
      </c>
      <c r="G916" s="7">
        <v>1.1415499999999999E-14</v>
      </c>
      <c r="H916" s="5">
        <v>97.965000000000003</v>
      </c>
      <c r="I916" s="5" t="s">
        <v>11</v>
      </c>
      <c r="J916" s="5">
        <v>1</v>
      </c>
      <c r="K916" s="5" t="s">
        <v>2</v>
      </c>
      <c r="L916" s="5" t="s">
        <v>2021</v>
      </c>
      <c r="M916" s="5" t="s">
        <v>2022</v>
      </c>
      <c r="N916" s="5" t="s">
        <v>2023</v>
      </c>
      <c r="O916" s="5">
        <v>5</v>
      </c>
      <c r="P916" s="6">
        <v>1012600</v>
      </c>
      <c r="Q916" s="5">
        <v>476670</v>
      </c>
      <c r="R916" s="5">
        <v>535920</v>
      </c>
      <c r="S916" s="5">
        <v>0.73677000000000004</v>
      </c>
      <c r="T916" s="5">
        <f>LOG(Table2[[#This Row],[ratio heavy to light normalized]],2)</f>
        <v>-0.44071377630878611</v>
      </c>
      <c r="U916" s="5">
        <v>0.41039104461208498</v>
      </c>
    </row>
    <row r="917" spans="1:21" x14ac:dyDescent="0.3">
      <c r="A917" s="5" t="s">
        <v>2569</v>
      </c>
      <c r="B917" s="5" t="s">
        <v>2570</v>
      </c>
      <c r="C917" s="5">
        <v>163</v>
      </c>
      <c r="D917" s="5">
        <v>163</v>
      </c>
      <c r="E917" s="5">
        <v>1</v>
      </c>
      <c r="F917" s="6">
        <v>50.155099999999997</v>
      </c>
      <c r="G917" s="5">
        <v>8.6809300000000001E-4</v>
      </c>
      <c r="H917" s="5">
        <v>50.155000000000001</v>
      </c>
      <c r="I917" s="5" t="s">
        <v>11</v>
      </c>
      <c r="J917" s="5">
        <v>1</v>
      </c>
      <c r="K917" s="5" t="s">
        <v>2</v>
      </c>
      <c r="L917" s="5" t="s">
        <v>2571</v>
      </c>
      <c r="M917" s="5" t="s">
        <v>2572</v>
      </c>
      <c r="N917" s="5" t="s">
        <v>2573</v>
      </c>
      <c r="O917" s="5">
        <v>2</v>
      </c>
      <c r="P917" s="6">
        <v>600100</v>
      </c>
      <c r="Q917" s="5">
        <v>366850</v>
      </c>
      <c r="R917" s="5">
        <v>233240</v>
      </c>
      <c r="S917" s="5">
        <v>0.73617999999999995</v>
      </c>
      <c r="T917" s="5">
        <f>LOG(Table2[[#This Row],[ratio heavy to light normalized]],2)</f>
        <v>-0.44186953871707951</v>
      </c>
      <c r="U917" s="5">
        <v>0.54264586836022699</v>
      </c>
    </row>
    <row r="918" spans="1:21" x14ac:dyDescent="0.3">
      <c r="A918" s="5" t="s">
        <v>1978</v>
      </c>
      <c r="B918" s="5" t="s">
        <v>1979</v>
      </c>
      <c r="C918" s="5">
        <v>435</v>
      </c>
      <c r="D918" s="5">
        <v>435</v>
      </c>
      <c r="E918" s="5">
        <v>1</v>
      </c>
      <c r="F918" s="6">
        <v>56.0107</v>
      </c>
      <c r="G918" s="7">
        <v>1.3817499999999999E-5</v>
      </c>
      <c r="H918" s="5">
        <v>56.011000000000003</v>
      </c>
      <c r="I918" s="5" t="s">
        <v>11</v>
      </c>
      <c r="J918" s="5">
        <v>1</v>
      </c>
      <c r="K918" s="5" t="s">
        <v>2</v>
      </c>
      <c r="L918" s="5" t="s">
        <v>1980</v>
      </c>
      <c r="M918" s="5" t="s">
        <v>1981</v>
      </c>
      <c r="N918" s="5" t="s">
        <v>1982</v>
      </c>
      <c r="O918" s="5">
        <v>4</v>
      </c>
      <c r="P918" s="6">
        <v>2393000</v>
      </c>
      <c r="Q918" s="5">
        <v>1384000</v>
      </c>
      <c r="R918" s="5">
        <v>1009000</v>
      </c>
      <c r="S918" s="5">
        <v>0.73514999999999997</v>
      </c>
      <c r="T918" s="5">
        <f>LOG(Table2[[#This Row],[ratio heavy to light normalized]],2)</f>
        <v>-0.44388944741853681</v>
      </c>
      <c r="U918" s="5">
        <v>0.40579113734286199</v>
      </c>
    </row>
    <row r="919" spans="1:21" x14ac:dyDescent="0.3">
      <c r="A919" s="5" t="s">
        <v>1973</v>
      </c>
      <c r="B919" s="5" t="s">
        <v>1974</v>
      </c>
      <c r="C919" s="5">
        <v>787</v>
      </c>
      <c r="D919" s="5">
        <v>787</v>
      </c>
      <c r="E919" s="5">
        <v>1</v>
      </c>
      <c r="F919" s="6">
        <v>39.6462</v>
      </c>
      <c r="G919" s="5">
        <v>2.80188E-2</v>
      </c>
      <c r="H919" s="5">
        <v>39.646000000000001</v>
      </c>
      <c r="I919" s="5"/>
      <c r="J919" s="5">
        <v>1</v>
      </c>
      <c r="K919" s="5" t="s">
        <v>2</v>
      </c>
      <c r="L919" s="5" t="s">
        <v>1975</v>
      </c>
      <c r="M919" s="5" t="s">
        <v>1976</v>
      </c>
      <c r="N919" s="5" t="s">
        <v>1977</v>
      </c>
      <c r="O919" s="5">
        <v>3</v>
      </c>
      <c r="P919" s="6">
        <v>1885500</v>
      </c>
      <c r="Q919" s="5">
        <v>1012000</v>
      </c>
      <c r="R919" s="5">
        <v>873490</v>
      </c>
      <c r="S919" s="5">
        <v>0.73509999999999998</v>
      </c>
      <c r="T919" s="5">
        <f>LOG(Table2[[#This Row],[ratio heavy to light normalized]],2)</f>
        <v>-0.44398757325029636</v>
      </c>
      <c r="U919" s="5">
        <v>0.40564949593671801</v>
      </c>
    </row>
    <row r="920" spans="1:21" x14ac:dyDescent="0.3">
      <c r="A920" s="5" t="s">
        <v>1267</v>
      </c>
      <c r="B920" s="5" t="s">
        <v>1268</v>
      </c>
      <c r="C920" s="5">
        <v>291</v>
      </c>
      <c r="D920" s="5">
        <v>291</v>
      </c>
      <c r="E920" s="5">
        <v>1</v>
      </c>
      <c r="F920" s="6">
        <v>50.029400000000003</v>
      </c>
      <c r="G920" s="7">
        <v>4.9318399999999998E-7</v>
      </c>
      <c r="H920" s="5">
        <v>50.426000000000002</v>
      </c>
      <c r="I920" s="5" t="s">
        <v>11</v>
      </c>
      <c r="J920" s="5">
        <v>1</v>
      </c>
      <c r="K920" s="5" t="s">
        <v>2</v>
      </c>
      <c r="L920" s="5" t="s">
        <v>1269</v>
      </c>
      <c r="M920" s="5" t="s">
        <v>1270</v>
      </c>
      <c r="N920" s="5" t="s">
        <v>1271</v>
      </c>
      <c r="O920" s="5">
        <v>18</v>
      </c>
      <c r="P920" s="6">
        <v>8648900</v>
      </c>
      <c r="Q920" s="5">
        <v>5041900</v>
      </c>
      <c r="R920" s="5">
        <v>3607000</v>
      </c>
      <c r="S920" s="5">
        <v>0.73506000000000005</v>
      </c>
      <c r="T920" s="5">
        <f>LOG(Table2[[#This Row],[ratio heavy to light normalized]],2)</f>
        <v>-0.44406607872133314</v>
      </c>
      <c r="U920" s="5">
        <v>0.240810844008854</v>
      </c>
    </row>
    <row r="921" spans="1:21" x14ac:dyDescent="0.3">
      <c r="A921" s="5" t="s">
        <v>1960</v>
      </c>
      <c r="B921" s="5" t="s">
        <v>1961</v>
      </c>
      <c r="C921" s="5">
        <v>19</v>
      </c>
      <c r="D921" s="5">
        <v>19</v>
      </c>
      <c r="E921" s="5">
        <v>1</v>
      </c>
      <c r="F921" s="6">
        <v>67.153199999999998</v>
      </c>
      <c r="G921" s="7">
        <v>7.6551500000000007E-6</v>
      </c>
      <c r="H921" s="5">
        <v>67.153000000000006</v>
      </c>
      <c r="I921" s="5" t="s">
        <v>11</v>
      </c>
      <c r="J921" s="5">
        <v>1</v>
      </c>
      <c r="K921" s="5" t="s">
        <v>2</v>
      </c>
      <c r="L921" s="5" t="s">
        <v>1962</v>
      </c>
      <c r="M921" s="5" t="s">
        <v>1963</v>
      </c>
      <c r="N921" s="5" t="s">
        <v>1964</v>
      </c>
      <c r="O921" s="5">
        <v>7</v>
      </c>
      <c r="P921" s="6">
        <v>1548200</v>
      </c>
      <c r="Q921" s="5">
        <v>971510</v>
      </c>
      <c r="R921" s="5">
        <v>576660</v>
      </c>
      <c r="S921" s="5">
        <v>0.73446999999999996</v>
      </c>
      <c r="T921" s="5">
        <f>LOG(Table2[[#This Row],[ratio heavy to light normalized]],2)</f>
        <v>-0.4452245309065353</v>
      </c>
      <c r="U921" s="5">
        <v>0.40386652245813598</v>
      </c>
    </row>
    <row r="922" spans="1:21" x14ac:dyDescent="0.3">
      <c r="A922" s="5" t="s">
        <v>1955</v>
      </c>
      <c r="B922" s="5" t="s">
        <v>1956</v>
      </c>
      <c r="C922" s="5">
        <v>88</v>
      </c>
      <c r="D922" s="5">
        <v>88</v>
      </c>
      <c r="E922" s="5">
        <v>1</v>
      </c>
      <c r="F922" s="6">
        <v>112.129</v>
      </c>
      <c r="G922" s="7">
        <v>4.6556300000000001E-21</v>
      </c>
      <c r="H922" s="5">
        <v>112.13</v>
      </c>
      <c r="I922" s="5" t="s">
        <v>11</v>
      </c>
      <c r="J922" s="5">
        <v>1</v>
      </c>
      <c r="K922" s="5" t="s">
        <v>2</v>
      </c>
      <c r="L922" s="5" t="s">
        <v>1957</v>
      </c>
      <c r="M922" s="5" t="s">
        <v>1958</v>
      </c>
      <c r="N922" s="5" t="s">
        <v>1959</v>
      </c>
      <c r="O922" s="5">
        <v>6</v>
      </c>
      <c r="P922" s="6">
        <v>1270700</v>
      </c>
      <c r="Q922" s="5">
        <v>753870</v>
      </c>
      <c r="R922" s="5">
        <v>516850</v>
      </c>
      <c r="S922" s="5">
        <v>0.73438000000000003</v>
      </c>
      <c r="T922" s="5">
        <f>LOG(Table2[[#This Row],[ratio heavy to light normalized]],2)</f>
        <v>-0.4454013257512674</v>
      </c>
      <c r="U922" s="5">
        <v>0.40361207084615802</v>
      </c>
    </row>
    <row r="923" spans="1:21" x14ac:dyDescent="0.3">
      <c r="A923" s="5" t="s">
        <v>564</v>
      </c>
      <c r="B923" s="5" t="s">
        <v>565</v>
      </c>
      <c r="C923" s="5">
        <v>713</v>
      </c>
      <c r="D923" s="5">
        <v>713</v>
      </c>
      <c r="E923" s="5">
        <v>1</v>
      </c>
      <c r="F923" s="6">
        <v>87.913300000000007</v>
      </c>
      <c r="G923" s="7">
        <v>4.7887699999999998E-10</v>
      </c>
      <c r="H923" s="5">
        <v>87.912999999999997</v>
      </c>
      <c r="I923" s="5" t="s">
        <v>11</v>
      </c>
      <c r="J923" s="5">
        <v>1</v>
      </c>
      <c r="K923" s="5" t="s">
        <v>2</v>
      </c>
      <c r="L923" s="5" t="s">
        <v>1252</v>
      </c>
      <c r="M923" s="5" t="s">
        <v>1253</v>
      </c>
      <c r="N923" s="5" t="s">
        <v>1254</v>
      </c>
      <c r="O923" s="5">
        <v>9</v>
      </c>
      <c r="P923" s="6">
        <v>2963000</v>
      </c>
      <c r="Q923" s="5">
        <v>1777500</v>
      </c>
      <c r="R923" s="5">
        <v>1185500</v>
      </c>
      <c r="S923" s="5">
        <v>0.73421000000000003</v>
      </c>
      <c r="T923" s="5">
        <f>LOG(Table2[[#This Row],[ratio heavy to light normalized]],2)</f>
        <v>-0.44573533069212434</v>
      </c>
      <c r="U923" s="5">
        <v>0.238553293775908</v>
      </c>
    </row>
    <row r="924" spans="1:21" x14ac:dyDescent="0.3">
      <c r="A924" s="5" t="s">
        <v>1244</v>
      </c>
      <c r="B924" s="5" t="s">
        <v>1245</v>
      </c>
      <c r="C924" s="5">
        <v>43</v>
      </c>
      <c r="D924" s="5">
        <v>43</v>
      </c>
      <c r="E924" s="5">
        <v>1</v>
      </c>
      <c r="F924" s="6">
        <v>127.715</v>
      </c>
      <c r="G924" s="7">
        <v>1.0761699999999999E-36</v>
      </c>
      <c r="H924" s="5">
        <v>127.71</v>
      </c>
      <c r="I924" s="5" t="s">
        <v>11</v>
      </c>
      <c r="J924" s="5">
        <v>1</v>
      </c>
      <c r="K924" s="5" t="s">
        <v>2</v>
      </c>
      <c r="L924" s="5" t="s">
        <v>1246</v>
      </c>
      <c r="M924" s="5" t="s">
        <v>1247</v>
      </c>
      <c r="N924" s="5" t="s">
        <v>1248</v>
      </c>
      <c r="O924" s="5">
        <v>6</v>
      </c>
      <c r="P924" s="6">
        <v>17635000</v>
      </c>
      <c r="Q924" s="5">
        <v>10629000</v>
      </c>
      <c r="R924" s="5">
        <v>7006800</v>
      </c>
      <c r="S924" s="5">
        <v>0.73389000000000004</v>
      </c>
      <c r="T924" s="5">
        <f>LOG(Table2[[#This Row],[ratio heavy to light normalized]],2)</f>
        <v>-0.4463642557250182</v>
      </c>
      <c r="U924" s="5">
        <v>0.23770660156839701</v>
      </c>
    </row>
    <row r="925" spans="1:21" x14ac:dyDescent="0.3">
      <c r="A925" s="5" t="s">
        <v>2508</v>
      </c>
      <c r="B925" s="5" t="s">
        <v>2509</v>
      </c>
      <c r="C925" s="5">
        <v>216</v>
      </c>
      <c r="D925" s="5">
        <v>216</v>
      </c>
      <c r="E925" s="5">
        <v>1</v>
      </c>
      <c r="F925" s="6">
        <v>64.757400000000004</v>
      </c>
      <c r="G925" s="7">
        <v>1.1943599999999999E-6</v>
      </c>
      <c r="H925" s="5">
        <v>64.757000000000005</v>
      </c>
      <c r="I925" s="5"/>
      <c r="J925" s="5">
        <v>1</v>
      </c>
      <c r="K925" s="5" t="s">
        <v>2</v>
      </c>
      <c r="L925" s="5" t="s">
        <v>2510</v>
      </c>
      <c r="M925" s="5" t="s">
        <v>2511</v>
      </c>
      <c r="N925" s="5" t="s">
        <v>2512</v>
      </c>
      <c r="O925" s="5">
        <v>3</v>
      </c>
      <c r="P925" s="6">
        <v>806880</v>
      </c>
      <c r="Q925" s="5">
        <v>497200</v>
      </c>
      <c r="R925" s="5">
        <v>309680</v>
      </c>
      <c r="S925" s="5">
        <v>0.73192000000000002</v>
      </c>
      <c r="T925" s="5">
        <f>LOG(Table2[[#This Row],[ratio heavy to light normalized]],2)</f>
        <v>-0.45024212658377438</v>
      </c>
      <c r="U925" s="5">
        <v>0.52870666716743098</v>
      </c>
    </row>
    <row r="926" spans="1:21" x14ac:dyDescent="0.3">
      <c r="A926" s="5" t="s">
        <v>1303</v>
      </c>
      <c r="B926" s="5" t="s">
        <v>1304</v>
      </c>
      <c r="C926" s="5">
        <v>255</v>
      </c>
      <c r="D926" s="5">
        <v>255</v>
      </c>
      <c r="E926" s="5">
        <v>1</v>
      </c>
      <c r="F926" s="6">
        <v>19.322199999999999</v>
      </c>
      <c r="G926" s="5">
        <v>0.32518399999999997</v>
      </c>
      <c r="H926" s="5">
        <v>19.321999999999999</v>
      </c>
      <c r="I926" s="5"/>
      <c r="J926" s="5">
        <v>1</v>
      </c>
      <c r="K926" s="5" t="s">
        <v>2</v>
      </c>
      <c r="L926" s="5" t="s">
        <v>3710</v>
      </c>
      <c r="M926" s="5" t="s">
        <v>3711</v>
      </c>
      <c r="N926" s="5" t="s">
        <v>3712</v>
      </c>
      <c r="O926" s="5">
        <v>8</v>
      </c>
      <c r="P926" s="6">
        <v>768470</v>
      </c>
      <c r="Q926" s="5">
        <v>418500</v>
      </c>
      <c r="R926" s="5">
        <v>349970</v>
      </c>
      <c r="S926" s="5">
        <v>0.81616</v>
      </c>
      <c r="T926" s="5">
        <f>LOG(Table2[[#This Row],[ratio heavy to light normalized]],2)</f>
        <v>-0.29307608903986893</v>
      </c>
      <c r="U926" s="5">
        <v>0.81600369768053405</v>
      </c>
    </row>
    <row r="927" spans="1:21" x14ac:dyDescent="0.3">
      <c r="A927" s="5" t="s">
        <v>2490</v>
      </c>
      <c r="B927" s="5" t="s">
        <v>2491</v>
      </c>
      <c r="C927" s="5">
        <v>446</v>
      </c>
      <c r="D927" s="5">
        <v>446</v>
      </c>
      <c r="E927" s="5">
        <v>1</v>
      </c>
      <c r="F927" s="6">
        <v>62.714300000000001</v>
      </c>
      <c r="G927" s="7">
        <v>4.1429300000000002E-6</v>
      </c>
      <c r="H927" s="5">
        <v>62.713999999999999</v>
      </c>
      <c r="I927" s="5" t="s">
        <v>11</v>
      </c>
      <c r="J927" s="5">
        <v>1</v>
      </c>
      <c r="K927" s="5" t="s">
        <v>2</v>
      </c>
      <c r="L927" s="5" t="s">
        <v>2492</v>
      </c>
      <c r="M927" s="5" t="s">
        <v>2493</v>
      </c>
      <c r="N927" s="5" t="s">
        <v>2494</v>
      </c>
      <c r="O927" s="5">
        <v>4</v>
      </c>
      <c r="P927" s="6">
        <v>662470</v>
      </c>
      <c r="Q927" s="5">
        <v>433840</v>
      </c>
      <c r="R927" s="5">
        <v>228630</v>
      </c>
      <c r="S927" s="5">
        <v>0.73163</v>
      </c>
      <c r="T927" s="5">
        <f>LOG(Table2[[#This Row],[ratio heavy to light normalized]],2)</f>
        <v>-0.45081386184028555</v>
      </c>
      <c r="U927" s="5">
        <v>0.52776149852159604</v>
      </c>
    </row>
    <row r="928" spans="1:21" x14ac:dyDescent="0.3">
      <c r="A928" s="5" t="s">
        <v>2463</v>
      </c>
      <c r="B928" s="5" t="s">
        <v>2464</v>
      </c>
      <c r="C928" s="5">
        <v>194</v>
      </c>
      <c r="D928" s="5">
        <v>194</v>
      </c>
      <c r="E928" s="5">
        <v>1</v>
      </c>
      <c r="F928" s="6">
        <v>78.934200000000004</v>
      </c>
      <c r="G928" s="7">
        <v>7.8395999999999999E-7</v>
      </c>
      <c r="H928" s="5">
        <v>78.933999999999997</v>
      </c>
      <c r="I928" s="5" t="s">
        <v>11</v>
      </c>
      <c r="J928" s="5">
        <v>1</v>
      </c>
      <c r="K928" s="5" t="s">
        <v>2</v>
      </c>
      <c r="L928" s="5" t="s">
        <v>2465</v>
      </c>
      <c r="M928" s="5" t="s">
        <v>2466</v>
      </c>
      <c r="N928" s="5" t="s">
        <v>2467</v>
      </c>
      <c r="O928" s="5">
        <v>7</v>
      </c>
      <c r="P928" s="6">
        <v>861770</v>
      </c>
      <c r="Q928" s="5">
        <v>475790</v>
      </c>
      <c r="R928" s="5">
        <v>385980</v>
      </c>
      <c r="S928" s="5">
        <v>0.73079000000000005</v>
      </c>
      <c r="T928" s="5">
        <f>LOG(Table2[[#This Row],[ratio heavy to light normalized]],2)</f>
        <v>-0.4524712023684801</v>
      </c>
      <c r="U928" s="5">
        <v>0.52502652909735004</v>
      </c>
    </row>
    <row r="929" spans="1:21" x14ac:dyDescent="0.3">
      <c r="A929" s="5" t="s">
        <v>1919</v>
      </c>
      <c r="B929" s="5" t="s">
        <v>1920</v>
      </c>
      <c r="C929" s="5">
        <v>134</v>
      </c>
      <c r="D929" s="5">
        <v>134</v>
      </c>
      <c r="E929" s="5">
        <v>1</v>
      </c>
      <c r="F929" s="6">
        <v>38.782499999999999</v>
      </c>
      <c r="G929" s="5">
        <v>1.2397099999999999E-2</v>
      </c>
      <c r="H929" s="5">
        <v>50.451999999999998</v>
      </c>
      <c r="I929" s="5" t="s">
        <v>11</v>
      </c>
      <c r="J929" s="5">
        <v>1</v>
      </c>
      <c r="K929" s="5" t="s">
        <v>2</v>
      </c>
      <c r="L929" s="5" t="s">
        <v>1921</v>
      </c>
      <c r="M929" s="5" t="s">
        <v>1922</v>
      </c>
      <c r="N929" s="5" t="s">
        <v>1923</v>
      </c>
      <c r="O929" s="5">
        <v>2</v>
      </c>
      <c r="P929" s="6">
        <v>1212300</v>
      </c>
      <c r="Q929" s="5">
        <v>703540</v>
      </c>
      <c r="R929" s="5">
        <v>508770</v>
      </c>
      <c r="S929" s="5">
        <v>0.73041999999999996</v>
      </c>
      <c r="T929" s="5">
        <f>LOG(Table2[[#This Row],[ratio heavy to light normalized]],2)</f>
        <v>-0.4532018258607059</v>
      </c>
      <c r="U929" s="5">
        <v>0.392481015244316</v>
      </c>
    </row>
    <row r="930" spans="1:21" x14ac:dyDescent="0.3">
      <c r="A930" s="5" t="s">
        <v>1201</v>
      </c>
      <c r="B930" s="5" t="s">
        <v>1202</v>
      </c>
      <c r="C930" s="5">
        <v>497</v>
      </c>
      <c r="D930" s="5">
        <v>497</v>
      </c>
      <c r="E930" s="5">
        <v>1</v>
      </c>
      <c r="F930" s="6">
        <v>82.286799999999999</v>
      </c>
      <c r="G930" s="7">
        <v>3.0740699999999999E-7</v>
      </c>
      <c r="H930" s="5">
        <v>82.287000000000006</v>
      </c>
      <c r="I930" s="5"/>
      <c r="J930" s="5">
        <v>1</v>
      </c>
      <c r="K930" s="5" t="s">
        <v>2</v>
      </c>
      <c r="L930" s="5" t="s">
        <v>1203</v>
      </c>
      <c r="M930" s="5" t="s">
        <v>1204</v>
      </c>
      <c r="N930" s="5" t="s">
        <v>1205</v>
      </c>
      <c r="O930" s="5">
        <v>7</v>
      </c>
      <c r="P930" s="6">
        <v>4096700</v>
      </c>
      <c r="Q930" s="5">
        <v>2345800</v>
      </c>
      <c r="R930" s="5">
        <v>1751000</v>
      </c>
      <c r="S930" s="5">
        <v>0.72936999999999996</v>
      </c>
      <c r="T930" s="5">
        <f>LOG(Table2[[#This Row],[ratio heavy to light normalized]],2)</f>
        <v>-0.45527723404157294</v>
      </c>
      <c r="U930" s="5">
        <v>0.22593516204540201</v>
      </c>
    </row>
    <row r="931" spans="1:21" x14ac:dyDescent="0.3">
      <c r="A931" s="5" t="s">
        <v>331</v>
      </c>
      <c r="B931" s="5" t="s">
        <v>332</v>
      </c>
      <c r="C931" s="5">
        <v>74</v>
      </c>
      <c r="D931" s="5">
        <v>74</v>
      </c>
      <c r="E931" s="5">
        <v>1</v>
      </c>
      <c r="F931" s="6">
        <v>62.055199999999999</v>
      </c>
      <c r="G931" s="7">
        <v>1.9822299999999998E-6</v>
      </c>
      <c r="H931" s="5">
        <v>62.055</v>
      </c>
      <c r="I931" s="5" t="s">
        <v>11</v>
      </c>
      <c r="J931" s="5">
        <v>1</v>
      </c>
      <c r="K931" s="5" t="s">
        <v>2</v>
      </c>
      <c r="L931" s="5" t="s">
        <v>1889</v>
      </c>
      <c r="M931" s="5" t="s">
        <v>1890</v>
      </c>
      <c r="N931" s="5" t="s">
        <v>1891</v>
      </c>
      <c r="O931" s="5">
        <v>11</v>
      </c>
      <c r="P931" s="6">
        <v>1453800</v>
      </c>
      <c r="Q931" s="5">
        <v>1254300</v>
      </c>
      <c r="R931" s="5">
        <v>199520</v>
      </c>
      <c r="S931" s="5">
        <v>0.72751999999999994</v>
      </c>
      <c r="T931" s="5">
        <f>LOG(Table2[[#This Row],[ratio heavy to light normalized]],2)</f>
        <v>-0.45894118569227205</v>
      </c>
      <c r="U931" s="5">
        <v>0.38441123481781703</v>
      </c>
    </row>
    <row r="932" spans="1:21" x14ac:dyDescent="0.3">
      <c r="A932" s="5" t="s">
        <v>323</v>
      </c>
      <c r="B932" s="5" t="s">
        <v>324</v>
      </c>
      <c r="C932" s="5">
        <v>496</v>
      </c>
      <c r="D932" s="5">
        <v>496</v>
      </c>
      <c r="E932" s="5">
        <v>1</v>
      </c>
      <c r="F932" s="6">
        <v>53.251899999999999</v>
      </c>
      <c r="G932" s="5">
        <v>5.25381E-4</v>
      </c>
      <c r="H932" s="5">
        <v>53.252000000000002</v>
      </c>
      <c r="I932" s="5"/>
      <c r="J932" s="5">
        <v>1</v>
      </c>
      <c r="K932" s="5" t="s">
        <v>2</v>
      </c>
      <c r="L932" s="5" t="s">
        <v>1188</v>
      </c>
      <c r="M932" s="5" t="s">
        <v>1189</v>
      </c>
      <c r="N932" s="5" t="s">
        <v>1190</v>
      </c>
      <c r="O932" s="5">
        <v>5</v>
      </c>
      <c r="P932" s="6">
        <v>5684000</v>
      </c>
      <c r="Q932" s="5">
        <v>3028300</v>
      </c>
      <c r="R932" s="5">
        <v>2655700</v>
      </c>
      <c r="S932" s="5">
        <v>0.72675000000000001</v>
      </c>
      <c r="T932" s="5">
        <f>LOG(Table2[[#This Row],[ratio heavy to light normalized]],2)</f>
        <v>-0.46046892852584975</v>
      </c>
      <c r="U932" s="5">
        <v>0.21927330379608001</v>
      </c>
    </row>
    <row r="933" spans="1:21" x14ac:dyDescent="0.3">
      <c r="A933" s="5" t="s">
        <v>2416</v>
      </c>
      <c r="B933" s="5" t="s">
        <v>2417</v>
      </c>
      <c r="C933" s="5">
        <v>103</v>
      </c>
      <c r="D933" s="5">
        <v>103</v>
      </c>
      <c r="E933" s="5">
        <v>1</v>
      </c>
      <c r="F933" s="6">
        <v>40.0246</v>
      </c>
      <c r="G933" s="5">
        <v>7.2549700000000003E-3</v>
      </c>
      <c r="H933" s="5">
        <v>40.024999999999999</v>
      </c>
      <c r="I933" s="5"/>
      <c r="J933" s="5">
        <v>1</v>
      </c>
      <c r="K933" s="5" t="s">
        <v>2</v>
      </c>
      <c r="L933" s="5" t="s">
        <v>2418</v>
      </c>
      <c r="M933" s="5" t="s">
        <v>2419</v>
      </c>
      <c r="N933" s="5" t="s">
        <v>2420</v>
      </c>
      <c r="O933" s="5">
        <v>12</v>
      </c>
      <c r="P933" s="6">
        <v>470150</v>
      </c>
      <c r="Q933" s="5">
        <v>297850</v>
      </c>
      <c r="R933" s="5">
        <v>172300</v>
      </c>
      <c r="S933" s="5">
        <v>0.72640000000000005</v>
      </c>
      <c r="T933" s="5">
        <f>LOG(Table2[[#This Row],[ratio heavy to light normalized]],2)</f>
        <v>-0.46116389225853438</v>
      </c>
      <c r="U933" s="5">
        <v>0.51080148497970501</v>
      </c>
    </row>
    <row r="934" spans="1:21" x14ac:dyDescent="0.3">
      <c r="A934" s="5" t="s">
        <v>2403</v>
      </c>
      <c r="B934" s="5" t="s">
        <v>2404</v>
      </c>
      <c r="C934" s="5">
        <v>270</v>
      </c>
      <c r="D934" s="5">
        <v>270</v>
      </c>
      <c r="E934" s="5">
        <v>1</v>
      </c>
      <c r="F934" s="6">
        <v>95.018299999999996</v>
      </c>
      <c r="G934" s="7">
        <v>5.5543800000000001E-15</v>
      </c>
      <c r="H934" s="5">
        <v>95.018000000000001</v>
      </c>
      <c r="I934" s="5"/>
      <c r="J934" s="5">
        <v>1</v>
      </c>
      <c r="K934" s="5" t="s">
        <v>2</v>
      </c>
      <c r="L934" s="5" t="s">
        <v>2405</v>
      </c>
      <c r="M934" s="5" t="s">
        <v>2406</v>
      </c>
      <c r="N934" s="5" t="s">
        <v>2407</v>
      </c>
      <c r="O934" s="5">
        <v>11</v>
      </c>
      <c r="P934" s="6">
        <v>405080</v>
      </c>
      <c r="Q934" s="5">
        <v>231350</v>
      </c>
      <c r="R934" s="5">
        <v>173730</v>
      </c>
      <c r="S934" s="5">
        <v>0.72533999999999998</v>
      </c>
      <c r="T934" s="5">
        <f>LOG(Table2[[#This Row],[ratio heavy to light normalized]],2)</f>
        <v>-0.46327068412912725</v>
      </c>
      <c r="U934" s="5">
        <v>0.50738442717435395</v>
      </c>
    </row>
    <row r="935" spans="1:21" x14ac:dyDescent="0.3">
      <c r="A935" s="5" t="s">
        <v>2253</v>
      </c>
      <c r="B935" s="5" t="s">
        <v>2254</v>
      </c>
      <c r="C935" s="5">
        <v>252</v>
      </c>
      <c r="D935" s="5">
        <v>252</v>
      </c>
      <c r="E935" s="5">
        <v>1</v>
      </c>
      <c r="F935" s="6">
        <v>89.804599999999994</v>
      </c>
      <c r="G935" s="7">
        <v>3.9185999999999999E-12</v>
      </c>
      <c r="H935" s="5">
        <v>89.805000000000007</v>
      </c>
      <c r="I935" s="5" t="s">
        <v>11</v>
      </c>
      <c r="J935" s="5">
        <v>1</v>
      </c>
      <c r="K935" s="5" t="s">
        <v>2</v>
      </c>
      <c r="L935" s="5" t="s">
        <v>2397</v>
      </c>
      <c r="M935" s="5" t="s">
        <v>2398</v>
      </c>
      <c r="N935" s="5" t="s">
        <v>2399</v>
      </c>
      <c r="O935" s="5">
        <v>11</v>
      </c>
      <c r="P935" s="6">
        <v>724470</v>
      </c>
      <c r="Q935" s="5">
        <v>426950</v>
      </c>
      <c r="R935" s="5">
        <v>297520</v>
      </c>
      <c r="S935" s="5">
        <v>0.72477000000000003</v>
      </c>
      <c r="T935" s="5">
        <f>LOG(Table2[[#This Row],[ratio heavy to light normalized]],2)</f>
        <v>-0.46440485493776773</v>
      </c>
      <c r="U935" s="5">
        <v>0.50554987057350498</v>
      </c>
    </row>
    <row r="936" spans="1:21" x14ac:dyDescent="0.3">
      <c r="A936" s="5" t="s">
        <v>1157</v>
      </c>
      <c r="B936" s="5" t="s">
        <v>1158</v>
      </c>
      <c r="C936" s="5">
        <v>50</v>
      </c>
      <c r="D936" s="5">
        <v>50</v>
      </c>
      <c r="E936" s="5">
        <v>1</v>
      </c>
      <c r="F936" s="6">
        <v>87.298000000000002</v>
      </c>
      <c r="G936" s="7">
        <v>5.8007999999999998E-11</v>
      </c>
      <c r="H936" s="5">
        <v>87.298000000000002</v>
      </c>
      <c r="I936" s="5" t="s">
        <v>11</v>
      </c>
      <c r="J936" s="5">
        <v>1</v>
      </c>
      <c r="K936" s="5" t="s">
        <v>2</v>
      </c>
      <c r="L936" s="5" t="s">
        <v>2377</v>
      </c>
      <c r="M936" s="5" t="s">
        <v>2378</v>
      </c>
      <c r="N936" s="5" t="s">
        <v>2379</v>
      </c>
      <c r="O936" s="5">
        <v>9</v>
      </c>
      <c r="P936" s="6">
        <v>686870</v>
      </c>
      <c r="Q936" s="5">
        <v>386520</v>
      </c>
      <c r="R936" s="5">
        <v>300350</v>
      </c>
      <c r="S936" s="5">
        <v>0.72399000000000002</v>
      </c>
      <c r="T936" s="5">
        <f>LOG(Table2[[#This Row],[ratio heavy to light normalized]],2)</f>
        <v>-0.46595832444358254</v>
      </c>
      <c r="U936" s="5">
        <v>0.50304276457766295</v>
      </c>
    </row>
    <row r="937" spans="1:21" x14ac:dyDescent="0.3">
      <c r="A937" s="5" t="s">
        <v>422</v>
      </c>
      <c r="B937" s="5" t="s">
        <v>423</v>
      </c>
      <c r="C937" s="5">
        <v>200</v>
      </c>
      <c r="D937" s="5">
        <v>200</v>
      </c>
      <c r="E937" s="5">
        <v>1</v>
      </c>
      <c r="F937" s="6">
        <v>73.984999999999999</v>
      </c>
      <c r="G937" s="7">
        <v>4.2896699999999999E-5</v>
      </c>
      <c r="H937" s="5">
        <v>73.984999999999999</v>
      </c>
      <c r="I937" s="5" t="s">
        <v>11</v>
      </c>
      <c r="J937" s="5">
        <v>1</v>
      </c>
      <c r="K937" s="5" t="s">
        <v>2</v>
      </c>
      <c r="L937" s="5" t="s">
        <v>1832</v>
      </c>
      <c r="M937" s="5" t="s">
        <v>1833</v>
      </c>
      <c r="N937" s="5" t="s">
        <v>1834</v>
      </c>
      <c r="O937" s="5">
        <v>3</v>
      </c>
      <c r="P937" s="6">
        <v>1884600</v>
      </c>
      <c r="Q937" s="5">
        <v>1020300</v>
      </c>
      <c r="R937" s="5">
        <v>864330</v>
      </c>
      <c r="S937" s="5">
        <v>0.72331000000000001</v>
      </c>
      <c r="T937" s="5">
        <f>LOG(Table2[[#This Row],[ratio heavy to light normalized]],2)</f>
        <v>-0.46731399735174556</v>
      </c>
      <c r="U937" s="5">
        <v>0.372822330325628</v>
      </c>
    </row>
    <row r="938" spans="1:21" x14ac:dyDescent="0.3">
      <c r="A938" s="5" t="s">
        <v>1146</v>
      </c>
      <c r="B938" s="5" t="s">
        <v>1147</v>
      </c>
      <c r="C938" s="5">
        <v>257</v>
      </c>
      <c r="D938" s="5">
        <v>257</v>
      </c>
      <c r="E938" s="5">
        <v>1</v>
      </c>
      <c r="F938" s="6">
        <v>67.999300000000005</v>
      </c>
      <c r="G938" s="7">
        <v>6.9162799999999996E-6</v>
      </c>
      <c r="H938" s="5">
        <v>67.998999999999995</v>
      </c>
      <c r="I938" s="5"/>
      <c r="J938" s="5">
        <v>1</v>
      </c>
      <c r="K938" s="5" t="s">
        <v>2</v>
      </c>
      <c r="L938" s="5" t="s">
        <v>1148</v>
      </c>
      <c r="M938" s="5" t="s">
        <v>1149</v>
      </c>
      <c r="N938" s="5" t="s">
        <v>1150</v>
      </c>
      <c r="O938" s="5">
        <v>3</v>
      </c>
      <c r="P938" s="6">
        <v>3172000</v>
      </c>
      <c r="Q938" s="5">
        <v>1692200</v>
      </c>
      <c r="R938" s="5">
        <v>1479800</v>
      </c>
      <c r="S938" s="5">
        <v>0.72309000000000001</v>
      </c>
      <c r="T938" s="5">
        <f>LOG(Table2[[#This Row],[ratio heavy to light normalized]],2)</f>
        <v>-0.46775287029345353</v>
      </c>
      <c r="U938" s="5">
        <v>0.21016622093485299</v>
      </c>
    </row>
    <row r="939" spans="1:21" x14ac:dyDescent="0.3">
      <c r="A939" s="5" t="s">
        <v>1121</v>
      </c>
      <c r="B939" s="5" t="s">
        <v>1122</v>
      </c>
      <c r="C939" s="5">
        <v>39</v>
      </c>
      <c r="D939" s="5">
        <v>39</v>
      </c>
      <c r="E939" s="5">
        <v>1</v>
      </c>
      <c r="F939" s="6">
        <v>99.135499999999993</v>
      </c>
      <c r="G939" s="7">
        <v>2.8790199999999998E-14</v>
      </c>
      <c r="H939" s="5">
        <v>99.135999999999996</v>
      </c>
      <c r="I939" s="5" t="s">
        <v>11</v>
      </c>
      <c r="J939" s="5">
        <v>1</v>
      </c>
      <c r="K939" s="5" t="s">
        <v>2</v>
      </c>
      <c r="L939" s="5" t="s">
        <v>1123</v>
      </c>
      <c r="M939" s="5" t="s">
        <v>1124</v>
      </c>
      <c r="N939" s="5" t="s">
        <v>1125</v>
      </c>
      <c r="O939" s="5">
        <v>7</v>
      </c>
      <c r="P939" s="6">
        <v>15401000</v>
      </c>
      <c r="Q939" s="5">
        <v>8049200</v>
      </c>
      <c r="R939" s="5">
        <v>7351500</v>
      </c>
      <c r="S939" s="5">
        <v>0.72267999999999999</v>
      </c>
      <c r="T939" s="5">
        <f>LOG(Table2[[#This Row],[ratio heavy to light normalized]],2)</f>
        <v>-0.46857112628523778</v>
      </c>
      <c r="U939" s="5">
        <v>0.209160519608205</v>
      </c>
    </row>
    <row r="940" spans="1:21" x14ac:dyDescent="0.3">
      <c r="A940" s="5" t="s">
        <v>440</v>
      </c>
      <c r="B940" s="5" t="s">
        <v>441</v>
      </c>
      <c r="C940" s="5">
        <v>22</v>
      </c>
      <c r="D940" s="5">
        <v>22</v>
      </c>
      <c r="E940" s="5">
        <v>1</v>
      </c>
      <c r="F940" s="6">
        <v>46.891199999999998</v>
      </c>
      <c r="G940" s="5">
        <v>3.2194199999999999E-2</v>
      </c>
      <c r="H940" s="5">
        <v>46.890999999999998</v>
      </c>
      <c r="I940" s="5" t="s">
        <v>11</v>
      </c>
      <c r="J940" s="5">
        <v>1</v>
      </c>
      <c r="K940" s="5" t="s">
        <v>2</v>
      </c>
      <c r="L940" s="5" t="s">
        <v>1794</v>
      </c>
      <c r="M940" s="5" t="s">
        <v>1795</v>
      </c>
      <c r="N940" s="5" t="s">
        <v>1796</v>
      </c>
      <c r="O940" s="5">
        <v>8</v>
      </c>
      <c r="P940" s="6">
        <v>1305000</v>
      </c>
      <c r="Q940" s="5">
        <v>683500</v>
      </c>
      <c r="R940" s="5">
        <v>621520</v>
      </c>
      <c r="S940" s="5">
        <v>0.72019999999999995</v>
      </c>
      <c r="T940" s="5">
        <f>LOG(Table2[[#This Row],[ratio heavy to light normalized]],2)</f>
        <v>-0.47353049535916902</v>
      </c>
      <c r="U940" s="5">
        <v>0.36435956720624602</v>
      </c>
    </row>
    <row r="941" spans="1:21" x14ac:dyDescent="0.3">
      <c r="A941" s="5" t="s">
        <v>1105</v>
      </c>
      <c r="B941" s="5" t="s">
        <v>1106</v>
      </c>
      <c r="C941" s="5">
        <v>268</v>
      </c>
      <c r="D941" s="5">
        <v>268</v>
      </c>
      <c r="E941" s="5">
        <v>1</v>
      </c>
      <c r="F941" s="6">
        <v>57.209800000000001</v>
      </c>
      <c r="G941" s="7">
        <v>9.8718899999999994E-11</v>
      </c>
      <c r="H941" s="5">
        <v>57.21</v>
      </c>
      <c r="I941" s="5"/>
      <c r="J941" s="5">
        <v>1</v>
      </c>
      <c r="K941" s="5" t="s">
        <v>2</v>
      </c>
      <c r="L941" s="5" t="s">
        <v>1107</v>
      </c>
      <c r="M941" s="5" t="s">
        <v>1108</v>
      </c>
      <c r="N941" s="5" t="s">
        <v>1109</v>
      </c>
      <c r="O941" s="5">
        <v>3</v>
      </c>
      <c r="P941" s="6">
        <v>77993000</v>
      </c>
      <c r="Q941" s="5">
        <v>50904000</v>
      </c>
      <c r="R941" s="5">
        <v>27089000</v>
      </c>
      <c r="S941" s="5">
        <v>0.71979000000000004</v>
      </c>
      <c r="T941" s="5">
        <f>LOG(Table2[[#This Row],[ratio heavy to light normalized]],2)</f>
        <v>-0.47435203576257234</v>
      </c>
      <c r="U941" s="5">
        <v>0.20215451451847499</v>
      </c>
    </row>
    <row r="942" spans="1:21" x14ac:dyDescent="0.3">
      <c r="A942" s="5" t="s">
        <v>331</v>
      </c>
      <c r="B942" s="5" t="s">
        <v>332</v>
      </c>
      <c r="C942" s="5">
        <v>90</v>
      </c>
      <c r="D942" s="5">
        <v>90</v>
      </c>
      <c r="E942" s="5">
        <v>1</v>
      </c>
      <c r="F942" s="6">
        <v>71.691699999999997</v>
      </c>
      <c r="G942" s="7">
        <v>6.6872499999999998E-10</v>
      </c>
      <c r="H942" s="5">
        <v>71.691999999999993</v>
      </c>
      <c r="I942" s="5" t="s">
        <v>11</v>
      </c>
      <c r="J942" s="5">
        <v>1</v>
      </c>
      <c r="K942" s="5" t="s">
        <v>2</v>
      </c>
      <c r="L942" s="5" t="s">
        <v>1780</v>
      </c>
      <c r="M942" s="5" t="s">
        <v>1781</v>
      </c>
      <c r="N942" s="5" t="s">
        <v>1782</v>
      </c>
      <c r="O942" s="5">
        <v>10</v>
      </c>
      <c r="P942" s="6">
        <v>1256200</v>
      </c>
      <c r="Q942" s="5">
        <v>731890</v>
      </c>
      <c r="R942" s="5">
        <v>524350</v>
      </c>
      <c r="S942" s="5">
        <v>0.71960000000000002</v>
      </c>
      <c r="T942" s="5">
        <f>LOG(Table2[[#This Row],[ratio heavy to light normalized]],2)</f>
        <v>-0.47473290829796716</v>
      </c>
      <c r="U942" s="5">
        <v>0.36273664106182202</v>
      </c>
    </row>
    <row r="943" spans="1:21" x14ac:dyDescent="0.3">
      <c r="A943" s="5" t="s">
        <v>91</v>
      </c>
      <c r="B943" s="5" t="s">
        <v>92</v>
      </c>
      <c r="C943" s="5">
        <v>262</v>
      </c>
      <c r="D943" s="5">
        <v>262</v>
      </c>
      <c r="E943" s="5">
        <v>1</v>
      </c>
      <c r="F943" s="6">
        <v>22.529399999999999</v>
      </c>
      <c r="G943" s="5">
        <v>0.71083700000000005</v>
      </c>
      <c r="H943" s="5">
        <v>22.529</v>
      </c>
      <c r="I943" s="5" t="s">
        <v>11</v>
      </c>
      <c r="J943" s="5">
        <v>1</v>
      </c>
      <c r="K943" s="5" t="s">
        <v>2</v>
      </c>
      <c r="L943" s="5" t="s">
        <v>3773</v>
      </c>
      <c r="M943" s="5" t="s">
        <v>3774</v>
      </c>
      <c r="N943" s="5" t="s">
        <v>3775</v>
      </c>
      <c r="O943" s="5">
        <v>4</v>
      </c>
      <c r="P943" s="6">
        <v>314010</v>
      </c>
      <c r="Q943" s="5">
        <v>206140</v>
      </c>
      <c r="R943" s="5">
        <v>107880</v>
      </c>
      <c r="S943" s="5">
        <v>0.93108999999999997</v>
      </c>
      <c r="T943" s="5">
        <f>LOG(Table2[[#This Row],[ratio heavy to light normalized]],2)</f>
        <v>-0.10300746815793509</v>
      </c>
      <c r="U943" s="5">
        <v>0.82579627636712305</v>
      </c>
    </row>
    <row r="944" spans="1:21" x14ac:dyDescent="0.3">
      <c r="A944" s="5" t="s">
        <v>1775</v>
      </c>
      <c r="B944" s="5" t="s">
        <v>1776</v>
      </c>
      <c r="C944" s="5">
        <v>219</v>
      </c>
      <c r="D944" s="5">
        <v>219</v>
      </c>
      <c r="E944" s="5">
        <v>1</v>
      </c>
      <c r="F944" s="6">
        <v>66.532499999999999</v>
      </c>
      <c r="G944" s="7">
        <v>1.05135E-8</v>
      </c>
      <c r="H944" s="5">
        <v>66.533000000000001</v>
      </c>
      <c r="I944" s="5"/>
      <c r="J944" s="5">
        <v>1</v>
      </c>
      <c r="K944" s="5" t="s">
        <v>2</v>
      </c>
      <c r="L944" s="5" t="s">
        <v>1777</v>
      </c>
      <c r="M944" s="5" t="s">
        <v>1778</v>
      </c>
      <c r="N944" s="5" t="s">
        <v>1779</v>
      </c>
      <c r="O944" s="5">
        <v>13</v>
      </c>
      <c r="P944" s="6">
        <v>1287400</v>
      </c>
      <c r="Q944" s="5">
        <v>611420</v>
      </c>
      <c r="R944" s="5">
        <v>676000</v>
      </c>
      <c r="S944" s="5">
        <v>0.71902999999999995</v>
      </c>
      <c r="T944" s="5">
        <f>LOG(Table2[[#This Row],[ratio heavy to light normalized]],2)</f>
        <v>-0.47587612957979447</v>
      </c>
      <c r="U944" s="5">
        <v>0.36119781165870901</v>
      </c>
    </row>
    <row r="945" spans="1:21" x14ac:dyDescent="0.3">
      <c r="A945" s="5" t="s">
        <v>1082</v>
      </c>
      <c r="B945" s="5" t="s">
        <v>1083</v>
      </c>
      <c r="C945" s="5">
        <v>404</v>
      </c>
      <c r="D945" s="5">
        <v>404</v>
      </c>
      <c r="E945" s="5">
        <v>1</v>
      </c>
      <c r="F945" s="6">
        <v>130.74799999999999</v>
      </c>
      <c r="G945" s="7">
        <v>5.4157200000000003E-33</v>
      </c>
      <c r="H945" s="5">
        <v>130.75</v>
      </c>
      <c r="I945" s="5" t="s">
        <v>11</v>
      </c>
      <c r="J945" s="5">
        <v>1</v>
      </c>
      <c r="K945" s="5" t="s">
        <v>2</v>
      </c>
      <c r="L945" s="5" t="s">
        <v>1084</v>
      </c>
      <c r="M945" s="5" t="s">
        <v>1085</v>
      </c>
      <c r="N945" s="5" t="s">
        <v>1086</v>
      </c>
      <c r="O945" s="5">
        <v>3</v>
      </c>
      <c r="P945" s="6">
        <v>5708000</v>
      </c>
      <c r="Q945" s="5">
        <v>3553700</v>
      </c>
      <c r="R945" s="5">
        <v>2154300</v>
      </c>
      <c r="S945" s="5">
        <v>0.71658999999999995</v>
      </c>
      <c r="T945" s="5">
        <f>LOG(Table2[[#This Row],[ratio heavy to light normalized]],2)</f>
        <v>-0.4807801839804553</v>
      </c>
      <c r="U945" s="5">
        <v>0.19456672113333601</v>
      </c>
    </row>
    <row r="946" spans="1:21" x14ac:dyDescent="0.3">
      <c r="A946" s="5" t="s">
        <v>1420</v>
      </c>
      <c r="B946" s="5" t="s">
        <v>1421</v>
      </c>
      <c r="C946" s="5">
        <v>48</v>
      </c>
      <c r="D946" s="5">
        <v>48</v>
      </c>
      <c r="E946" s="5">
        <v>1</v>
      </c>
      <c r="F946" s="6">
        <v>66.284899999999993</v>
      </c>
      <c r="G946" s="7">
        <v>3.1120600000000001E-9</v>
      </c>
      <c r="H946" s="5">
        <v>66.284999999999997</v>
      </c>
      <c r="I946" s="5" t="s">
        <v>11</v>
      </c>
      <c r="J946" s="5">
        <v>1</v>
      </c>
      <c r="K946" s="5" t="s">
        <v>2</v>
      </c>
      <c r="L946" s="5" t="s">
        <v>2263</v>
      </c>
      <c r="M946" s="5" t="s">
        <v>2264</v>
      </c>
      <c r="N946" s="5" t="s">
        <v>2265</v>
      </c>
      <c r="O946" s="5">
        <v>15</v>
      </c>
      <c r="P946" s="6">
        <v>530830</v>
      </c>
      <c r="Q946" s="5">
        <v>273860</v>
      </c>
      <c r="R946" s="5">
        <v>256970</v>
      </c>
      <c r="S946" s="5">
        <v>0.71640000000000004</v>
      </c>
      <c r="T946" s="5">
        <f>LOG(Table2[[#This Row],[ratio heavy to light normalized]],2)</f>
        <v>-0.48116275756348809</v>
      </c>
      <c r="U946" s="5">
        <v>0.47885551506465501</v>
      </c>
    </row>
    <row r="947" spans="1:21" x14ac:dyDescent="0.3">
      <c r="A947" s="5" t="s">
        <v>628</v>
      </c>
      <c r="B947" s="5" t="s">
        <v>629</v>
      </c>
      <c r="C947" s="5">
        <v>528</v>
      </c>
      <c r="D947" s="5">
        <v>528</v>
      </c>
      <c r="E947" s="5">
        <v>0.96323099999999995</v>
      </c>
      <c r="F947" s="6">
        <v>14.182499999999999</v>
      </c>
      <c r="G947" s="5">
        <v>1.84089E-3</v>
      </c>
      <c r="H947" s="5">
        <v>62.302999999999997</v>
      </c>
      <c r="I947" s="5"/>
      <c r="J947" s="5">
        <v>1</v>
      </c>
      <c r="K947" s="5" t="s">
        <v>2</v>
      </c>
      <c r="L947" s="5" t="s">
        <v>1074</v>
      </c>
      <c r="M947" s="5" t="s">
        <v>1075</v>
      </c>
      <c r="N947" s="5" t="s">
        <v>1076</v>
      </c>
      <c r="O947" s="5">
        <v>8</v>
      </c>
      <c r="P947" s="6">
        <v>10976000</v>
      </c>
      <c r="Q947" s="5">
        <v>5771900</v>
      </c>
      <c r="R947" s="5">
        <v>5204000</v>
      </c>
      <c r="S947" s="5">
        <v>0.71592999999999996</v>
      </c>
      <c r="T947" s="5">
        <f>LOG(Table2[[#This Row],[ratio heavy to light normalized]],2)</f>
        <v>-0.48210955989752369</v>
      </c>
      <c r="U947" s="5">
        <v>0.19302394448945401</v>
      </c>
    </row>
    <row r="948" spans="1:21" x14ac:dyDescent="0.3">
      <c r="A948" s="5" t="s">
        <v>1732</v>
      </c>
      <c r="B948" s="5" t="s">
        <v>1733</v>
      </c>
      <c r="C948" s="5">
        <v>19</v>
      </c>
      <c r="D948" s="5">
        <v>19</v>
      </c>
      <c r="E948" s="5">
        <v>1</v>
      </c>
      <c r="F948" s="6">
        <v>76.142700000000005</v>
      </c>
      <c r="G948" s="7">
        <v>1.93024E-7</v>
      </c>
      <c r="H948" s="5">
        <v>76.143000000000001</v>
      </c>
      <c r="I948" s="5" t="s">
        <v>11</v>
      </c>
      <c r="J948" s="5">
        <v>1</v>
      </c>
      <c r="K948" s="5" t="s">
        <v>2</v>
      </c>
      <c r="L948" s="5" t="s">
        <v>1734</v>
      </c>
      <c r="M948" s="5" t="s">
        <v>1735</v>
      </c>
      <c r="N948" s="5" t="s">
        <v>1736</v>
      </c>
      <c r="O948" s="5">
        <v>8</v>
      </c>
      <c r="P948" s="6">
        <v>1026900</v>
      </c>
      <c r="Q948" s="5">
        <v>524710</v>
      </c>
      <c r="R948" s="5">
        <v>502210</v>
      </c>
      <c r="S948" s="5">
        <v>0.71279000000000003</v>
      </c>
      <c r="T948" s="5">
        <f>LOG(Table2[[#This Row],[ratio heavy to light normalized]],2)</f>
        <v>-0.48845099799892039</v>
      </c>
      <c r="U948" s="5">
        <v>0.344542492229578</v>
      </c>
    </row>
    <row r="949" spans="1:21" x14ac:dyDescent="0.3">
      <c r="A949" s="5" t="s">
        <v>61</v>
      </c>
      <c r="B949" s="5" t="s">
        <v>62</v>
      </c>
      <c r="C949" s="5">
        <v>67</v>
      </c>
      <c r="D949" s="5">
        <v>67</v>
      </c>
      <c r="E949" s="5">
        <v>1</v>
      </c>
      <c r="F949" s="6">
        <v>75.087699999999998</v>
      </c>
      <c r="G949" s="7">
        <v>7.8395999999999999E-7</v>
      </c>
      <c r="H949" s="5">
        <v>78.933999999999997</v>
      </c>
      <c r="I949" s="5" t="s">
        <v>11</v>
      </c>
      <c r="J949" s="5">
        <v>1</v>
      </c>
      <c r="K949" s="5" t="s">
        <v>2</v>
      </c>
      <c r="L949" s="5" t="s">
        <v>1042</v>
      </c>
      <c r="M949" s="5" t="s">
        <v>1043</v>
      </c>
      <c r="N949" s="5" t="s">
        <v>1044</v>
      </c>
      <c r="O949" s="5">
        <v>9</v>
      </c>
      <c r="P949" s="6">
        <v>54052000</v>
      </c>
      <c r="Q949" s="5">
        <v>25215000</v>
      </c>
      <c r="R949" s="5">
        <v>28837000</v>
      </c>
      <c r="S949" s="5">
        <v>0.71255999999999997</v>
      </c>
      <c r="T949" s="5">
        <f>LOG(Table2[[#This Row],[ratio heavy to light normalized]],2)</f>
        <v>-0.48891659572900015</v>
      </c>
      <c r="U949" s="5">
        <v>0.18526485630720199</v>
      </c>
    </row>
    <row r="950" spans="1:21" x14ac:dyDescent="0.3">
      <c r="A950" s="5" t="s">
        <v>2218</v>
      </c>
      <c r="B950" s="5" t="s">
        <v>2219</v>
      </c>
      <c r="C950" s="5">
        <v>25</v>
      </c>
      <c r="D950" s="5">
        <v>25</v>
      </c>
      <c r="E950" s="5">
        <v>1</v>
      </c>
      <c r="F950" s="6">
        <v>75.109200000000001</v>
      </c>
      <c r="G950" s="7">
        <v>3.5207699999999998E-6</v>
      </c>
      <c r="H950" s="5">
        <v>75.108999999999995</v>
      </c>
      <c r="I950" s="5"/>
      <c r="J950" s="5">
        <v>1</v>
      </c>
      <c r="K950" s="5" t="s">
        <v>2</v>
      </c>
      <c r="L950" s="5" t="s">
        <v>2220</v>
      </c>
      <c r="M950" s="5" t="s">
        <v>2221</v>
      </c>
      <c r="N950" s="5" t="s">
        <v>2222</v>
      </c>
      <c r="O950" s="5">
        <v>5</v>
      </c>
      <c r="P950" s="6">
        <v>790370</v>
      </c>
      <c r="Q950" s="5">
        <v>435500</v>
      </c>
      <c r="R950" s="5">
        <v>354870</v>
      </c>
      <c r="S950" s="5">
        <v>0.71199999999999997</v>
      </c>
      <c r="T950" s="5">
        <f>LOG(Table2[[#This Row],[ratio heavy to light normalized]],2)</f>
        <v>-0.49005085369568935</v>
      </c>
      <c r="U950" s="5">
        <v>0.46501595314247102</v>
      </c>
    </row>
    <row r="951" spans="1:21" x14ac:dyDescent="0.3">
      <c r="A951" s="5" t="s">
        <v>2207</v>
      </c>
      <c r="B951" s="5" t="s">
        <v>2208</v>
      </c>
      <c r="C951" s="5">
        <v>201</v>
      </c>
      <c r="D951" s="5">
        <v>201</v>
      </c>
      <c r="E951" s="5">
        <v>0.99998699999999996</v>
      </c>
      <c r="F951" s="6">
        <v>48.950899999999997</v>
      </c>
      <c r="G951" s="5">
        <v>1.6409E-2</v>
      </c>
      <c r="H951" s="5">
        <v>51.268000000000001</v>
      </c>
      <c r="I951" s="5"/>
      <c r="J951" s="5">
        <v>1</v>
      </c>
      <c r="K951" s="5" t="s">
        <v>2</v>
      </c>
      <c r="L951" s="5" t="s">
        <v>2209</v>
      </c>
      <c r="M951" s="5" t="s">
        <v>2210</v>
      </c>
      <c r="N951" s="5" t="s">
        <v>2211</v>
      </c>
      <c r="O951" s="5">
        <v>9</v>
      </c>
      <c r="P951" s="6">
        <v>891940</v>
      </c>
      <c r="Q951" s="5">
        <v>713520</v>
      </c>
      <c r="R951" s="5">
        <v>178430</v>
      </c>
      <c r="S951" s="5">
        <v>0.71092999999999995</v>
      </c>
      <c r="T951" s="5">
        <f>LOG(Table2[[#This Row],[ratio heavy to light normalized]],2)</f>
        <v>-0.49222057952157561</v>
      </c>
      <c r="U951" s="5">
        <v>0.46167158798235403</v>
      </c>
    </row>
    <row r="952" spans="1:21" x14ac:dyDescent="0.3">
      <c r="A952" s="5" t="s">
        <v>86</v>
      </c>
      <c r="B952" s="5" t="s">
        <v>87</v>
      </c>
      <c r="C952" s="5">
        <v>66</v>
      </c>
      <c r="D952" s="5">
        <v>66</v>
      </c>
      <c r="E952" s="5">
        <v>1</v>
      </c>
      <c r="F952" s="6">
        <v>51.267499999999998</v>
      </c>
      <c r="G952" s="5">
        <v>1.4297000000000001E-2</v>
      </c>
      <c r="H952" s="5">
        <v>51.268000000000001</v>
      </c>
      <c r="I952" s="5" t="s">
        <v>11</v>
      </c>
      <c r="J952" s="5">
        <v>1</v>
      </c>
      <c r="K952" s="5" t="s">
        <v>2</v>
      </c>
      <c r="L952" s="5" t="s">
        <v>1703</v>
      </c>
      <c r="M952" s="5" t="s">
        <v>1704</v>
      </c>
      <c r="N952" s="5" t="s">
        <v>1705</v>
      </c>
      <c r="O952" s="5">
        <v>4</v>
      </c>
      <c r="P952" s="6">
        <v>2179000</v>
      </c>
      <c r="Q952" s="5">
        <v>1097300</v>
      </c>
      <c r="R952" s="5">
        <v>1081700</v>
      </c>
      <c r="S952" s="5">
        <v>0.71052999999999999</v>
      </c>
      <c r="T952" s="5">
        <f>LOG(Table2[[#This Row],[ratio heavy to light normalized]],2)</f>
        <v>-0.49303253065855845</v>
      </c>
      <c r="U952" s="5">
        <v>0.33859806398173498</v>
      </c>
    </row>
    <row r="953" spans="1:21" x14ac:dyDescent="0.3">
      <c r="A953" s="5" t="s">
        <v>1019</v>
      </c>
      <c r="B953" s="5" t="s">
        <v>1020</v>
      </c>
      <c r="C953" s="5">
        <v>7</v>
      </c>
      <c r="D953" s="5">
        <v>7</v>
      </c>
      <c r="E953" s="5">
        <v>1</v>
      </c>
      <c r="F953" s="6">
        <v>95.264499999999998</v>
      </c>
      <c r="G953" s="7">
        <v>1.8581300000000001E-15</v>
      </c>
      <c r="H953" s="5">
        <v>95.263999999999996</v>
      </c>
      <c r="I953" s="5"/>
      <c r="J953" s="5">
        <v>1</v>
      </c>
      <c r="K953" s="5" t="s">
        <v>2</v>
      </c>
      <c r="L953" s="5" t="s">
        <v>1021</v>
      </c>
      <c r="M953" s="5" t="s">
        <v>1022</v>
      </c>
      <c r="N953" s="5" t="s">
        <v>1023</v>
      </c>
      <c r="O953" s="5">
        <v>6</v>
      </c>
      <c r="P953" s="6">
        <v>2668100</v>
      </c>
      <c r="Q953" s="5">
        <v>1456200</v>
      </c>
      <c r="R953" s="5">
        <v>1211900</v>
      </c>
      <c r="S953" s="5">
        <v>0.70952000000000004</v>
      </c>
      <c r="T953" s="5">
        <f>LOG(Table2[[#This Row],[ratio heavy to light normalized]],2)</f>
        <v>-0.49508474323839807</v>
      </c>
      <c r="U953" s="5">
        <v>0.17843545186347001</v>
      </c>
    </row>
    <row r="954" spans="1:21" x14ac:dyDescent="0.3">
      <c r="A954" s="5" t="s">
        <v>243</v>
      </c>
      <c r="B954" s="5" t="s">
        <v>244</v>
      </c>
      <c r="C954" s="5">
        <v>143</v>
      </c>
      <c r="D954" s="5">
        <v>143</v>
      </c>
      <c r="E954" s="5">
        <v>1</v>
      </c>
      <c r="F954" s="6">
        <v>40.727400000000003</v>
      </c>
      <c r="G954" s="5">
        <v>2.7361899999999999E-3</v>
      </c>
      <c r="H954" s="5">
        <v>56.359000000000002</v>
      </c>
      <c r="I954" s="5" t="s">
        <v>11</v>
      </c>
      <c r="J954" s="5">
        <v>1</v>
      </c>
      <c r="K954" s="5" t="s">
        <v>2</v>
      </c>
      <c r="L954" s="5" t="s">
        <v>1697</v>
      </c>
      <c r="M954" s="5" t="s">
        <v>1698</v>
      </c>
      <c r="N954" s="5" t="s">
        <v>1699</v>
      </c>
      <c r="O954" s="5">
        <v>8</v>
      </c>
      <c r="P954" s="6">
        <v>1705800</v>
      </c>
      <c r="Q954" s="5">
        <v>1173300</v>
      </c>
      <c r="R954" s="5">
        <v>532460</v>
      </c>
      <c r="S954" s="5">
        <v>0.70916000000000001</v>
      </c>
      <c r="T954" s="5">
        <f>LOG(Table2[[#This Row],[ratio heavy to light normalized]],2)</f>
        <v>-0.4958169312242271</v>
      </c>
      <c r="U954" s="5">
        <v>0.335017730911153</v>
      </c>
    </row>
    <row r="955" spans="1:21" x14ac:dyDescent="0.3">
      <c r="A955" s="5" t="s">
        <v>1009</v>
      </c>
      <c r="B955" s="5" t="s">
        <v>1010</v>
      </c>
      <c r="C955" s="5">
        <v>201</v>
      </c>
      <c r="D955" s="5">
        <v>201</v>
      </c>
      <c r="E955" s="5">
        <v>1</v>
      </c>
      <c r="F955" s="6">
        <v>18.0153</v>
      </c>
      <c r="G955" s="7">
        <v>1.9933200000000002E-11</v>
      </c>
      <c r="H955" s="5">
        <v>68.173000000000002</v>
      </c>
      <c r="I955" s="5"/>
      <c r="J955" s="5">
        <v>1</v>
      </c>
      <c r="K955" s="5" t="s">
        <v>2</v>
      </c>
      <c r="L955" s="5" t="s">
        <v>1011</v>
      </c>
      <c r="M955" s="5" t="s">
        <v>1012</v>
      </c>
      <c r="N955" s="5" t="s">
        <v>1013</v>
      </c>
      <c r="O955" s="5">
        <v>12</v>
      </c>
      <c r="P955" s="6">
        <v>3809900</v>
      </c>
      <c r="Q955" s="5">
        <v>2190600</v>
      </c>
      <c r="R955" s="5">
        <v>1619200</v>
      </c>
      <c r="S955" s="5">
        <v>0.70833000000000002</v>
      </c>
      <c r="T955" s="5">
        <f>LOG(Table2[[#This Row],[ratio heavy to light normalized]],2)</f>
        <v>-0.49750644863992483</v>
      </c>
      <c r="U955" s="5">
        <v>0.17580595973416799</v>
      </c>
    </row>
    <row r="956" spans="1:21" x14ac:dyDescent="0.3">
      <c r="A956" s="5" t="s">
        <v>432</v>
      </c>
      <c r="B956" s="5" t="s">
        <v>433</v>
      </c>
      <c r="C956" s="5">
        <v>66</v>
      </c>
      <c r="D956" s="5">
        <v>66</v>
      </c>
      <c r="E956" s="5">
        <v>1</v>
      </c>
      <c r="F956" s="6">
        <v>59.975200000000001</v>
      </c>
      <c r="G956" s="7">
        <v>7.1007199999999993E-5</v>
      </c>
      <c r="H956" s="5">
        <v>59.975000000000001</v>
      </c>
      <c r="I956" s="5" t="s">
        <v>11</v>
      </c>
      <c r="J956" s="5">
        <v>1</v>
      </c>
      <c r="K956" s="5" t="s">
        <v>2</v>
      </c>
      <c r="L956" s="5" t="s">
        <v>1001</v>
      </c>
      <c r="M956" s="5" t="s">
        <v>1002</v>
      </c>
      <c r="N956" s="5" t="s">
        <v>1003</v>
      </c>
      <c r="O956" s="5">
        <v>8</v>
      </c>
      <c r="P956" s="6">
        <v>5240300</v>
      </c>
      <c r="Q956" s="5">
        <v>3052100</v>
      </c>
      <c r="R956" s="5">
        <v>2188300</v>
      </c>
      <c r="S956" s="5">
        <v>0.70774999999999999</v>
      </c>
      <c r="T956" s="5">
        <f>LOG(Table2[[#This Row],[ratio heavy to light normalized]],2)</f>
        <v>-0.49868825075634005</v>
      </c>
      <c r="U956" s="5">
        <v>0.174533297809007</v>
      </c>
    </row>
    <row r="957" spans="1:21" x14ac:dyDescent="0.3">
      <c r="A957" s="5" t="s">
        <v>2173</v>
      </c>
      <c r="B957" s="5" t="s">
        <v>2174</v>
      </c>
      <c r="C957" s="5">
        <v>221</v>
      </c>
      <c r="D957" s="5">
        <v>221</v>
      </c>
      <c r="E957" s="5">
        <v>1</v>
      </c>
      <c r="F957" s="6">
        <v>131.25899999999999</v>
      </c>
      <c r="G957" s="7">
        <v>1.7053100000000001E-44</v>
      </c>
      <c r="H957" s="5">
        <v>131.26</v>
      </c>
      <c r="I957" s="5" t="s">
        <v>11</v>
      </c>
      <c r="J957" s="5">
        <v>1</v>
      </c>
      <c r="K957" s="5" t="s">
        <v>2</v>
      </c>
      <c r="L957" s="5" t="s">
        <v>2175</v>
      </c>
      <c r="M957" s="5" t="s">
        <v>2176</v>
      </c>
      <c r="N957" s="5" t="s">
        <v>2177</v>
      </c>
      <c r="O957" s="5">
        <v>9</v>
      </c>
      <c r="P957" s="6">
        <v>943500</v>
      </c>
      <c r="Q957" s="5">
        <v>536660</v>
      </c>
      <c r="R957" s="5">
        <v>406840</v>
      </c>
      <c r="S957" s="5">
        <v>0.70672000000000001</v>
      </c>
      <c r="T957" s="5">
        <f>LOG(Table2[[#This Row],[ratio heavy to light normalized]],2)</f>
        <v>-0.50078935739665864</v>
      </c>
      <c r="U957" s="5">
        <v>0.448595994377124</v>
      </c>
    </row>
    <row r="958" spans="1:21" x14ac:dyDescent="0.3">
      <c r="A958" s="5" t="s">
        <v>1420</v>
      </c>
      <c r="B958" s="5" t="s">
        <v>1421</v>
      </c>
      <c r="C958" s="5">
        <v>404</v>
      </c>
      <c r="D958" s="5">
        <v>404</v>
      </c>
      <c r="E958" s="5">
        <v>1</v>
      </c>
      <c r="F958" s="6">
        <v>87.363</v>
      </c>
      <c r="G958" s="7">
        <v>2.51294E-12</v>
      </c>
      <c r="H958" s="5">
        <v>87.363</v>
      </c>
      <c r="I958" s="5" t="s">
        <v>11</v>
      </c>
      <c r="J958" s="5">
        <v>1</v>
      </c>
      <c r="K958" s="5" t="s">
        <v>2</v>
      </c>
      <c r="L958" s="5" t="s">
        <v>2167</v>
      </c>
      <c r="M958" s="5" t="s">
        <v>2168</v>
      </c>
      <c r="N958" s="5" t="s">
        <v>2169</v>
      </c>
      <c r="O958" s="5">
        <v>4</v>
      </c>
      <c r="P958" s="6">
        <v>941580</v>
      </c>
      <c r="Q958" s="5">
        <v>473290</v>
      </c>
      <c r="R958" s="5">
        <v>468300</v>
      </c>
      <c r="S958" s="5">
        <v>0.70648</v>
      </c>
      <c r="T958" s="5">
        <f>LOG(Table2[[#This Row],[ratio heavy to light normalized]],2)</f>
        <v>-0.50127937553017421</v>
      </c>
      <c r="U958" s="5">
        <v>0.44785465710639699</v>
      </c>
    </row>
    <row r="959" spans="1:21" x14ac:dyDescent="0.3">
      <c r="A959" s="5" t="s">
        <v>986</v>
      </c>
      <c r="B959" s="5" t="s">
        <v>987</v>
      </c>
      <c r="C959" s="5">
        <v>44</v>
      </c>
      <c r="D959" s="5">
        <v>44</v>
      </c>
      <c r="E959" s="5">
        <v>1</v>
      </c>
      <c r="F959" s="6">
        <v>32.605899999999998</v>
      </c>
      <c r="G959" s="7">
        <v>2.37909E-10</v>
      </c>
      <c r="H959" s="5">
        <v>87.789000000000001</v>
      </c>
      <c r="I959" s="5"/>
      <c r="J959" s="5">
        <v>1</v>
      </c>
      <c r="K959" s="5" t="s">
        <v>2</v>
      </c>
      <c r="L959" s="5" t="s">
        <v>988</v>
      </c>
      <c r="M959" s="5" t="s">
        <v>989</v>
      </c>
      <c r="N959" s="5" t="s">
        <v>990</v>
      </c>
      <c r="O959" s="5">
        <v>6</v>
      </c>
      <c r="P959" s="6">
        <v>4399800</v>
      </c>
      <c r="Q959" s="5">
        <v>2238800</v>
      </c>
      <c r="R959" s="5">
        <v>2160900</v>
      </c>
      <c r="S959" s="5">
        <v>0.70494999999999997</v>
      </c>
      <c r="T959" s="5">
        <f>LOG(Table2[[#This Row],[ratio heavy to light normalized]],2)</f>
        <v>-0.50440715980165507</v>
      </c>
      <c r="U959" s="5">
        <v>0.168471750891207</v>
      </c>
    </row>
    <row r="960" spans="1:21" x14ac:dyDescent="0.3">
      <c r="A960" s="5" t="s">
        <v>970</v>
      </c>
      <c r="B960" s="5" t="s">
        <v>971</v>
      </c>
      <c r="C960" s="5">
        <v>108</v>
      </c>
      <c r="D960" s="5">
        <v>108</v>
      </c>
      <c r="E960" s="5">
        <v>1</v>
      </c>
      <c r="F960" s="6">
        <v>85.063900000000004</v>
      </c>
      <c r="G960" s="7">
        <v>1.7910499999999999E-9</v>
      </c>
      <c r="H960" s="5">
        <v>85.063999999999993</v>
      </c>
      <c r="I960" s="5" t="s">
        <v>11</v>
      </c>
      <c r="J960" s="5">
        <v>1</v>
      </c>
      <c r="K960" s="5" t="s">
        <v>2</v>
      </c>
      <c r="L960" s="5" t="s">
        <v>972</v>
      </c>
      <c r="M960" s="5" t="s">
        <v>973</v>
      </c>
      <c r="N960" s="5" t="s">
        <v>974</v>
      </c>
      <c r="O960" s="5">
        <v>2</v>
      </c>
      <c r="P960" s="6">
        <v>10698000</v>
      </c>
      <c r="Q960" s="5">
        <v>5763000</v>
      </c>
      <c r="R960" s="5">
        <v>4934900</v>
      </c>
      <c r="S960" s="5">
        <v>0.70289999999999997</v>
      </c>
      <c r="T960" s="5">
        <f>LOG(Table2[[#This Row],[ratio heavy to light normalized]],2)</f>
        <v>-0.50860863996515782</v>
      </c>
      <c r="U960" s="5">
        <v>0.16412022354084499</v>
      </c>
    </row>
    <row r="961" spans="1:21" x14ac:dyDescent="0.3">
      <c r="A961" s="5" t="s">
        <v>508</v>
      </c>
      <c r="B961" s="5" t="s">
        <v>509</v>
      </c>
      <c r="C961" s="5">
        <v>303</v>
      </c>
      <c r="D961" s="5">
        <v>303</v>
      </c>
      <c r="E961" s="5">
        <v>1</v>
      </c>
      <c r="F961" s="6">
        <v>76.221500000000006</v>
      </c>
      <c r="G961" s="7">
        <v>1.05315E-6</v>
      </c>
      <c r="H961" s="5">
        <v>76.221000000000004</v>
      </c>
      <c r="I961" s="5" t="s">
        <v>11</v>
      </c>
      <c r="J961" s="5">
        <v>1</v>
      </c>
      <c r="K961" s="5" t="s">
        <v>2</v>
      </c>
      <c r="L961" s="5" t="s">
        <v>1577</v>
      </c>
      <c r="M961" s="5" t="s">
        <v>1578</v>
      </c>
      <c r="N961" s="5" t="s">
        <v>1579</v>
      </c>
      <c r="O961" s="5">
        <v>5</v>
      </c>
      <c r="P961" s="6">
        <v>1214100</v>
      </c>
      <c r="Q961" s="5">
        <v>651110</v>
      </c>
      <c r="R961" s="5">
        <v>562960</v>
      </c>
      <c r="S961" s="5">
        <v>0.70109999999999995</v>
      </c>
      <c r="T961" s="5">
        <f>LOG(Table2[[#This Row],[ratio heavy to light normalized]],2)</f>
        <v>-0.51230786004546791</v>
      </c>
      <c r="U961" s="5">
        <v>0.31431498636293098</v>
      </c>
    </row>
    <row r="962" spans="1:21" x14ac:dyDescent="0.3">
      <c r="A962" s="5" t="s">
        <v>3846</v>
      </c>
      <c r="B962" s="5" t="s">
        <v>3847</v>
      </c>
      <c r="C962" s="5">
        <v>46</v>
      </c>
      <c r="D962" s="5">
        <v>46</v>
      </c>
      <c r="E962" s="5">
        <v>1</v>
      </c>
      <c r="F962" s="6">
        <v>37.680799999999998</v>
      </c>
      <c r="G962" s="5">
        <v>5.0575599999999998E-2</v>
      </c>
      <c r="H962" s="5">
        <v>37.680999999999997</v>
      </c>
      <c r="I962" s="5"/>
      <c r="J962" s="5">
        <v>1</v>
      </c>
      <c r="K962" s="5" t="s">
        <v>2</v>
      </c>
      <c r="L962" s="5" t="s">
        <v>3848</v>
      </c>
      <c r="M962" s="5" t="s">
        <v>3849</v>
      </c>
      <c r="N962" s="5" t="s">
        <v>3850</v>
      </c>
      <c r="O962" s="5">
        <v>8</v>
      </c>
      <c r="P962" s="6">
        <v>597890</v>
      </c>
      <c r="Q962" s="5">
        <v>309110</v>
      </c>
      <c r="R962" s="5">
        <v>288780</v>
      </c>
      <c r="S962" s="5">
        <v>0.82298000000000004</v>
      </c>
      <c r="T962" s="5">
        <f>LOG(Table2[[#This Row],[ratio heavy to light normalized]],2)</f>
        <v>-0.28107072408422512</v>
      </c>
      <c r="U962" s="5">
        <v>0.83965083680219499</v>
      </c>
    </row>
    <row r="963" spans="1:21" x14ac:dyDescent="0.3">
      <c r="A963" s="5" t="s">
        <v>3851</v>
      </c>
      <c r="B963" s="5" t="s">
        <v>3852</v>
      </c>
      <c r="C963" s="5">
        <v>342</v>
      </c>
      <c r="D963" s="5">
        <v>342</v>
      </c>
      <c r="E963" s="5">
        <v>1</v>
      </c>
      <c r="F963" s="6">
        <v>26.786200000000001</v>
      </c>
      <c r="G963" s="5">
        <v>0.38034699999999999</v>
      </c>
      <c r="H963" s="5">
        <v>26.786000000000001</v>
      </c>
      <c r="I963" s="5"/>
      <c r="J963" s="5">
        <v>1</v>
      </c>
      <c r="K963" s="5" t="s">
        <v>2</v>
      </c>
      <c r="L963" s="5" t="s">
        <v>3853</v>
      </c>
      <c r="M963" s="5" t="s">
        <v>3854</v>
      </c>
      <c r="N963" s="5" t="s">
        <v>3855</v>
      </c>
      <c r="O963" s="5">
        <v>8</v>
      </c>
      <c r="P963" s="6">
        <v>235110</v>
      </c>
      <c r="Q963" s="5">
        <v>112280</v>
      </c>
      <c r="R963" s="5">
        <v>122830</v>
      </c>
      <c r="S963" s="5">
        <v>0.92561000000000004</v>
      </c>
      <c r="T963" s="5">
        <f>LOG(Table2[[#This Row],[ratio heavy to light normalized]],2)</f>
        <v>-0.11152364393323375</v>
      </c>
      <c r="U963" s="5">
        <v>0.84071922674755295</v>
      </c>
    </row>
    <row r="964" spans="1:21" x14ac:dyDescent="0.3">
      <c r="A964" s="5" t="s">
        <v>2081</v>
      </c>
      <c r="B964" s="5" t="s">
        <v>2082</v>
      </c>
      <c r="C964" s="5">
        <v>83</v>
      </c>
      <c r="D964" s="5">
        <v>83</v>
      </c>
      <c r="E964" s="5">
        <v>1</v>
      </c>
      <c r="F964" s="6">
        <v>45.723399999999998</v>
      </c>
      <c r="G964" s="5">
        <v>1.02571E-4</v>
      </c>
      <c r="H964" s="5">
        <v>45.722999999999999</v>
      </c>
      <c r="I964" s="5" t="s">
        <v>11</v>
      </c>
      <c r="J964" s="5">
        <v>1</v>
      </c>
      <c r="K964" s="5" t="s">
        <v>2</v>
      </c>
      <c r="L964" s="5" t="s">
        <v>2083</v>
      </c>
      <c r="M964" s="5" t="s">
        <v>2084</v>
      </c>
      <c r="N964" s="5" t="s">
        <v>2085</v>
      </c>
      <c r="O964" s="5">
        <v>9</v>
      </c>
      <c r="P964" s="6">
        <v>872360</v>
      </c>
      <c r="Q964" s="5">
        <v>588010</v>
      </c>
      <c r="R964" s="5">
        <v>284350</v>
      </c>
      <c r="S964" s="5">
        <v>0.69938</v>
      </c>
      <c r="T964" s="5">
        <f>LOG(Table2[[#This Row],[ratio heavy to light normalized]],2)</f>
        <v>-0.51585155466153843</v>
      </c>
      <c r="U964" s="5">
        <v>0.42612916655119698</v>
      </c>
    </row>
    <row r="965" spans="1:21" x14ac:dyDescent="0.3">
      <c r="A965" s="5" t="s">
        <v>907</v>
      </c>
      <c r="B965" s="5" t="s">
        <v>908</v>
      </c>
      <c r="C965" s="5">
        <v>68</v>
      </c>
      <c r="D965" s="5">
        <v>68</v>
      </c>
      <c r="E965" s="5">
        <v>1</v>
      </c>
      <c r="F965" s="6">
        <v>60.433599999999998</v>
      </c>
      <c r="G965" s="5">
        <v>2.9868099999999999E-3</v>
      </c>
      <c r="H965" s="5">
        <v>60.433999999999997</v>
      </c>
      <c r="I965" s="5" t="s">
        <v>11</v>
      </c>
      <c r="J965" s="5">
        <v>1</v>
      </c>
      <c r="K965" s="5" t="s">
        <v>2</v>
      </c>
      <c r="L965" s="5" t="s">
        <v>909</v>
      </c>
      <c r="M965" s="5" t="s">
        <v>910</v>
      </c>
      <c r="N965" s="5" t="s">
        <v>911</v>
      </c>
      <c r="O965" s="5">
        <v>6</v>
      </c>
      <c r="P965" s="6">
        <v>2732200</v>
      </c>
      <c r="Q965" s="5">
        <v>1584300</v>
      </c>
      <c r="R965" s="5">
        <v>1147900</v>
      </c>
      <c r="S965" s="5">
        <v>0.69908999999999999</v>
      </c>
      <c r="T965" s="5">
        <f>LOG(Table2[[#This Row],[ratio heavy to light normalized]],2)</f>
        <v>-0.51644989651778839</v>
      </c>
      <c r="U965" s="5">
        <v>0.15622624501976001</v>
      </c>
    </row>
    <row r="966" spans="1:21" x14ac:dyDescent="0.3">
      <c r="A966" s="5" t="s">
        <v>1548</v>
      </c>
      <c r="B966" s="5" t="s">
        <v>1549</v>
      </c>
      <c r="C966" s="5">
        <v>143</v>
      </c>
      <c r="D966" s="5">
        <v>143</v>
      </c>
      <c r="E966" s="5">
        <v>1</v>
      </c>
      <c r="F966" s="6">
        <v>114.401</v>
      </c>
      <c r="G966" s="7">
        <v>9.6159799999999999E-20</v>
      </c>
      <c r="H966" s="5">
        <v>114.4</v>
      </c>
      <c r="I966" s="5" t="s">
        <v>11</v>
      </c>
      <c r="J966" s="5">
        <v>1</v>
      </c>
      <c r="K966" s="5" t="s">
        <v>2</v>
      </c>
      <c r="L966" s="5" t="s">
        <v>1550</v>
      </c>
      <c r="M966" s="5" t="s">
        <v>1551</v>
      </c>
      <c r="N966" s="5" t="s">
        <v>1552</v>
      </c>
      <c r="O966" s="5">
        <v>6</v>
      </c>
      <c r="P966" s="6">
        <v>1330900</v>
      </c>
      <c r="Q966" s="5">
        <v>747090</v>
      </c>
      <c r="R966" s="5">
        <v>583820</v>
      </c>
      <c r="S966" s="5">
        <v>0.69847999999999999</v>
      </c>
      <c r="T966" s="5">
        <f>LOG(Table2[[#This Row],[ratio heavy to light normalized]],2)</f>
        <v>-0.51770928822028239</v>
      </c>
      <c r="U966" s="5">
        <v>0.30772094540182898</v>
      </c>
    </row>
    <row r="967" spans="1:21" x14ac:dyDescent="0.3">
      <c r="A967" s="5" t="s">
        <v>2067</v>
      </c>
      <c r="B967" s="5" t="s">
        <v>2068</v>
      </c>
      <c r="C967" s="5">
        <v>47</v>
      </c>
      <c r="D967" s="5">
        <v>47</v>
      </c>
      <c r="E967" s="5">
        <v>1</v>
      </c>
      <c r="F967" s="6">
        <v>65.305199999999999</v>
      </c>
      <c r="G967" s="5">
        <v>2.32084E-4</v>
      </c>
      <c r="H967" s="5">
        <v>65.305000000000007</v>
      </c>
      <c r="I967" s="5" t="s">
        <v>11</v>
      </c>
      <c r="J967" s="5">
        <v>1</v>
      </c>
      <c r="K967" s="5" t="s">
        <v>2</v>
      </c>
      <c r="L967" s="5" t="s">
        <v>2069</v>
      </c>
      <c r="M967" s="5" t="s">
        <v>2070</v>
      </c>
      <c r="N967" s="5" t="s">
        <v>2071</v>
      </c>
      <c r="O967" s="5">
        <v>4</v>
      </c>
      <c r="P967" s="6">
        <v>821950</v>
      </c>
      <c r="Q967" s="5">
        <v>493860</v>
      </c>
      <c r="R967" s="5">
        <v>328090</v>
      </c>
      <c r="S967" s="5">
        <v>0.69798000000000004</v>
      </c>
      <c r="T967" s="5">
        <f>LOG(Table2[[#This Row],[ratio heavy to light normalized]],2)</f>
        <v>-0.51874239701146818</v>
      </c>
      <c r="U967" s="5">
        <v>0.42189350777703599</v>
      </c>
    </row>
    <row r="968" spans="1:21" x14ac:dyDescent="0.3">
      <c r="A968" s="5" t="s">
        <v>1513</v>
      </c>
      <c r="B968" s="5" t="s">
        <v>1514</v>
      </c>
      <c r="C968" s="5">
        <v>106</v>
      </c>
      <c r="D968" s="5">
        <v>106</v>
      </c>
      <c r="E968" s="5">
        <v>1</v>
      </c>
      <c r="F968" s="6">
        <v>41.0916</v>
      </c>
      <c r="G968" s="5">
        <v>5.4583899999999996E-3</v>
      </c>
      <c r="H968" s="5">
        <v>41.091999999999999</v>
      </c>
      <c r="I968" s="5" t="s">
        <v>11</v>
      </c>
      <c r="J968" s="5">
        <v>1</v>
      </c>
      <c r="K968" s="5" t="s">
        <v>2</v>
      </c>
      <c r="L968" s="5" t="s">
        <v>2043</v>
      </c>
      <c r="M968" s="5" t="s">
        <v>2044</v>
      </c>
      <c r="N968" s="5" t="s">
        <v>2045</v>
      </c>
      <c r="O968" s="5">
        <v>11</v>
      </c>
      <c r="P968" s="6">
        <v>578240</v>
      </c>
      <c r="Q968" s="5">
        <v>271360</v>
      </c>
      <c r="R968" s="5">
        <v>306880</v>
      </c>
      <c r="S968" s="5">
        <v>0.69601999999999997</v>
      </c>
      <c r="T968" s="5">
        <f>LOG(Table2[[#This Row],[ratio heavy to light normalized]],2)</f>
        <v>-0.52279933265494194</v>
      </c>
      <c r="U968" s="5">
        <v>0.41599110868253603</v>
      </c>
    </row>
    <row r="969" spans="1:21" x14ac:dyDescent="0.3">
      <c r="A969" s="5" t="s">
        <v>2038</v>
      </c>
      <c r="B969" s="5" t="s">
        <v>2039</v>
      </c>
      <c r="C969" s="5">
        <v>16</v>
      </c>
      <c r="D969" s="5">
        <v>16</v>
      </c>
      <c r="E969" s="5">
        <v>1</v>
      </c>
      <c r="F969" s="6">
        <v>65.841700000000003</v>
      </c>
      <c r="G969" s="7">
        <v>8.8004800000000001E-6</v>
      </c>
      <c r="H969" s="5">
        <v>65.841999999999999</v>
      </c>
      <c r="I969" s="5" t="s">
        <v>11</v>
      </c>
      <c r="J969" s="5">
        <v>1</v>
      </c>
      <c r="K969" s="5" t="s">
        <v>2</v>
      </c>
      <c r="L969" s="5" t="s">
        <v>2040</v>
      </c>
      <c r="M969" s="5" t="s">
        <v>2041</v>
      </c>
      <c r="N969" s="5" t="s">
        <v>2042</v>
      </c>
      <c r="O969" s="5">
        <v>9</v>
      </c>
      <c r="P969" s="6">
        <v>664500</v>
      </c>
      <c r="Q969" s="5">
        <v>411930</v>
      </c>
      <c r="R969" s="5">
        <v>252570</v>
      </c>
      <c r="S969" s="5">
        <v>0.69562999999999997</v>
      </c>
      <c r="T969" s="5">
        <f>LOG(Table2[[#This Row],[ratio heavy to light normalized]],2)</f>
        <v>-0.52360794269435729</v>
      </c>
      <c r="U969" s="5">
        <v>0.41482052276626402</v>
      </c>
    </row>
    <row r="970" spans="1:21" x14ac:dyDescent="0.3">
      <c r="A970" s="5" t="s">
        <v>1082</v>
      </c>
      <c r="B970" s="5" t="s">
        <v>1083</v>
      </c>
      <c r="C970" s="5">
        <v>327</v>
      </c>
      <c r="D970" s="5">
        <v>327</v>
      </c>
      <c r="E970" s="5">
        <v>1</v>
      </c>
      <c r="F970" s="6">
        <v>53.774799999999999</v>
      </c>
      <c r="G970" s="5">
        <v>7.4309199999999999E-4</v>
      </c>
      <c r="H970" s="5">
        <v>53.774999999999999</v>
      </c>
      <c r="I970" s="5" t="s">
        <v>11</v>
      </c>
      <c r="J970" s="5">
        <v>1</v>
      </c>
      <c r="K970" s="5" t="s">
        <v>2</v>
      </c>
      <c r="L970" s="5" t="s">
        <v>2035</v>
      </c>
      <c r="M970" s="5" t="s">
        <v>2036</v>
      </c>
      <c r="N970" s="5" t="s">
        <v>2037</v>
      </c>
      <c r="O970" s="5">
        <v>3</v>
      </c>
      <c r="P970" s="6">
        <v>786640</v>
      </c>
      <c r="Q970" s="5">
        <v>412510</v>
      </c>
      <c r="R970" s="5">
        <v>374130</v>
      </c>
      <c r="S970" s="5">
        <v>0.69516</v>
      </c>
      <c r="T970" s="5">
        <f>LOG(Table2[[#This Row],[ratio heavy to light normalized]],2)</f>
        <v>-0.52458302404384904</v>
      </c>
      <c r="U970" s="5">
        <v>0.41341153732952601</v>
      </c>
    </row>
    <row r="971" spans="1:21" x14ac:dyDescent="0.3">
      <c r="A971" s="5" t="s">
        <v>278</v>
      </c>
      <c r="B971" s="5" t="s">
        <v>279</v>
      </c>
      <c r="C971" s="5">
        <v>102</v>
      </c>
      <c r="D971" s="5">
        <v>102</v>
      </c>
      <c r="E971" s="5">
        <v>1</v>
      </c>
      <c r="F971" s="6">
        <v>117.69799999999999</v>
      </c>
      <c r="G971" s="7">
        <v>1.8347300000000001E-20</v>
      </c>
      <c r="H971" s="5">
        <v>117.7</v>
      </c>
      <c r="I971" s="5" t="s">
        <v>11</v>
      </c>
      <c r="J971" s="5">
        <v>1</v>
      </c>
      <c r="K971" s="5" t="s">
        <v>2</v>
      </c>
      <c r="L971" s="5" t="s">
        <v>1521</v>
      </c>
      <c r="M971" s="5" t="s">
        <v>1522</v>
      </c>
      <c r="N971" s="5" t="s">
        <v>1523</v>
      </c>
      <c r="O971" s="5">
        <v>9</v>
      </c>
      <c r="P971" s="6">
        <v>1840300</v>
      </c>
      <c r="Q971" s="5">
        <v>1061400</v>
      </c>
      <c r="R971" s="5">
        <v>778860</v>
      </c>
      <c r="S971" s="5">
        <v>0.69481000000000004</v>
      </c>
      <c r="T971" s="5">
        <f>LOG(Table2[[#This Row],[ratio heavy to light normalized]],2)</f>
        <v>-0.52530957681115065</v>
      </c>
      <c r="U971" s="5">
        <v>0.29859869107951398</v>
      </c>
    </row>
    <row r="972" spans="1:21" x14ac:dyDescent="0.3">
      <c r="A972" s="5" t="s">
        <v>121</v>
      </c>
      <c r="B972" s="5" t="s">
        <v>122</v>
      </c>
      <c r="C972" s="5">
        <v>415</v>
      </c>
      <c r="D972" s="5">
        <v>415</v>
      </c>
      <c r="E972" s="5">
        <v>1</v>
      </c>
      <c r="F972" s="6">
        <v>27.7</v>
      </c>
      <c r="G972" s="7">
        <v>1.09837E-28</v>
      </c>
      <c r="H972" s="5">
        <v>103.5</v>
      </c>
      <c r="I972" s="5"/>
      <c r="J972" s="5">
        <v>1</v>
      </c>
      <c r="K972" s="5" t="s">
        <v>2</v>
      </c>
      <c r="L972" s="5" t="s">
        <v>885</v>
      </c>
      <c r="M972" s="5" t="s">
        <v>886</v>
      </c>
      <c r="N972" s="5" t="s">
        <v>887</v>
      </c>
      <c r="O972" s="5">
        <v>12</v>
      </c>
      <c r="P972" s="6">
        <v>5524800</v>
      </c>
      <c r="Q972" s="5">
        <v>2942100</v>
      </c>
      <c r="R972" s="5">
        <v>2582700</v>
      </c>
      <c r="S972" s="5">
        <v>0.69477999999999995</v>
      </c>
      <c r="T972" s="5">
        <f>LOG(Table2[[#This Row],[ratio heavy to light normalized]],2)</f>
        <v>-0.52537186979143047</v>
      </c>
      <c r="U972" s="5">
        <v>0.14759841462474199</v>
      </c>
    </row>
    <row r="973" spans="1:21" x14ac:dyDescent="0.3">
      <c r="A973" s="5" t="s">
        <v>942</v>
      </c>
      <c r="B973" s="5" t="s">
        <v>943</v>
      </c>
      <c r="C973" s="5">
        <v>341</v>
      </c>
      <c r="D973" s="5">
        <v>341</v>
      </c>
      <c r="E973" s="5">
        <v>1</v>
      </c>
      <c r="F973" s="6">
        <v>42.335900000000002</v>
      </c>
      <c r="G973" s="5">
        <v>3.9540199999999998E-2</v>
      </c>
      <c r="H973" s="5">
        <v>42.335999999999999</v>
      </c>
      <c r="I973" s="5" t="s">
        <v>11</v>
      </c>
      <c r="J973" s="5">
        <v>1</v>
      </c>
      <c r="K973" s="5" t="s">
        <v>2</v>
      </c>
      <c r="L973" s="5" t="s">
        <v>2024</v>
      </c>
      <c r="M973" s="5" t="s">
        <v>2025</v>
      </c>
      <c r="N973" s="5" t="s">
        <v>2026</v>
      </c>
      <c r="O973" s="5">
        <v>5</v>
      </c>
      <c r="P973" s="6">
        <v>727460</v>
      </c>
      <c r="Q973" s="5">
        <v>352240</v>
      </c>
      <c r="R973" s="5">
        <v>375220</v>
      </c>
      <c r="S973" s="5">
        <v>0.69457000000000002</v>
      </c>
      <c r="T973" s="5">
        <f>LOG(Table2[[#This Row],[ratio heavy to light normalized]],2)</f>
        <v>-0.52580799598122252</v>
      </c>
      <c r="U973" s="5">
        <v>0.411645483885061</v>
      </c>
    </row>
    <row r="974" spans="1:21" x14ac:dyDescent="0.3">
      <c r="A974" s="5" t="s">
        <v>508</v>
      </c>
      <c r="B974" s="5" t="s">
        <v>509</v>
      </c>
      <c r="C974" s="5">
        <v>298</v>
      </c>
      <c r="D974" s="5">
        <v>298</v>
      </c>
      <c r="E974" s="5">
        <v>1</v>
      </c>
      <c r="F974" s="6">
        <v>65.500500000000002</v>
      </c>
      <c r="G974" s="7">
        <v>7.4352100000000003E-5</v>
      </c>
      <c r="H974" s="5">
        <v>65.5</v>
      </c>
      <c r="I974" s="5" t="s">
        <v>11</v>
      </c>
      <c r="J974" s="5">
        <v>1</v>
      </c>
      <c r="K974" s="5" t="s">
        <v>2</v>
      </c>
      <c r="L974" s="5" t="s">
        <v>851</v>
      </c>
      <c r="M974" s="5" t="s">
        <v>852</v>
      </c>
      <c r="N974" s="5" t="s">
        <v>853</v>
      </c>
      <c r="O974" s="5">
        <v>6</v>
      </c>
      <c r="P974" s="6">
        <v>5429900</v>
      </c>
      <c r="Q974" s="5">
        <v>2737500</v>
      </c>
      <c r="R974" s="5">
        <v>2692400</v>
      </c>
      <c r="S974" s="5">
        <v>0.69201999999999997</v>
      </c>
      <c r="T974" s="5">
        <f>LOG(Table2[[#This Row],[ratio heavy to light normalized]],2)</f>
        <v>-0.5311143612394349</v>
      </c>
      <c r="U974" s="5">
        <v>0.14224096406077899</v>
      </c>
    </row>
    <row r="975" spans="1:21" x14ac:dyDescent="0.3">
      <c r="A975" s="5" t="s">
        <v>3895</v>
      </c>
      <c r="B975" s="5" t="s">
        <v>3896</v>
      </c>
      <c r="C975" s="5">
        <v>248</v>
      </c>
      <c r="D975" s="5">
        <v>248</v>
      </c>
      <c r="E975" s="5">
        <v>1</v>
      </c>
      <c r="F975" s="6">
        <v>23.0275</v>
      </c>
      <c r="G975" s="5">
        <v>0.387795</v>
      </c>
      <c r="H975" s="5">
        <v>23.027999999999999</v>
      </c>
      <c r="I975" s="5" t="s">
        <v>11</v>
      </c>
      <c r="J975" s="5">
        <v>1</v>
      </c>
      <c r="K975" s="5" t="s">
        <v>2</v>
      </c>
      <c r="L975" s="5" t="s">
        <v>3897</v>
      </c>
      <c r="M975" s="5" t="s">
        <v>3898</v>
      </c>
      <c r="N975" s="5" t="s">
        <v>3899</v>
      </c>
      <c r="O975" s="5">
        <v>6</v>
      </c>
      <c r="P975" s="6">
        <v>141360000</v>
      </c>
      <c r="Q975" s="5">
        <v>60187000</v>
      </c>
      <c r="R975" s="5">
        <v>81173000</v>
      </c>
      <c r="S975" s="5">
        <v>0.89929999999999999</v>
      </c>
      <c r="T975" s="5">
        <f>LOG(Table2[[#This Row],[ratio heavy to light normalized]],2)</f>
        <v>-0.15312562618508427</v>
      </c>
      <c r="U975" s="5">
        <v>0.85045020411608996</v>
      </c>
    </row>
    <row r="976" spans="1:21" x14ac:dyDescent="0.3">
      <c r="A976" s="5" t="s">
        <v>1873</v>
      </c>
      <c r="B976" s="5" t="s">
        <v>1874</v>
      </c>
      <c r="C976" s="5">
        <v>185</v>
      </c>
      <c r="D976" s="5">
        <v>185</v>
      </c>
      <c r="E976" s="5">
        <v>1</v>
      </c>
      <c r="F976" s="6">
        <v>62.464199999999998</v>
      </c>
      <c r="G976" s="5">
        <v>1.88273E-4</v>
      </c>
      <c r="H976" s="5">
        <v>62.463999999999999</v>
      </c>
      <c r="I976" s="5" t="s">
        <v>11</v>
      </c>
      <c r="J976" s="5">
        <v>1</v>
      </c>
      <c r="K976" s="5" t="s">
        <v>2</v>
      </c>
      <c r="L976" s="5" t="s">
        <v>1875</v>
      </c>
      <c r="M976" s="5" t="s">
        <v>1876</v>
      </c>
      <c r="N976" s="5" t="s">
        <v>1877</v>
      </c>
      <c r="O976" s="5">
        <v>6</v>
      </c>
      <c r="P976" s="6">
        <v>318400</v>
      </c>
      <c r="Q976" s="5">
        <v>200870</v>
      </c>
      <c r="R976" s="5">
        <v>117520</v>
      </c>
      <c r="S976" s="5">
        <v>0.68459000000000003</v>
      </c>
      <c r="T976" s="5">
        <f>LOG(Table2[[#This Row],[ratio heavy to light normalized]],2)</f>
        <v>-0.54668787624071824</v>
      </c>
      <c r="U976" s="5">
        <v>0.38223656801720601</v>
      </c>
    </row>
    <row r="977" spans="1:21" x14ac:dyDescent="0.3">
      <c r="A977" s="5" t="s">
        <v>1221</v>
      </c>
      <c r="B977" s="5" t="s">
        <v>1222</v>
      </c>
      <c r="C977" s="5">
        <v>378</v>
      </c>
      <c r="D977" s="5">
        <v>378</v>
      </c>
      <c r="E977" s="5">
        <v>1</v>
      </c>
      <c r="F977" s="6">
        <v>16.619199999999999</v>
      </c>
      <c r="G977" s="5">
        <v>7.4518500000000001E-2</v>
      </c>
      <c r="H977" s="5">
        <v>34.692</v>
      </c>
      <c r="I977" s="5"/>
      <c r="J977" s="5">
        <v>1</v>
      </c>
      <c r="K977" s="5" t="s">
        <v>2</v>
      </c>
      <c r="L977" s="5" t="s">
        <v>3903</v>
      </c>
      <c r="M977" s="5" t="s">
        <v>3904</v>
      </c>
      <c r="N977" s="5" t="s">
        <v>3905</v>
      </c>
      <c r="O977" s="5">
        <v>7</v>
      </c>
      <c r="P977" s="6">
        <v>713020</v>
      </c>
      <c r="Q977" s="5">
        <v>310710</v>
      </c>
      <c r="R977" s="5">
        <v>402310</v>
      </c>
      <c r="S977" s="5">
        <v>0.92188000000000003</v>
      </c>
      <c r="T977" s="5">
        <f>LOG(Table2[[#This Row],[ratio heavy to light normalized]],2)</f>
        <v>-0.11734912587271593</v>
      </c>
      <c r="U977" s="5">
        <v>0.85096067148842003</v>
      </c>
    </row>
    <row r="978" spans="1:21" x14ac:dyDescent="0.3">
      <c r="A978" s="5" t="s">
        <v>1420</v>
      </c>
      <c r="B978" s="5" t="s">
        <v>1421</v>
      </c>
      <c r="C978" s="5">
        <v>69</v>
      </c>
      <c r="D978" s="5">
        <v>69</v>
      </c>
      <c r="E978" s="5">
        <v>1</v>
      </c>
      <c r="F978" s="6">
        <v>45.139699999999998</v>
      </c>
      <c r="G978" s="5">
        <v>1.09726E-4</v>
      </c>
      <c r="H978" s="5">
        <v>45.14</v>
      </c>
      <c r="I978" s="5"/>
      <c r="J978" s="5">
        <v>1</v>
      </c>
      <c r="K978" s="5" t="s">
        <v>2</v>
      </c>
      <c r="L978" s="5" t="s">
        <v>1422</v>
      </c>
      <c r="M978" s="5" t="s">
        <v>1423</v>
      </c>
      <c r="N978" s="5" t="s">
        <v>1424</v>
      </c>
      <c r="O978" s="5">
        <v>14</v>
      </c>
      <c r="P978" s="6">
        <v>1872800</v>
      </c>
      <c r="Q978" s="5">
        <v>1013800</v>
      </c>
      <c r="R978" s="5">
        <v>858940</v>
      </c>
      <c r="S978" s="5">
        <v>0.68330000000000002</v>
      </c>
      <c r="T978" s="5">
        <f>LOG(Table2[[#This Row],[ratio heavy to light normalized]],2)</f>
        <v>-0.54940896807481132</v>
      </c>
      <c r="U978" s="5">
        <v>0.27087742067603099</v>
      </c>
    </row>
    <row r="979" spans="1:21" x14ac:dyDescent="0.3">
      <c r="A979" s="5" t="s">
        <v>323</v>
      </c>
      <c r="B979" s="5" t="s">
        <v>324</v>
      </c>
      <c r="C979" s="5">
        <v>430</v>
      </c>
      <c r="D979" s="5">
        <v>430</v>
      </c>
      <c r="E979" s="5">
        <v>1</v>
      </c>
      <c r="F979" s="6">
        <v>43.991199999999999</v>
      </c>
      <c r="G979" s="5">
        <v>1.18762E-2</v>
      </c>
      <c r="H979" s="5">
        <v>43.991</v>
      </c>
      <c r="I979" s="5" t="s">
        <v>11</v>
      </c>
      <c r="J979" s="5">
        <v>1</v>
      </c>
      <c r="K979" s="5" t="s">
        <v>2</v>
      </c>
      <c r="L979" s="5" t="s">
        <v>768</v>
      </c>
      <c r="M979" s="5" t="s">
        <v>769</v>
      </c>
      <c r="N979" s="5" t="s">
        <v>770</v>
      </c>
      <c r="O979" s="5">
        <v>5</v>
      </c>
      <c r="P979" s="6">
        <v>3517300</v>
      </c>
      <c r="Q979" s="5">
        <v>1494100</v>
      </c>
      <c r="R979" s="5">
        <v>2023200</v>
      </c>
      <c r="S979" s="5">
        <v>0.68239000000000005</v>
      </c>
      <c r="T979" s="5">
        <f>LOG(Table2[[#This Row],[ratio heavy to light normalized]],2)</f>
        <v>-0.55133158987259723</v>
      </c>
      <c r="U979" s="5">
        <v>0.12456210714813</v>
      </c>
    </row>
    <row r="980" spans="1:21" x14ac:dyDescent="0.3">
      <c r="A980" s="5" t="s">
        <v>996</v>
      </c>
      <c r="B980" s="5" t="s">
        <v>997</v>
      </c>
      <c r="C980" s="5">
        <v>345</v>
      </c>
      <c r="D980" s="5">
        <v>345</v>
      </c>
      <c r="E980" s="5">
        <v>1</v>
      </c>
      <c r="F980" s="6">
        <v>105.396</v>
      </c>
      <c r="G980" s="7">
        <v>3.4977799999999998E-15</v>
      </c>
      <c r="H980" s="5">
        <v>105.4</v>
      </c>
      <c r="I980" s="5" t="s">
        <v>11</v>
      </c>
      <c r="J980" s="5">
        <v>1</v>
      </c>
      <c r="K980" s="5" t="s">
        <v>2</v>
      </c>
      <c r="L980" s="5" t="s">
        <v>1404</v>
      </c>
      <c r="M980" s="5" t="s">
        <v>1405</v>
      </c>
      <c r="N980" s="5" t="s">
        <v>1406</v>
      </c>
      <c r="O980" s="5">
        <v>7</v>
      </c>
      <c r="P980" s="6">
        <v>1450600</v>
      </c>
      <c r="Q980" s="5">
        <v>884300</v>
      </c>
      <c r="R980" s="5">
        <v>566340</v>
      </c>
      <c r="S980" s="5">
        <v>0.68181000000000003</v>
      </c>
      <c r="T980" s="5">
        <f>LOG(Table2[[#This Row],[ratio heavy to light normalized]],2)</f>
        <v>-0.55255833547314426</v>
      </c>
      <c r="U980" s="5">
        <v>0.26738947008571201</v>
      </c>
    </row>
    <row r="981" spans="1:21" x14ac:dyDescent="0.3">
      <c r="A981" s="5" t="s">
        <v>1399</v>
      </c>
      <c r="B981" s="5" t="s">
        <v>1400</v>
      </c>
      <c r="C981" s="5">
        <v>416</v>
      </c>
      <c r="D981" s="5">
        <v>416</v>
      </c>
      <c r="E981" s="5">
        <v>1</v>
      </c>
      <c r="F981" s="6">
        <v>26.1463</v>
      </c>
      <c r="G981" s="5">
        <v>1.57252E-3</v>
      </c>
      <c r="H981" s="5">
        <v>37.082999999999998</v>
      </c>
      <c r="I981" s="5"/>
      <c r="J981" s="5">
        <v>1</v>
      </c>
      <c r="K981" s="5" t="s">
        <v>2</v>
      </c>
      <c r="L981" s="5" t="s">
        <v>1401</v>
      </c>
      <c r="M981" s="5" t="s">
        <v>1402</v>
      </c>
      <c r="N981" s="5" t="s">
        <v>1403</v>
      </c>
      <c r="O981" s="5">
        <v>10</v>
      </c>
      <c r="P981" s="6">
        <v>2181400</v>
      </c>
      <c r="Q981" s="5">
        <v>1330000</v>
      </c>
      <c r="R981" s="5">
        <v>851400</v>
      </c>
      <c r="S981" s="5">
        <v>0.68147999999999997</v>
      </c>
      <c r="T981" s="5">
        <f>LOG(Table2[[#This Row],[ratio heavy to light normalized]],2)</f>
        <v>-0.55325677729079425</v>
      </c>
      <c r="U981" s="5">
        <v>0.26662014200658901</v>
      </c>
    </row>
    <row r="982" spans="1:21" x14ac:dyDescent="0.3">
      <c r="A982" s="5" t="s">
        <v>735</v>
      </c>
      <c r="B982" s="5" t="s">
        <v>736</v>
      </c>
      <c r="C982" s="5">
        <v>374</v>
      </c>
      <c r="D982" s="5">
        <v>374</v>
      </c>
      <c r="E982" s="5">
        <v>1</v>
      </c>
      <c r="F982" s="6">
        <v>42.337600000000002</v>
      </c>
      <c r="G982" s="5">
        <v>2.36493E-4</v>
      </c>
      <c r="H982" s="5">
        <v>42.338000000000001</v>
      </c>
      <c r="I982" s="5"/>
      <c r="J982" s="5">
        <v>1</v>
      </c>
      <c r="K982" s="5" t="s">
        <v>2</v>
      </c>
      <c r="L982" s="5" t="s">
        <v>1391</v>
      </c>
      <c r="M982" s="5" t="s">
        <v>1392</v>
      </c>
      <c r="N982" s="5" t="s">
        <v>1393</v>
      </c>
      <c r="O982" s="5">
        <v>16</v>
      </c>
      <c r="P982" s="6">
        <v>1753400</v>
      </c>
      <c r="Q982" s="5">
        <v>760750</v>
      </c>
      <c r="R982" s="5">
        <v>992630</v>
      </c>
      <c r="S982" s="5">
        <v>0.68100000000000005</v>
      </c>
      <c r="T982" s="5">
        <f>LOG(Table2[[#This Row],[ratio heavy to light normalized]],2)</f>
        <v>-0.55427329665001579</v>
      </c>
      <c r="U982" s="5">
        <v>0.265503177479263</v>
      </c>
    </row>
    <row r="983" spans="1:21" x14ac:dyDescent="0.3">
      <c r="A983" s="5" t="s">
        <v>293</v>
      </c>
      <c r="B983" s="5" t="s">
        <v>294</v>
      </c>
      <c r="C983" s="5">
        <v>203</v>
      </c>
      <c r="D983" s="5">
        <v>203</v>
      </c>
      <c r="E983" s="5">
        <v>1</v>
      </c>
      <c r="F983" s="6">
        <v>32.067700000000002</v>
      </c>
      <c r="G983" s="5">
        <v>4.9865899999999998E-2</v>
      </c>
      <c r="H983" s="5">
        <v>32.067999999999998</v>
      </c>
      <c r="I983" s="5" t="s">
        <v>11</v>
      </c>
      <c r="J983" s="5">
        <v>1</v>
      </c>
      <c r="K983" s="5" t="s">
        <v>2</v>
      </c>
      <c r="L983" s="5" t="s">
        <v>1824</v>
      </c>
      <c r="M983" s="5" t="s">
        <v>1825</v>
      </c>
      <c r="N983" s="5" t="s">
        <v>1826</v>
      </c>
      <c r="O983" s="5">
        <v>13</v>
      </c>
      <c r="P983" s="6">
        <v>473080</v>
      </c>
      <c r="Q983" s="5">
        <v>311190</v>
      </c>
      <c r="R983" s="5">
        <v>161890</v>
      </c>
      <c r="S983" s="5">
        <v>0.68100000000000005</v>
      </c>
      <c r="T983" s="5">
        <f>LOG(Table2[[#This Row],[ratio heavy to light normalized]],2)</f>
        <v>-0.55427329665001579</v>
      </c>
      <c r="U983" s="5">
        <v>0.37187985958151498</v>
      </c>
    </row>
    <row r="984" spans="1:21" x14ac:dyDescent="0.3">
      <c r="A984" s="5" t="s">
        <v>1819</v>
      </c>
      <c r="B984" s="5" t="s">
        <v>1820</v>
      </c>
      <c r="C984" s="5">
        <v>51</v>
      </c>
      <c r="D984" s="5">
        <v>51</v>
      </c>
      <c r="E984" s="5">
        <v>1</v>
      </c>
      <c r="F984" s="6">
        <v>37.143999999999998</v>
      </c>
      <c r="G984" s="5">
        <v>3.66545E-2</v>
      </c>
      <c r="H984" s="5">
        <v>37.143999999999998</v>
      </c>
      <c r="I984" s="5"/>
      <c r="J984" s="5">
        <v>1</v>
      </c>
      <c r="K984" s="5" t="s">
        <v>2</v>
      </c>
      <c r="L984" s="5" t="s">
        <v>1821</v>
      </c>
      <c r="M984" s="5" t="s">
        <v>1822</v>
      </c>
      <c r="N984" s="5" t="s">
        <v>1823</v>
      </c>
      <c r="O984" s="5">
        <v>8</v>
      </c>
      <c r="P984" s="6">
        <v>479370</v>
      </c>
      <c r="Q984" s="5">
        <v>294880</v>
      </c>
      <c r="R984" s="5">
        <v>184490</v>
      </c>
      <c r="S984" s="5">
        <v>0.68093999999999999</v>
      </c>
      <c r="T984" s="5">
        <f>LOG(Table2[[#This Row],[ratio heavy to light normalized]],2)</f>
        <v>-0.55440041194512335</v>
      </c>
      <c r="U984" s="5">
        <v>0.37170779917594199</v>
      </c>
    </row>
    <row r="985" spans="1:21" x14ac:dyDescent="0.3">
      <c r="A985" s="5" t="s">
        <v>1805</v>
      </c>
      <c r="B985" s="5" t="s">
        <v>1806</v>
      </c>
      <c r="C985" s="5">
        <v>93</v>
      </c>
      <c r="D985" s="5">
        <v>93</v>
      </c>
      <c r="E985" s="5">
        <v>1</v>
      </c>
      <c r="F985" s="6">
        <v>40.7239</v>
      </c>
      <c r="G985" s="5">
        <v>1.6615700000000001E-2</v>
      </c>
      <c r="H985" s="5">
        <v>40.723999999999997</v>
      </c>
      <c r="I985" s="5"/>
      <c r="J985" s="5">
        <v>1</v>
      </c>
      <c r="K985" s="5" t="s">
        <v>2</v>
      </c>
      <c r="L985" s="5" t="s">
        <v>1807</v>
      </c>
      <c r="M985" s="5" t="s">
        <v>1808</v>
      </c>
      <c r="N985" s="5" t="s">
        <v>1809</v>
      </c>
      <c r="O985" s="5">
        <v>2</v>
      </c>
      <c r="P985" s="6">
        <v>584280</v>
      </c>
      <c r="Q985" s="5">
        <v>382740</v>
      </c>
      <c r="R985" s="5">
        <v>201540</v>
      </c>
      <c r="S985" s="5">
        <v>0.68001999999999996</v>
      </c>
      <c r="T985" s="5">
        <f>LOG(Table2[[#This Row],[ratio heavy to light normalized]],2)</f>
        <v>-0.55635091694129124</v>
      </c>
      <c r="U985" s="5">
        <v>0.36907383377729203</v>
      </c>
    </row>
    <row r="986" spans="1:21" x14ac:dyDescent="0.3">
      <c r="A986" s="5" t="s">
        <v>1800</v>
      </c>
      <c r="B986" s="5" t="s">
        <v>1801</v>
      </c>
      <c r="C986" s="5">
        <v>22</v>
      </c>
      <c r="D986" s="5">
        <v>22</v>
      </c>
      <c r="E986" s="5">
        <v>1</v>
      </c>
      <c r="F986" s="6">
        <v>94.023200000000003</v>
      </c>
      <c r="G986" s="7">
        <v>3.3532100000000001E-18</v>
      </c>
      <c r="H986" s="5">
        <v>94.022999999999996</v>
      </c>
      <c r="I986" s="5" t="s">
        <v>11</v>
      </c>
      <c r="J986" s="5">
        <v>1</v>
      </c>
      <c r="K986" s="5" t="s">
        <v>2</v>
      </c>
      <c r="L986" s="5" t="s">
        <v>1802</v>
      </c>
      <c r="M986" s="5" t="s">
        <v>1803</v>
      </c>
      <c r="N986" s="5" t="s">
        <v>1804</v>
      </c>
      <c r="O986" s="5">
        <v>8</v>
      </c>
      <c r="P986" s="6">
        <v>869090</v>
      </c>
      <c r="Q986" s="5">
        <v>546130</v>
      </c>
      <c r="R986" s="5">
        <v>322970</v>
      </c>
      <c r="S986" s="5">
        <v>0.67957000000000001</v>
      </c>
      <c r="T986" s="5">
        <f>LOG(Table2[[#This Row],[ratio heavy to light normalized]],2)</f>
        <v>-0.55730592954377711</v>
      </c>
      <c r="U986" s="5">
        <v>0.36778842687946001</v>
      </c>
    </row>
    <row r="987" spans="1:21" x14ac:dyDescent="0.3">
      <c r="A987" s="5" t="s">
        <v>407</v>
      </c>
      <c r="B987" s="5" t="s">
        <v>408</v>
      </c>
      <c r="C987" s="5">
        <v>650</v>
      </c>
      <c r="D987" s="5">
        <v>650</v>
      </c>
      <c r="E987" s="5">
        <v>1</v>
      </c>
      <c r="F987" s="6">
        <v>64.722800000000007</v>
      </c>
      <c r="G987" s="7">
        <v>4.2329699999999999E-11</v>
      </c>
      <c r="H987" s="5">
        <v>64.722999999999999</v>
      </c>
      <c r="I987" s="5"/>
      <c r="J987" s="5">
        <v>1</v>
      </c>
      <c r="K987" s="5" t="s">
        <v>2</v>
      </c>
      <c r="L987" s="5" t="s">
        <v>1352</v>
      </c>
      <c r="M987" s="5" t="s">
        <v>1353</v>
      </c>
      <c r="N987" s="5" t="s">
        <v>1354</v>
      </c>
      <c r="O987" s="5">
        <v>8</v>
      </c>
      <c r="P987" s="6">
        <v>1103600</v>
      </c>
      <c r="Q987" s="5">
        <v>652120</v>
      </c>
      <c r="R987" s="5">
        <v>451440</v>
      </c>
      <c r="S987" s="5">
        <v>0.67732000000000003</v>
      </c>
      <c r="T987" s="5">
        <f>LOG(Table2[[#This Row],[ratio heavy to light normalized]],2)</f>
        <v>-0.56209049839928271</v>
      </c>
      <c r="U987" s="5">
        <v>0.257021221933941</v>
      </c>
    </row>
    <row r="988" spans="1:21" x14ac:dyDescent="0.3">
      <c r="A988" s="5" t="s">
        <v>323</v>
      </c>
      <c r="B988" s="5" t="s">
        <v>324</v>
      </c>
      <c r="C988" s="5">
        <v>39</v>
      </c>
      <c r="D988" s="5">
        <v>39</v>
      </c>
      <c r="E988" s="5">
        <v>1</v>
      </c>
      <c r="F988" s="6">
        <v>26.187200000000001</v>
      </c>
      <c r="G988" s="5">
        <v>5.2173200000000003E-2</v>
      </c>
      <c r="H988" s="5">
        <v>26.187000000000001</v>
      </c>
      <c r="I988" s="5"/>
      <c r="J988" s="5">
        <v>1</v>
      </c>
      <c r="K988" s="5" t="s">
        <v>2</v>
      </c>
      <c r="L988" s="5" t="s">
        <v>3940</v>
      </c>
      <c r="M988" s="5" t="s">
        <v>3941</v>
      </c>
      <c r="N988" s="5" t="s">
        <v>3942</v>
      </c>
      <c r="O988" s="5">
        <v>10</v>
      </c>
      <c r="P988" s="6">
        <v>1178900</v>
      </c>
      <c r="Q988" s="5">
        <v>757310</v>
      </c>
      <c r="R988" s="5">
        <v>421560</v>
      </c>
      <c r="S988" s="5">
        <v>0.95345999999999997</v>
      </c>
      <c r="T988" s="5">
        <f>LOG(Table2[[#This Row],[ratio heavy to light normalized]],2)</f>
        <v>-6.875567969711377E-2</v>
      </c>
      <c r="U988" s="5">
        <v>0.86376509881406005</v>
      </c>
    </row>
    <row r="989" spans="1:21" x14ac:dyDescent="0.3">
      <c r="A989" s="5" t="s">
        <v>1767</v>
      </c>
      <c r="B989" s="5" t="s">
        <v>1768</v>
      </c>
      <c r="C989" s="5">
        <v>25</v>
      </c>
      <c r="D989" s="5">
        <v>25</v>
      </c>
      <c r="E989" s="5">
        <v>1</v>
      </c>
      <c r="F989" s="6">
        <v>80.311800000000005</v>
      </c>
      <c r="G989" s="7">
        <v>2.1832100000000001E-10</v>
      </c>
      <c r="H989" s="5">
        <v>80.311999999999998</v>
      </c>
      <c r="I989" s="5" t="s">
        <v>11</v>
      </c>
      <c r="J989" s="5">
        <v>1</v>
      </c>
      <c r="K989" s="5" t="s">
        <v>2</v>
      </c>
      <c r="L989" s="5" t="s">
        <v>1769</v>
      </c>
      <c r="M989" s="5" t="s">
        <v>1770</v>
      </c>
      <c r="N989" s="5" t="s">
        <v>1771</v>
      </c>
      <c r="O989" s="5">
        <v>5</v>
      </c>
      <c r="P989" s="6">
        <v>462860</v>
      </c>
      <c r="Q989" s="5">
        <v>242640</v>
      </c>
      <c r="R989" s="5">
        <v>220220</v>
      </c>
      <c r="S989" s="5">
        <v>0.67662999999999995</v>
      </c>
      <c r="T989" s="5">
        <f>LOG(Table2[[#This Row],[ratio heavy to light normalized]],2)</f>
        <v>-0.56356095102218795</v>
      </c>
      <c r="U989" s="5">
        <v>0.35943851500780399</v>
      </c>
    </row>
    <row r="990" spans="1:21" x14ac:dyDescent="0.3">
      <c r="A990" s="5" t="s">
        <v>1326</v>
      </c>
      <c r="B990" s="5" t="s">
        <v>1327</v>
      </c>
      <c r="C990" s="5">
        <v>46</v>
      </c>
      <c r="D990" s="5">
        <v>46</v>
      </c>
      <c r="E990" s="5">
        <v>1</v>
      </c>
      <c r="F990" s="6">
        <v>68.016099999999994</v>
      </c>
      <c r="G990" s="5">
        <v>1.9475699999999999E-4</v>
      </c>
      <c r="H990" s="5">
        <v>68.016000000000005</v>
      </c>
      <c r="I990" s="5" t="s">
        <v>11</v>
      </c>
      <c r="J990" s="5">
        <v>1</v>
      </c>
      <c r="K990" s="5" t="s">
        <v>2</v>
      </c>
      <c r="L990" s="5" t="s">
        <v>1328</v>
      </c>
      <c r="M990" s="5" t="s">
        <v>1329</v>
      </c>
      <c r="N990" s="5" t="s">
        <v>1330</v>
      </c>
      <c r="O990" s="5">
        <v>6</v>
      </c>
      <c r="P990" s="6">
        <v>2030000</v>
      </c>
      <c r="Q990" s="5">
        <v>1160400</v>
      </c>
      <c r="R990" s="5">
        <v>869600</v>
      </c>
      <c r="S990" s="5">
        <v>0.67559000000000002</v>
      </c>
      <c r="T990" s="5">
        <f>LOG(Table2[[#This Row],[ratio heavy to light normalized]],2)</f>
        <v>-0.56578012118438892</v>
      </c>
      <c r="U990" s="5">
        <v>0.253083883536873</v>
      </c>
    </row>
    <row r="991" spans="1:21" x14ac:dyDescent="0.3">
      <c r="A991" s="5" t="s">
        <v>1311</v>
      </c>
      <c r="B991" s="5" t="s">
        <v>1312</v>
      </c>
      <c r="C991" s="5">
        <v>330</v>
      </c>
      <c r="D991" s="5">
        <v>330</v>
      </c>
      <c r="E991" s="5">
        <v>1</v>
      </c>
      <c r="F991" s="6">
        <v>62.7654</v>
      </c>
      <c r="G991" s="7">
        <v>2.0000300000000002E-9</v>
      </c>
      <c r="H991" s="5">
        <v>62.765000000000001</v>
      </c>
      <c r="I991" s="5" t="s">
        <v>11</v>
      </c>
      <c r="J991" s="5">
        <v>1</v>
      </c>
      <c r="K991" s="5" t="s">
        <v>2</v>
      </c>
      <c r="L991" s="5" t="s">
        <v>1313</v>
      </c>
      <c r="M991" s="5" t="s">
        <v>1314</v>
      </c>
      <c r="N991" s="5" t="s">
        <v>1315</v>
      </c>
      <c r="O991" s="5">
        <v>3</v>
      </c>
      <c r="P991" s="6">
        <v>1126400</v>
      </c>
      <c r="Q991" s="5">
        <v>541530</v>
      </c>
      <c r="R991" s="5">
        <v>584920</v>
      </c>
      <c r="S991" s="5">
        <v>0.67442999999999997</v>
      </c>
      <c r="T991" s="5">
        <f>LOG(Table2[[#This Row],[ratio heavy to light normalized]],2)</f>
        <v>-0.56825938320908298</v>
      </c>
      <c r="U991" s="5">
        <v>0.25046188611315701</v>
      </c>
    </row>
    <row r="992" spans="1:21" x14ac:dyDescent="0.3">
      <c r="A992" s="5" t="s">
        <v>1303</v>
      </c>
      <c r="B992" s="5" t="s">
        <v>1304</v>
      </c>
      <c r="C992" s="5">
        <v>780</v>
      </c>
      <c r="D992" s="5">
        <v>780</v>
      </c>
      <c r="E992" s="5">
        <v>1</v>
      </c>
      <c r="F992" s="6">
        <v>116.726</v>
      </c>
      <c r="G992" s="7">
        <v>4.6962700000000003E-20</v>
      </c>
      <c r="H992" s="5">
        <v>116.73</v>
      </c>
      <c r="I992" s="5" t="s">
        <v>11</v>
      </c>
      <c r="J992" s="5">
        <v>1</v>
      </c>
      <c r="K992" s="5" t="s">
        <v>2</v>
      </c>
      <c r="L992" s="5" t="s">
        <v>1305</v>
      </c>
      <c r="M992" s="5" t="s">
        <v>1306</v>
      </c>
      <c r="N992" s="5" t="s">
        <v>1307</v>
      </c>
      <c r="O992" s="5">
        <v>6</v>
      </c>
      <c r="P992" s="6">
        <v>1918100</v>
      </c>
      <c r="Q992" s="5">
        <v>1087800</v>
      </c>
      <c r="R992" s="5">
        <v>830270</v>
      </c>
      <c r="S992" s="5">
        <v>0.67344000000000004</v>
      </c>
      <c r="T992" s="5">
        <f>LOG(Table2[[#This Row],[ratio heavy to light normalized]],2)</f>
        <v>-0.57037868009575632</v>
      </c>
      <c r="U992" s="5">
        <v>0.248235662364547</v>
      </c>
    </row>
    <row r="993" spans="1:21" x14ac:dyDescent="0.3">
      <c r="A993" s="5" t="s">
        <v>432</v>
      </c>
      <c r="B993" s="5" t="s">
        <v>433</v>
      </c>
      <c r="C993" s="5">
        <v>234</v>
      </c>
      <c r="D993" s="5">
        <v>234</v>
      </c>
      <c r="E993" s="5">
        <v>1</v>
      </c>
      <c r="F993" s="6">
        <v>103.54600000000001</v>
      </c>
      <c r="G993" s="7">
        <v>5.46891E-15</v>
      </c>
      <c r="H993" s="5">
        <v>103.55</v>
      </c>
      <c r="I993" s="5" t="s">
        <v>11</v>
      </c>
      <c r="J993" s="5">
        <v>1</v>
      </c>
      <c r="K993" s="5" t="s">
        <v>2</v>
      </c>
      <c r="L993" s="5" t="s">
        <v>1297</v>
      </c>
      <c r="M993" s="5" t="s">
        <v>1298</v>
      </c>
      <c r="N993" s="5" t="s">
        <v>1299</v>
      </c>
      <c r="O993" s="5">
        <v>4</v>
      </c>
      <c r="P993" s="6">
        <v>2455900</v>
      </c>
      <c r="Q993" s="5">
        <v>1310900</v>
      </c>
      <c r="R993" s="5">
        <v>1145100</v>
      </c>
      <c r="S993" s="5">
        <v>0.67242000000000002</v>
      </c>
      <c r="T993" s="5">
        <f>LOG(Table2[[#This Row],[ratio heavy to light normalized]],2)</f>
        <v>-0.57256545914179446</v>
      </c>
      <c r="U993" s="5">
        <v>0.245953102906525</v>
      </c>
    </row>
    <row r="994" spans="1:21" x14ac:dyDescent="0.3">
      <c r="A994" s="5" t="s">
        <v>981</v>
      </c>
      <c r="B994" s="5" t="s">
        <v>982</v>
      </c>
      <c r="C994" s="5">
        <v>459</v>
      </c>
      <c r="D994" s="5">
        <v>459</v>
      </c>
      <c r="E994" s="5">
        <v>0.94803199999999999</v>
      </c>
      <c r="F994" s="6">
        <v>12.610900000000001</v>
      </c>
      <c r="G994" s="5">
        <v>4.6607700000000002E-2</v>
      </c>
      <c r="H994" s="5">
        <v>27.739000000000001</v>
      </c>
      <c r="I994" s="5" t="s">
        <v>11</v>
      </c>
      <c r="J994" s="5">
        <v>1</v>
      </c>
      <c r="K994" s="5" t="s">
        <v>2</v>
      </c>
      <c r="L994" s="5" t="s">
        <v>1729</v>
      </c>
      <c r="M994" s="5" t="s">
        <v>1730</v>
      </c>
      <c r="N994" s="5" t="s">
        <v>1731</v>
      </c>
      <c r="O994" s="5">
        <v>18</v>
      </c>
      <c r="P994" s="6">
        <v>672620</v>
      </c>
      <c r="Q994" s="5">
        <v>344840</v>
      </c>
      <c r="R994" s="5">
        <v>327770</v>
      </c>
      <c r="S994" s="5">
        <v>0.67035999999999996</v>
      </c>
      <c r="T994" s="5">
        <f>LOG(Table2[[#This Row],[ratio heavy to light normalized]],2)</f>
        <v>-0.57699202807458649</v>
      </c>
      <c r="U994" s="5">
        <v>0.34191545363991499</v>
      </c>
    </row>
    <row r="995" spans="1:21" x14ac:dyDescent="0.3">
      <c r="A995" s="5" t="s">
        <v>1724</v>
      </c>
      <c r="B995" s="5" t="s">
        <v>1725</v>
      </c>
      <c r="C995" s="5">
        <v>101</v>
      </c>
      <c r="D995" s="5">
        <v>101</v>
      </c>
      <c r="E995" s="5">
        <v>1</v>
      </c>
      <c r="F995" s="6">
        <v>58.814999999999998</v>
      </c>
      <c r="G995" s="5">
        <v>3.9735600000000002E-4</v>
      </c>
      <c r="H995" s="5">
        <v>58.814999999999998</v>
      </c>
      <c r="I995" s="5" t="s">
        <v>11</v>
      </c>
      <c r="J995" s="5">
        <v>1</v>
      </c>
      <c r="K995" s="5" t="s">
        <v>2</v>
      </c>
      <c r="L995" s="5" t="s">
        <v>1726</v>
      </c>
      <c r="M995" s="5" t="s">
        <v>1727</v>
      </c>
      <c r="N995" s="5" t="s">
        <v>1728</v>
      </c>
      <c r="O995" s="5">
        <v>4</v>
      </c>
      <c r="P995" s="6">
        <v>779650</v>
      </c>
      <c r="Q995" s="5">
        <v>443110</v>
      </c>
      <c r="R995" s="5">
        <v>336550</v>
      </c>
      <c r="S995" s="5">
        <v>0.67018999999999995</v>
      </c>
      <c r="T995" s="5">
        <f>LOG(Table2[[#This Row],[ratio heavy to light normalized]],2)</f>
        <v>-0.5773579348416088</v>
      </c>
      <c r="U995" s="5">
        <v>0.341445843864562</v>
      </c>
    </row>
    <row r="996" spans="1:21" x14ac:dyDescent="0.3">
      <c r="A996" s="5" t="s">
        <v>1709</v>
      </c>
      <c r="B996" s="5" t="s">
        <v>1710</v>
      </c>
      <c r="C996" s="5">
        <v>19</v>
      </c>
      <c r="D996" s="5">
        <v>19</v>
      </c>
      <c r="E996" s="5">
        <v>1</v>
      </c>
      <c r="F996" s="6">
        <v>71.548000000000002</v>
      </c>
      <c r="G996" s="7">
        <v>7.6145300000000001E-8</v>
      </c>
      <c r="H996" s="5">
        <v>71.548000000000002</v>
      </c>
      <c r="I996" s="5" t="s">
        <v>11</v>
      </c>
      <c r="J996" s="5">
        <v>1</v>
      </c>
      <c r="K996" s="5" t="s">
        <v>2</v>
      </c>
      <c r="L996" s="5" t="s">
        <v>1711</v>
      </c>
      <c r="M996" s="5" t="s">
        <v>1712</v>
      </c>
      <c r="N996" s="5" t="s">
        <v>1713</v>
      </c>
      <c r="O996" s="5">
        <v>4</v>
      </c>
      <c r="P996" s="6">
        <v>833600</v>
      </c>
      <c r="Q996" s="5">
        <v>440820</v>
      </c>
      <c r="R996" s="5">
        <v>392780</v>
      </c>
      <c r="S996" s="5">
        <v>0.66979999999999995</v>
      </c>
      <c r="T996" s="5">
        <f>LOG(Table2[[#This Row],[ratio heavy to light normalized]],2)</f>
        <v>-0.57819771884273385</v>
      </c>
      <c r="U996" s="5">
        <v>0.34036961539233601</v>
      </c>
    </row>
    <row r="997" spans="1:21" x14ac:dyDescent="0.3">
      <c r="A997" s="5" t="s">
        <v>608</v>
      </c>
      <c r="B997" s="5" t="s">
        <v>609</v>
      </c>
      <c r="C997" s="5">
        <v>39</v>
      </c>
      <c r="D997" s="5">
        <v>39</v>
      </c>
      <c r="E997" s="5">
        <v>1</v>
      </c>
      <c r="F997" s="6">
        <v>55.762799999999999</v>
      </c>
      <c r="G997" s="7">
        <v>5.1880599999999996E-10</v>
      </c>
      <c r="H997" s="5">
        <v>55.762999999999998</v>
      </c>
      <c r="I997" s="5" t="s">
        <v>11</v>
      </c>
      <c r="J997" s="5">
        <v>1</v>
      </c>
      <c r="K997" s="5" t="s">
        <v>2</v>
      </c>
      <c r="L997" s="5" t="s">
        <v>1249</v>
      </c>
      <c r="M997" s="5" t="s">
        <v>1250</v>
      </c>
      <c r="N997" s="5" t="s">
        <v>1251</v>
      </c>
      <c r="O997" s="5">
        <v>9</v>
      </c>
      <c r="P997" s="6">
        <v>1101000</v>
      </c>
      <c r="Q997" s="5">
        <v>718240</v>
      </c>
      <c r="R997" s="5">
        <v>382800</v>
      </c>
      <c r="S997" s="5">
        <v>0.66881000000000002</v>
      </c>
      <c r="T997" s="5">
        <f>LOG(Table2[[#This Row],[ratio heavy to light normalized]],2)</f>
        <v>-0.580331676232692</v>
      </c>
      <c r="U997" s="5">
        <v>0.23796580676801901</v>
      </c>
    </row>
    <row r="998" spans="1:21" x14ac:dyDescent="0.3">
      <c r="A998" s="5" t="s">
        <v>813</v>
      </c>
      <c r="B998" s="5" t="s">
        <v>814</v>
      </c>
      <c r="C998" s="5">
        <v>46</v>
      </c>
      <c r="D998" s="5">
        <v>46</v>
      </c>
      <c r="E998" s="5">
        <v>1</v>
      </c>
      <c r="F998" s="6">
        <v>66.335300000000004</v>
      </c>
      <c r="G998" s="7">
        <v>6.5451100000000003E-7</v>
      </c>
      <c r="H998" s="5">
        <v>80.239000000000004</v>
      </c>
      <c r="I998" s="5"/>
      <c r="J998" s="5">
        <v>1</v>
      </c>
      <c r="K998" s="5" t="s">
        <v>2</v>
      </c>
      <c r="L998" s="5" t="s">
        <v>1666</v>
      </c>
      <c r="M998" s="5" t="s">
        <v>1667</v>
      </c>
      <c r="N998" s="5" t="s">
        <v>1668</v>
      </c>
      <c r="O998" s="5">
        <v>4</v>
      </c>
      <c r="P998" s="6">
        <v>581760</v>
      </c>
      <c r="Q998" s="5">
        <v>267190</v>
      </c>
      <c r="R998" s="5">
        <v>314570</v>
      </c>
      <c r="S998" s="5">
        <v>0.66508999999999996</v>
      </c>
      <c r="T998" s="5">
        <f>LOG(Table2[[#This Row],[ratio heavy to light normalized]],2)</f>
        <v>-0.58837851552446074</v>
      </c>
      <c r="U998" s="5">
        <v>0.32749558748560997</v>
      </c>
    </row>
    <row r="999" spans="1:21" x14ac:dyDescent="0.3">
      <c r="A999" s="5" t="s">
        <v>1631</v>
      </c>
      <c r="B999" s="5" t="s">
        <v>1632</v>
      </c>
      <c r="C999" s="5">
        <v>125</v>
      </c>
      <c r="D999" s="5">
        <v>125</v>
      </c>
      <c r="E999" s="5">
        <v>1</v>
      </c>
      <c r="F999" s="6">
        <v>72.652199999999993</v>
      </c>
      <c r="G999" s="7">
        <v>2.85289E-6</v>
      </c>
      <c r="H999" s="5">
        <v>72.652000000000001</v>
      </c>
      <c r="I999" s="5" t="s">
        <v>11</v>
      </c>
      <c r="J999" s="5">
        <v>1</v>
      </c>
      <c r="K999" s="5" t="s">
        <v>2</v>
      </c>
      <c r="L999" s="5" t="s">
        <v>1633</v>
      </c>
      <c r="M999" s="5" t="s">
        <v>1634</v>
      </c>
      <c r="N999" s="5" t="s">
        <v>1635</v>
      </c>
      <c r="O999" s="5">
        <v>5</v>
      </c>
      <c r="P999" s="6">
        <v>645550</v>
      </c>
      <c r="Q999" s="5">
        <v>393680</v>
      </c>
      <c r="R999" s="5">
        <v>251870</v>
      </c>
      <c r="S999" s="5">
        <v>0.66286</v>
      </c>
      <c r="T999" s="5">
        <f>LOG(Table2[[#This Row],[ratio heavy to light normalized]],2)</f>
        <v>-0.59322389820505128</v>
      </c>
      <c r="U999" s="5">
        <v>0.32148090149787201</v>
      </c>
    </row>
    <row r="1000" spans="1:21" x14ac:dyDescent="0.3">
      <c r="A1000" s="5" t="s">
        <v>1615</v>
      </c>
      <c r="B1000" s="5" t="s">
        <v>1616</v>
      </c>
      <c r="C1000" s="5">
        <v>10</v>
      </c>
      <c r="D1000" s="5">
        <v>10</v>
      </c>
      <c r="E1000" s="5">
        <v>1</v>
      </c>
      <c r="F1000" s="6">
        <v>87.257999999999996</v>
      </c>
      <c r="G1000" s="7">
        <v>2.5058099999999998E-10</v>
      </c>
      <c r="H1000" s="5">
        <v>87.257999999999996</v>
      </c>
      <c r="I1000" s="5" t="s">
        <v>11</v>
      </c>
      <c r="J1000" s="5">
        <v>1</v>
      </c>
      <c r="K1000" s="5" t="s">
        <v>2</v>
      </c>
      <c r="L1000" s="5" t="s">
        <v>1617</v>
      </c>
      <c r="M1000" s="5" t="s">
        <v>1618</v>
      </c>
      <c r="N1000" s="5" t="s">
        <v>1619</v>
      </c>
      <c r="O1000" s="5">
        <v>5</v>
      </c>
      <c r="P1000" s="6">
        <v>602880</v>
      </c>
      <c r="Q1000" s="5">
        <v>382760</v>
      </c>
      <c r="R1000" s="5">
        <v>220120</v>
      </c>
      <c r="S1000" s="5">
        <v>0.6623</v>
      </c>
      <c r="T1000" s="5">
        <f>LOG(Table2[[#This Row],[ratio heavy to light normalized]],2)</f>
        <v>-0.59444323665624321</v>
      </c>
      <c r="U1000" s="5">
        <v>0.31997874083625399</v>
      </c>
    </row>
    <row r="1001" spans="1:21" x14ac:dyDescent="0.3">
      <c r="A1001" s="5" t="s">
        <v>3148</v>
      </c>
      <c r="B1001" s="5" t="s">
        <v>3149</v>
      </c>
      <c r="C1001" s="5">
        <v>108</v>
      </c>
      <c r="D1001" s="5">
        <v>108</v>
      </c>
      <c r="E1001" s="5">
        <v>1</v>
      </c>
      <c r="F1001" s="6">
        <v>16.264800000000001</v>
      </c>
      <c r="G1001" s="5">
        <v>1.41761</v>
      </c>
      <c r="H1001" s="5">
        <v>16.265000000000001</v>
      </c>
      <c r="I1001" s="5"/>
      <c r="J1001" s="5">
        <v>1</v>
      </c>
      <c r="K1001" s="5" t="s">
        <v>2</v>
      </c>
      <c r="L1001" s="5" t="s">
        <v>3981</v>
      </c>
      <c r="M1001" s="5" t="s">
        <v>3982</v>
      </c>
      <c r="N1001" s="5" t="s">
        <v>3983</v>
      </c>
      <c r="O1001" s="5">
        <v>2</v>
      </c>
      <c r="P1001" s="6">
        <v>379700</v>
      </c>
      <c r="Q1001" s="5">
        <v>249560</v>
      </c>
      <c r="R1001" s="5">
        <v>130140</v>
      </c>
      <c r="S1001" s="5">
        <v>0.91402000000000005</v>
      </c>
      <c r="T1001" s="5">
        <f>LOG(Table2[[#This Row],[ratio heavy to light normalized]],2)</f>
        <v>-0.12970236113012865</v>
      </c>
      <c r="U1001" s="5">
        <v>0.87275946792879</v>
      </c>
    </row>
    <row r="1002" spans="1:21" x14ac:dyDescent="0.3">
      <c r="A1002" s="5" t="s">
        <v>2346</v>
      </c>
      <c r="B1002" s="5" t="s">
        <v>2347</v>
      </c>
      <c r="C1002" s="5">
        <v>225</v>
      </c>
      <c r="D1002" s="5">
        <v>225</v>
      </c>
      <c r="E1002" s="5">
        <v>1</v>
      </c>
      <c r="F1002" s="6">
        <v>19.286200000000001</v>
      </c>
      <c r="G1002" s="5">
        <v>0.84936999999999996</v>
      </c>
      <c r="H1002" s="5">
        <v>19.286000000000001</v>
      </c>
      <c r="I1002" s="5"/>
      <c r="J1002" s="5">
        <v>1</v>
      </c>
      <c r="K1002" s="5" t="s">
        <v>2</v>
      </c>
      <c r="L1002" s="5" t="s">
        <v>3984</v>
      </c>
      <c r="M1002" s="5" t="s">
        <v>3985</v>
      </c>
      <c r="N1002" s="5" t="s">
        <v>3986</v>
      </c>
      <c r="O1002" s="5">
        <v>11</v>
      </c>
      <c r="P1002" s="6">
        <v>799590</v>
      </c>
      <c r="Q1002" s="5">
        <v>322620</v>
      </c>
      <c r="R1002" s="5">
        <v>476970</v>
      </c>
      <c r="S1002" s="5">
        <v>0.83301000000000003</v>
      </c>
      <c r="T1002" s="5">
        <f>LOG(Table2[[#This Row],[ratio heavy to light normalized]],2)</f>
        <v>-0.2635942801322978</v>
      </c>
      <c r="U1002" s="5">
        <v>0.874329037050944</v>
      </c>
    </row>
    <row r="1003" spans="1:21" x14ac:dyDescent="0.3">
      <c r="A1003" s="5" t="s">
        <v>1496</v>
      </c>
      <c r="B1003" s="5" t="s">
        <v>1497</v>
      </c>
      <c r="C1003" s="5">
        <v>595</v>
      </c>
      <c r="D1003" s="5">
        <v>595</v>
      </c>
      <c r="E1003" s="5">
        <v>1</v>
      </c>
      <c r="F1003" s="6">
        <v>83.417500000000004</v>
      </c>
      <c r="G1003" s="7">
        <v>7.8845800000000006E-17</v>
      </c>
      <c r="H1003" s="5">
        <v>83.418000000000006</v>
      </c>
      <c r="I1003" s="5" t="s">
        <v>11</v>
      </c>
      <c r="J1003" s="5">
        <v>1</v>
      </c>
      <c r="K1003" s="5" t="s">
        <v>2</v>
      </c>
      <c r="L1003" s="5" t="s">
        <v>1574</v>
      </c>
      <c r="M1003" s="5" t="s">
        <v>1575</v>
      </c>
      <c r="N1003" s="5" t="s">
        <v>1576</v>
      </c>
      <c r="O1003" s="5">
        <v>7</v>
      </c>
      <c r="P1003" s="6">
        <v>675770</v>
      </c>
      <c r="Q1003" s="5">
        <v>457290</v>
      </c>
      <c r="R1003" s="5">
        <v>218480</v>
      </c>
      <c r="S1003" s="5">
        <v>0.66008999999999995</v>
      </c>
      <c r="T1003" s="5">
        <f>LOG(Table2[[#This Row],[ratio heavy to light normalized]],2)</f>
        <v>-0.59926535268659964</v>
      </c>
      <c r="U1003" s="5">
        <v>0.31408319255491701</v>
      </c>
    </row>
    <row r="1004" spans="1:21" x14ac:dyDescent="0.3">
      <c r="A1004" s="5" t="s">
        <v>1564</v>
      </c>
      <c r="B1004" s="5" t="s">
        <v>1565</v>
      </c>
      <c r="C1004" s="5">
        <v>219</v>
      </c>
      <c r="D1004" s="5">
        <v>219</v>
      </c>
      <c r="E1004" s="5">
        <v>1</v>
      </c>
      <c r="F1004" s="6">
        <v>53.403399999999998</v>
      </c>
      <c r="G1004" s="7">
        <v>8.4312699999999997E-6</v>
      </c>
      <c r="H1004" s="5">
        <v>53.402999999999999</v>
      </c>
      <c r="I1004" s="5" t="s">
        <v>11</v>
      </c>
      <c r="J1004" s="5">
        <v>1</v>
      </c>
      <c r="K1004" s="5" t="s">
        <v>2</v>
      </c>
      <c r="L1004" s="5" t="s">
        <v>1566</v>
      </c>
      <c r="M1004" s="5" t="s">
        <v>1567</v>
      </c>
      <c r="N1004" s="5" t="s">
        <v>1568</v>
      </c>
      <c r="O1004" s="5">
        <v>8</v>
      </c>
      <c r="P1004" s="6">
        <v>558370</v>
      </c>
      <c r="Q1004" s="5">
        <v>274660</v>
      </c>
      <c r="R1004" s="5">
        <v>283700</v>
      </c>
      <c r="S1004" s="5">
        <v>0.65874999999999995</v>
      </c>
      <c r="T1004" s="5">
        <f>LOG(Table2[[#This Row],[ratio heavy to light normalized]],2)</f>
        <v>-0.60219703813751024</v>
      </c>
      <c r="U1004" s="5">
        <v>0.31053404266234302</v>
      </c>
    </row>
    <row r="1005" spans="1:21" x14ac:dyDescent="0.3">
      <c r="A1005" s="5" t="s">
        <v>813</v>
      </c>
      <c r="B1005" s="5" t="s">
        <v>814</v>
      </c>
      <c r="C1005" s="5">
        <v>69</v>
      </c>
      <c r="D1005" s="5">
        <v>69</v>
      </c>
      <c r="E1005" s="5">
        <v>1</v>
      </c>
      <c r="F1005" s="6">
        <v>44.692100000000003</v>
      </c>
      <c r="G1005" s="5">
        <v>1.62758E-3</v>
      </c>
      <c r="H1005" s="5">
        <v>44.692</v>
      </c>
      <c r="I1005" s="5" t="s">
        <v>11</v>
      </c>
      <c r="J1005" s="5">
        <v>1</v>
      </c>
      <c r="K1005" s="5" t="s">
        <v>2</v>
      </c>
      <c r="L1005" s="5" t="s">
        <v>1532</v>
      </c>
      <c r="M1005" s="5" t="s">
        <v>1533</v>
      </c>
      <c r="N1005" s="5" t="s">
        <v>1534</v>
      </c>
      <c r="O1005" s="5">
        <v>5</v>
      </c>
      <c r="P1005" s="6">
        <v>737830</v>
      </c>
      <c r="Q1005" s="5">
        <v>423620</v>
      </c>
      <c r="R1005" s="5">
        <v>314210</v>
      </c>
      <c r="S1005" s="5">
        <v>0.65656999999999999</v>
      </c>
      <c r="T1005" s="5">
        <f>LOG(Table2[[#This Row],[ratio heavy to light normalized]],2)</f>
        <v>-0.60697926310014538</v>
      </c>
      <c r="U1005" s="5">
        <v>0.30480162146308398</v>
      </c>
    </row>
    <row r="1006" spans="1:21" x14ac:dyDescent="0.3">
      <c r="A1006" s="5" t="s">
        <v>273</v>
      </c>
      <c r="B1006" s="5" t="s">
        <v>274</v>
      </c>
      <c r="C1006" s="5">
        <v>102</v>
      </c>
      <c r="D1006" s="5">
        <v>102</v>
      </c>
      <c r="E1006" s="5">
        <v>1</v>
      </c>
      <c r="F1006" s="6">
        <v>107.831</v>
      </c>
      <c r="G1006" s="7">
        <v>3.3011400000000002E-16</v>
      </c>
      <c r="H1006" s="5">
        <v>107.83</v>
      </c>
      <c r="I1006" s="5" t="s">
        <v>11</v>
      </c>
      <c r="J1006" s="5">
        <v>1</v>
      </c>
      <c r="K1006" s="5" t="s">
        <v>2</v>
      </c>
      <c r="L1006" s="5" t="s">
        <v>1510</v>
      </c>
      <c r="M1006" s="5" t="s">
        <v>1511</v>
      </c>
      <c r="N1006" s="5" t="s">
        <v>1512</v>
      </c>
      <c r="O1006" s="5">
        <v>10</v>
      </c>
      <c r="P1006" s="6">
        <v>719710</v>
      </c>
      <c r="Q1006" s="5">
        <v>453460</v>
      </c>
      <c r="R1006" s="5">
        <v>266250</v>
      </c>
      <c r="S1006" s="5">
        <v>0.65205999999999997</v>
      </c>
      <c r="T1006" s="5">
        <f>LOG(Table2[[#This Row],[ratio heavy to light normalized]],2)</f>
        <v>-0.6169233731920567</v>
      </c>
      <c r="U1006" s="5">
        <v>0.29310788822468697</v>
      </c>
    </row>
    <row r="1007" spans="1:21" x14ac:dyDescent="0.3">
      <c r="A1007" s="5" t="s">
        <v>2879</v>
      </c>
      <c r="B1007" s="5" t="s">
        <v>2880</v>
      </c>
      <c r="C1007" s="5">
        <v>15</v>
      </c>
      <c r="D1007" s="5">
        <v>15</v>
      </c>
      <c r="E1007" s="5">
        <v>1</v>
      </c>
      <c r="F1007" s="6">
        <v>14.8996</v>
      </c>
      <c r="G1007" s="5">
        <v>1.8686199999999999</v>
      </c>
      <c r="H1007" s="5">
        <v>14.9</v>
      </c>
      <c r="I1007" s="5" t="s">
        <v>11</v>
      </c>
      <c r="J1007" s="5">
        <v>1</v>
      </c>
      <c r="K1007" s="5" t="s">
        <v>2</v>
      </c>
      <c r="L1007" s="5" t="s">
        <v>4003</v>
      </c>
      <c r="M1007" s="5" t="s">
        <v>4004</v>
      </c>
      <c r="N1007" s="5" t="s">
        <v>4005</v>
      </c>
      <c r="O1007" s="5">
        <v>5</v>
      </c>
      <c r="P1007" s="6">
        <v>317540</v>
      </c>
      <c r="Q1007" s="5">
        <v>194390</v>
      </c>
      <c r="R1007" s="5">
        <v>123150</v>
      </c>
      <c r="S1007" s="5">
        <v>0.83355999999999997</v>
      </c>
      <c r="T1007" s="5">
        <f>LOG(Table2[[#This Row],[ratio heavy to light normalized]],2)</f>
        <v>-0.26264204614117159</v>
      </c>
      <c r="U1007" s="5">
        <v>0.87622612211641204</v>
      </c>
    </row>
    <row r="1008" spans="1:21" x14ac:dyDescent="0.3">
      <c r="A1008" s="5" t="s">
        <v>1496</v>
      </c>
      <c r="B1008" s="5" t="s">
        <v>1497</v>
      </c>
      <c r="C1008" s="5">
        <v>47</v>
      </c>
      <c r="D1008" s="5">
        <v>47</v>
      </c>
      <c r="E1008" s="5">
        <v>1</v>
      </c>
      <c r="F1008" s="6">
        <v>55.330500000000001</v>
      </c>
      <c r="G1008" s="7">
        <v>7.5918799999999992E-9</v>
      </c>
      <c r="H1008" s="5">
        <v>55.33</v>
      </c>
      <c r="I1008" s="5" t="s">
        <v>11</v>
      </c>
      <c r="J1008" s="5">
        <v>1</v>
      </c>
      <c r="K1008" s="5" t="s">
        <v>2</v>
      </c>
      <c r="L1008" s="5" t="s">
        <v>1498</v>
      </c>
      <c r="M1008" s="5" t="s">
        <v>1499</v>
      </c>
      <c r="N1008" s="5" t="s">
        <v>1500</v>
      </c>
      <c r="O1008" s="5">
        <v>13</v>
      </c>
      <c r="P1008" s="6">
        <v>666200</v>
      </c>
      <c r="Q1008" s="5">
        <v>396690</v>
      </c>
      <c r="R1008" s="5">
        <v>269510</v>
      </c>
      <c r="S1008" s="5">
        <v>0.65132999999999996</v>
      </c>
      <c r="T1008" s="5">
        <f>LOG(Table2[[#This Row],[ratio heavy to light normalized]],2)</f>
        <v>-0.61853941672464585</v>
      </c>
      <c r="U1008" s="5">
        <v>0.29123633766954699</v>
      </c>
    </row>
    <row r="1009" spans="1:21" x14ac:dyDescent="0.3">
      <c r="A1009" s="5" t="s">
        <v>1100</v>
      </c>
      <c r="B1009" s="5" t="s">
        <v>1101</v>
      </c>
      <c r="C1009" s="5">
        <v>11</v>
      </c>
      <c r="D1009" s="5">
        <v>11</v>
      </c>
      <c r="E1009" s="5">
        <v>1</v>
      </c>
      <c r="F1009" s="6">
        <v>65.453699999999998</v>
      </c>
      <c r="G1009" s="7">
        <v>2.1976999999999999E-14</v>
      </c>
      <c r="H1009" s="5">
        <v>65.453999999999994</v>
      </c>
      <c r="I1009" s="5" t="s">
        <v>11</v>
      </c>
      <c r="J1009" s="5">
        <v>1</v>
      </c>
      <c r="K1009" s="5" t="s">
        <v>2</v>
      </c>
      <c r="L1009" s="5" t="s">
        <v>1102</v>
      </c>
      <c r="M1009" s="5" t="s">
        <v>1103</v>
      </c>
      <c r="N1009" s="5" t="s">
        <v>1104</v>
      </c>
      <c r="O1009" s="5">
        <v>3</v>
      </c>
      <c r="P1009" s="6">
        <v>1035600</v>
      </c>
      <c r="Q1009" s="5">
        <v>671440</v>
      </c>
      <c r="R1009" s="5">
        <v>364150</v>
      </c>
      <c r="S1009" s="5">
        <v>0.65115999999999996</v>
      </c>
      <c r="T1009" s="5">
        <f>LOG(Table2[[#This Row],[ratio heavy to light normalized]],2)</f>
        <v>-0.6189160156364899</v>
      </c>
      <c r="U1009" s="5">
        <v>0.20099816739413001</v>
      </c>
    </row>
    <row r="1010" spans="1:21" x14ac:dyDescent="0.3">
      <c r="A1010" s="5" t="s">
        <v>1478</v>
      </c>
      <c r="B1010" s="5" t="s">
        <v>1479</v>
      </c>
      <c r="C1010" s="5">
        <v>12</v>
      </c>
      <c r="D1010" s="5">
        <v>12</v>
      </c>
      <c r="E1010" s="5">
        <v>1</v>
      </c>
      <c r="F1010" s="6">
        <v>83.264700000000005</v>
      </c>
      <c r="G1010" s="7">
        <v>1.0753E-7</v>
      </c>
      <c r="H1010" s="5">
        <v>83.265000000000001</v>
      </c>
      <c r="I1010" s="5" t="s">
        <v>11</v>
      </c>
      <c r="J1010" s="5">
        <v>1</v>
      </c>
      <c r="K1010" s="5" t="s">
        <v>2</v>
      </c>
      <c r="L1010" s="5" t="s">
        <v>1480</v>
      </c>
      <c r="M1010" s="5" t="s">
        <v>1481</v>
      </c>
      <c r="N1010" s="5" t="s">
        <v>1482</v>
      </c>
      <c r="O1010" s="5">
        <v>3</v>
      </c>
      <c r="P1010" s="6">
        <v>870030</v>
      </c>
      <c r="Q1010" s="5">
        <v>503370</v>
      </c>
      <c r="R1010" s="5">
        <v>366670</v>
      </c>
      <c r="S1010" s="5">
        <v>0.65017999999999998</v>
      </c>
      <c r="T1010" s="5">
        <f>LOG(Table2[[#This Row],[ratio heavy to light normalized]],2)</f>
        <v>-0.62108891650381293</v>
      </c>
      <c r="U1010" s="5">
        <v>0.28830011525059901</v>
      </c>
    </row>
    <row r="1011" spans="1:21" x14ac:dyDescent="0.3">
      <c r="A1011" s="5" t="s">
        <v>559</v>
      </c>
      <c r="B1011" s="5" t="s">
        <v>560</v>
      </c>
      <c r="C1011" s="5">
        <v>45</v>
      </c>
      <c r="D1011" s="5">
        <v>45</v>
      </c>
      <c r="E1011" s="5">
        <v>1</v>
      </c>
      <c r="F1011" s="6">
        <v>25.014500000000002</v>
      </c>
      <c r="G1011" s="5">
        <v>0.31601299999999999</v>
      </c>
      <c r="H1011" s="5">
        <v>25.013999999999999</v>
      </c>
      <c r="I1011" s="5"/>
      <c r="J1011" s="5">
        <v>1</v>
      </c>
      <c r="K1011" s="5" t="s">
        <v>2</v>
      </c>
      <c r="L1011" s="5" t="s">
        <v>4017</v>
      </c>
      <c r="M1011" s="5" t="s">
        <v>4018</v>
      </c>
      <c r="N1011" s="5" t="s">
        <v>4019</v>
      </c>
      <c r="O1011" s="5">
        <v>7</v>
      </c>
      <c r="P1011" s="6">
        <v>829350</v>
      </c>
      <c r="Q1011" s="5">
        <v>411880</v>
      </c>
      <c r="R1011" s="5">
        <v>417480</v>
      </c>
      <c r="S1011" s="5">
        <v>0.91125999999999996</v>
      </c>
      <c r="T1011" s="5">
        <f>LOG(Table2[[#This Row],[ratio heavy to light normalized]],2)</f>
        <v>-0.13406535349031251</v>
      </c>
      <c r="U1011" s="5">
        <v>0.88048253824693001</v>
      </c>
    </row>
    <row r="1012" spans="1:21" x14ac:dyDescent="0.3">
      <c r="A1012" s="5" t="s">
        <v>4020</v>
      </c>
      <c r="B1012" s="5" t="s">
        <v>4021</v>
      </c>
      <c r="C1012" s="5">
        <v>34</v>
      </c>
      <c r="D1012" s="5">
        <v>34</v>
      </c>
      <c r="E1012" s="5">
        <v>1</v>
      </c>
      <c r="F1012" s="6">
        <v>19.740200000000002</v>
      </c>
      <c r="G1012" s="5">
        <v>0.710642</v>
      </c>
      <c r="H1012" s="5">
        <v>19.739999999999998</v>
      </c>
      <c r="I1012" s="5"/>
      <c r="J1012" s="5">
        <v>1</v>
      </c>
      <c r="K1012" s="5" t="s">
        <v>2</v>
      </c>
      <c r="L1012" s="5" t="s">
        <v>4022</v>
      </c>
      <c r="M1012" s="5" t="s">
        <v>4023</v>
      </c>
      <c r="N1012" s="5" t="s">
        <v>4024</v>
      </c>
      <c r="O1012" s="5">
        <v>8</v>
      </c>
      <c r="P1012" s="6">
        <v>305340</v>
      </c>
      <c r="Q1012" s="5">
        <v>150920</v>
      </c>
      <c r="R1012" s="5">
        <v>154430</v>
      </c>
      <c r="S1012" s="5">
        <v>0.91108999999999996</v>
      </c>
      <c r="T1012" s="5">
        <f>LOG(Table2[[#This Row],[ratio heavy to light normalized]],2)</f>
        <v>-0.13433452039860408</v>
      </c>
      <c r="U1012" s="5">
        <v>0.88095937934466295</v>
      </c>
    </row>
    <row r="1013" spans="1:21" x14ac:dyDescent="0.3">
      <c r="A1013" s="5" t="s">
        <v>1468</v>
      </c>
      <c r="B1013" s="5" t="s">
        <v>1469</v>
      </c>
      <c r="C1013" s="5">
        <v>140</v>
      </c>
      <c r="D1013" s="5">
        <v>140</v>
      </c>
      <c r="E1013" s="5">
        <v>1</v>
      </c>
      <c r="F1013" s="6">
        <v>40.0246</v>
      </c>
      <c r="G1013" s="5">
        <v>3.9817300000000002E-3</v>
      </c>
      <c r="H1013" s="5">
        <v>40.024999999999999</v>
      </c>
      <c r="I1013" s="5" t="s">
        <v>11</v>
      </c>
      <c r="J1013" s="5">
        <v>1</v>
      </c>
      <c r="K1013" s="5" t="s">
        <v>2</v>
      </c>
      <c r="L1013" s="5" t="s">
        <v>1470</v>
      </c>
      <c r="M1013" s="5" t="s">
        <v>1471</v>
      </c>
      <c r="N1013" s="5" t="s">
        <v>1472</v>
      </c>
      <c r="O1013" s="5">
        <v>5</v>
      </c>
      <c r="P1013" s="6">
        <v>410790</v>
      </c>
      <c r="Q1013" s="5">
        <v>287570</v>
      </c>
      <c r="R1013" s="5">
        <v>123220</v>
      </c>
      <c r="S1013" s="5">
        <v>0.64815999999999996</v>
      </c>
      <c r="T1013" s="5">
        <f>LOG(Table2[[#This Row],[ratio heavy to light normalized]],2)</f>
        <v>-0.62557810475037523</v>
      </c>
      <c r="U1013" s="5">
        <v>0.28317864529508302</v>
      </c>
    </row>
    <row r="1014" spans="1:21" x14ac:dyDescent="0.3">
      <c r="A1014" s="5" t="s">
        <v>1019</v>
      </c>
      <c r="B1014" s="5" t="s">
        <v>1020</v>
      </c>
      <c r="C1014" s="5">
        <v>146</v>
      </c>
      <c r="D1014" s="5">
        <v>146</v>
      </c>
      <c r="E1014" s="5">
        <v>1</v>
      </c>
      <c r="F1014" s="6">
        <v>14.602</v>
      </c>
      <c r="G1014" s="5">
        <v>4.9147500000000001E-4</v>
      </c>
      <c r="H1014" s="5">
        <v>40.520000000000003</v>
      </c>
      <c r="I1014" s="5" t="s">
        <v>11</v>
      </c>
      <c r="J1014" s="5">
        <v>1</v>
      </c>
      <c r="K1014" s="5" t="s">
        <v>2</v>
      </c>
      <c r="L1014" s="5" t="s">
        <v>1462</v>
      </c>
      <c r="M1014" s="5" t="s">
        <v>1463</v>
      </c>
      <c r="N1014" s="5" t="s">
        <v>1464</v>
      </c>
      <c r="O1014" s="5">
        <v>3</v>
      </c>
      <c r="P1014" s="6">
        <v>697280</v>
      </c>
      <c r="Q1014" s="5">
        <v>340440</v>
      </c>
      <c r="R1014" s="5">
        <v>356840</v>
      </c>
      <c r="S1014" s="5">
        <v>0.64805999999999997</v>
      </c>
      <c r="T1014" s="5">
        <f>LOG(Table2[[#This Row],[ratio heavy to light normalized]],2)</f>
        <v>-0.62580070508731667</v>
      </c>
      <c r="U1014" s="5">
        <v>0.28292630677237102</v>
      </c>
    </row>
    <row r="1015" spans="1:21" x14ac:dyDescent="0.3">
      <c r="A1015" s="5" t="s">
        <v>559</v>
      </c>
      <c r="B1015" s="5" t="s">
        <v>560</v>
      </c>
      <c r="C1015" s="5">
        <v>120</v>
      </c>
      <c r="D1015" s="5">
        <v>120</v>
      </c>
      <c r="E1015" s="5">
        <v>1</v>
      </c>
      <c r="F1015" s="6">
        <v>99.814999999999998</v>
      </c>
      <c r="G1015" s="7">
        <v>5.4504900000000003E-14</v>
      </c>
      <c r="H1015" s="5">
        <v>99.814999999999998</v>
      </c>
      <c r="I1015" s="5" t="s">
        <v>11</v>
      </c>
      <c r="J1015" s="5">
        <v>1</v>
      </c>
      <c r="K1015" s="5" t="s">
        <v>2</v>
      </c>
      <c r="L1015" s="5" t="s">
        <v>561</v>
      </c>
      <c r="M1015" s="5" t="s">
        <v>562</v>
      </c>
      <c r="N1015" s="5" t="s">
        <v>563</v>
      </c>
      <c r="O1015" s="5">
        <v>1</v>
      </c>
      <c r="P1015" s="6">
        <v>11234000</v>
      </c>
      <c r="Q1015" s="5">
        <v>5753400</v>
      </c>
      <c r="R1015" s="5">
        <v>5481000</v>
      </c>
      <c r="S1015" s="5">
        <v>0.64656999999999998</v>
      </c>
      <c r="T1015" s="5">
        <f>LOG(Table2[[#This Row],[ratio heavy to light normalized]],2)</f>
        <v>-0.62912152502821783</v>
      </c>
      <c r="U1015" s="5">
        <v>7.2001085019092401E-2</v>
      </c>
    </row>
    <row r="1016" spans="1:21" x14ac:dyDescent="0.3">
      <c r="A1016" s="5" t="s">
        <v>1443</v>
      </c>
      <c r="B1016" s="5" t="s">
        <v>1444</v>
      </c>
      <c r="C1016" s="5">
        <v>179</v>
      </c>
      <c r="D1016" s="5">
        <v>179</v>
      </c>
      <c r="E1016" s="5">
        <v>1</v>
      </c>
      <c r="F1016" s="6">
        <v>58.433300000000003</v>
      </c>
      <c r="G1016" s="5">
        <v>3.58925E-3</v>
      </c>
      <c r="H1016" s="5">
        <v>58.433</v>
      </c>
      <c r="I1016" s="5" t="s">
        <v>11</v>
      </c>
      <c r="J1016" s="5">
        <v>1</v>
      </c>
      <c r="K1016" s="5" t="s">
        <v>2</v>
      </c>
      <c r="L1016" s="5" t="s">
        <v>1445</v>
      </c>
      <c r="M1016" s="5" t="s">
        <v>1446</v>
      </c>
      <c r="N1016" s="5" t="s">
        <v>1447</v>
      </c>
      <c r="O1016" s="5">
        <v>5</v>
      </c>
      <c r="P1016" s="6">
        <v>674300</v>
      </c>
      <c r="Q1016" s="5">
        <v>454520</v>
      </c>
      <c r="R1016" s="5">
        <v>219790</v>
      </c>
      <c r="S1016" s="5">
        <v>0.64561999999999997</v>
      </c>
      <c r="T1016" s="5">
        <f>LOG(Table2[[#This Row],[ratio heavy to light normalized]],2)</f>
        <v>-0.63124282380900576</v>
      </c>
      <c r="U1016" s="5">
        <v>0.27680453375990599</v>
      </c>
    </row>
    <row r="1017" spans="1:21" x14ac:dyDescent="0.3">
      <c r="A1017" s="5" t="s">
        <v>3007</v>
      </c>
      <c r="B1017" s="5" t="s">
        <v>3008</v>
      </c>
      <c r="C1017" s="5">
        <v>91</v>
      </c>
      <c r="D1017" s="5">
        <v>91</v>
      </c>
      <c r="E1017" s="5">
        <v>1</v>
      </c>
      <c r="F1017" s="6">
        <v>32.008400000000002</v>
      </c>
      <c r="G1017" s="5">
        <v>0.17090900000000001</v>
      </c>
      <c r="H1017" s="5">
        <v>32.008000000000003</v>
      </c>
      <c r="I1017" s="5" t="s">
        <v>11</v>
      </c>
      <c r="J1017" s="5">
        <v>1</v>
      </c>
      <c r="K1017" s="5" t="s">
        <v>2</v>
      </c>
      <c r="L1017" s="5" t="s">
        <v>4039</v>
      </c>
      <c r="M1017" s="5" t="s">
        <v>4040</v>
      </c>
      <c r="N1017" s="5" t="s">
        <v>4041</v>
      </c>
      <c r="O1017" s="5">
        <v>10</v>
      </c>
      <c r="P1017" s="6">
        <v>491460</v>
      </c>
      <c r="Q1017" s="5">
        <v>248540</v>
      </c>
      <c r="R1017" s="5">
        <v>242920</v>
      </c>
      <c r="S1017" s="5">
        <v>0.83606000000000003</v>
      </c>
      <c r="T1017" s="5">
        <f>LOG(Table2[[#This Row],[ratio heavy to light normalized]],2)</f>
        <v>-0.25832161359038991</v>
      </c>
      <c r="U1017" s="5">
        <v>0.88484226677606603</v>
      </c>
    </row>
    <row r="1018" spans="1:21" x14ac:dyDescent="0.3">
      <c r="A1018" s="5" t="s">
        <v>1045</v>
      </c>
      <c r="B1018" s="5" t="s">
        <v>1046</v>
      </c>
      <c r="C1018" s="5">
        <v>110</v>
      </c>
      <c r="D1018" s="5">
        <v>110</v>
      </c>
      <c r="E1018" s="5">
        <v>1</v>
      </c>
      <c r="F1018" s="6">
        <v>44.203099999999999</v>
      </c>
      <c r="G1018" s="5">
        <v>1.9534200000000002E-2</v>
      </c>
      <c r="H1018" s="5">
        <v>44.203000000000003</v>
      </c>
      <c r="I1018" s="5"/>
      <c r="J1018" s="5">
        <v>1</v>
      </c>
      <c r="K1018" s="5" t="s">
        <v>2</v>
      </c>
      <c r="L1018" s="5" t="s">
        <v>1047</v>
      </c>
      <c r="M1018" s="5" t="s">
        <v>1048</v>
      </c>
      <c r="N1018" s="5" t="s">
        <v>1049</v>
      </c>
      <c r="O1018" s="5">
        <v>4</v>
      </c>
      <c r="P1018" s="6">
        <v>1559800</v>
      </c>
      <c r="Q1018" s="5">
        <v>902890</v>
      </c>
      <c r="R1018" s="5">
        <v>656960</v>
      </c>
      <c r="S1018" s="5">
        <v>0.64356000000000002</v>
      </c>
      <c r="T1018" s="5">
        <f>LOG(Table2[[#This Row],[ratio heavy to light normalized]],2)</f>
        <v>-0.63585343569205566</v>
      </c>
      <c r="U1018" s="5">
        <v>0.186165789885573</v>
      </c>
    </row>
    <row r="1019" spans="1:21" x14ac:dyDescent="0.3">
      <c r="A1019" s="5" t="s">
        <v>293</v>
      </c>
      <c r="B1019" s="5" t="s">
        <v>294</v>
      </c>
      <c r="C1019" s="5">
        <v>45</v>
      </c>
      <c r="D1019" s="5">
        <v>45</v>
      </c>
      <c r="E1019" s="5">
        <v>1</v>
      </c>
      <c r="F1019" s="6">
        <v>185.137</v>
      </c>
      <c r="G1019" s="7">
        <v>2.83266E-77</v>
      </c>
      <c r="H1019" s="5">
        <v>185.14</v>
      </c>
      <c r="I1019" s="5"/>
      <c r="J1019" s="5">
        <v>1</v>
      </c>
      <c r="K1019" s="5" t="s">
        <v>2</v>
      </c>
      <c r="L1019" s="5" t="s">
        <v>541</v>
      </c>
      <c r="M1019" s="5" t="s">
        <v>542</v>
      </c>
      <c r="N1019" s="5" t="s">
        <v>543</v>
      </c>
      <c r="O1019" s="5">
        <v>10</v>
      </c>
      <c r="P1019" s="6">
        <v>19855000</v>
      </c>
      <c r="Q1019" s="5">
        <v>11778000</v>
      </c>
      <c r="R1019" s="5">
        <v>8077600</v>
      </c>
      <c r="S1019" s="5">
        <v>0.64251999999999998</v>
      </c>
      <c r="T1019" s="5">
        <f>LOG(Table2[[#This Row],[ratio heavy to light normalized]],2)</f>
        <v>-0.63818673248475455</v>
      </c>
      <c r="U1019" s="5">
        <v>6.7282237666042993E-2</v>
      </c>
    </row>
    <row r="1020" spans="1:21" x14ac:dyDescent="0.3">
      <c r="A1020" s="5" t="s">
        <v>1410</v>
      </c>
      <c r="B1020" s="5" t="s">
        <v>1411</v>
      </c>
      <c r="C1020" s="5">
        <v>268</v>
      </c>
      <c r="D1020" s="5">
        <v>268</v>
      </c>
      <c r="E1020" s="5">
        <v>1</v>
      </c>
      <c r="F1020" s="6">
        <v>62.1402</v>
      </c>
      <c r="G1020" s="7">
        <v>4.0552700000000002E-5</v>
      </c>
      <c r="H1020" s="5">
        <v>62.14</v>
      </c>
      <c r="I1020" s="5"/>
      <c r="J1020" s="5">
        <v>1</v>
      </c>
      <c r="K1020" s="5" t="s">
        <v>2</v>
      </c>
      <c r="L1020" s="5" t="s">
        <v>1412</v>
      </c>
      <c r="M1020" s="5" t="s">
        <v>1413</v>
      </c>
      <c r="N1020" s="5" t="s">
        <v>1414</v>
      </c>
      <c r="O1020" s="5">
        <v>11</v>
      </c>
      <c r="P1020" s="6">
        <v>629480</v>
      </c>
      <c r="Q1020" s="5">
        <v>266730</v>
      </c>
      <c r="R1020" s="5">
        <v>362750</v>
      </c>
      <c r="S1020" s="5">
        <v>0.64226000000000005</v>
      </c>
      <c r="T1020" s="5">
        <f>LOG(Table2[[#This Row],[ratio heavy to light normalized]],2)</f>
        <v>-0.63877064679810258</v>
      </c>
      <c r="U1020" s="5">
        <v>0.26848637084652999</v>
      </c>
    </row>
    <row r="1021" spans="1:21" x14ac:dyDescent="0.3">
      <c r="A1021" s="5" t="s">
        <v>536</v>
      </c>
      <c r="B1021" s="5" t="s">
        <v>537</v>
      </c>
      <c r="C1021" s="5">
        <v>102</v>
      </c>
      <c r="D1021" s="5">
        <v>102</v>
      </c>
      <c r="E1021" s="5">
        <v>0.99955099999999997</v>
      </c>
      <c r="F1021" s="6">
        <v>33.475000000000001</v>
      </c>
      <c r="G1021" s="5">
        <v>7.9825700000000002E-4</v>
      </c>
      <c r="H1021" s="5">
        <v>54.7</v>
      </c>
      <c r="I1021" s="5" t="s">
        <v>11</v>
      </c>
      <c r="J1021" s="5">
        <v>1</v>
      </c>
      <c r="K1021" s="5" t="s">
        <v>2</v>
      </c>
      <c r="L1021" s="5" t="s">
        <v>538</v>
      </c>
      <c r="M1021" s="5" t="s">
        <v>539</v>
      </c>
      <c r="N1021" s="5" t="s">
        <v>540</v>
      </c>
      <c r="O1021" s="5">
        <v>5</v>
      </c>
      <c r="P1021" s="6">
        <v>2788300</v>
      </c>
      <c r="Q1021" s="5">
        <v>1470100</v>
      </c>
      <c r="R1021" s="5">
        <v>1318200</v>
      </c>
      <c r="S1021" s="5">
        <v>0.64059999999999995</v>
      </c>
      <c r="T1021" s="5">
        <f>LOG(Table2[[#This Row],[ratio heavy to light normalized]],2)</f>
        <v>-0.64250429677476595</v>
      </c>
      <c r="U1021" s="5">
        <v>6.5125909870094506E-2</v>
      </c>
    </row>
    <row r="1022" spans="1:21" x14ac:dyDescent="0.3">
      <c r="A1022" s="5" t="s">
        <v>531</v>
      </c>
      <c r="B1022" s="5" t="s">
        <v>532</v>
      </c>
      <c r="C1022" s="5">
        <v>23</v>
      </c>
      <c r="D1022" s="5">
        <v>23</v>
      </c>
      <c r="E1022" s="5">
        <v>1</v>
      </c>
      <c r="F1022" s="6">
        <v>69.593900000000005</v>
      </c>
      <c r="G1022" s="7">
        <v>1.18966E-10</v>
      </c>
      <c r="H1022" s="5">
        <v>69.593999999999994</v>
      </c>
      <c r="I1022" s="5"/>
      <c r="J1022" s="5">
        <v>1</v>
      </c>
      <c r="K1022" s="5" t="s">
        <v>2</v>
      </c>
      <c r="L1022" s="5" t="s">
        <v>533</v>
      </c>
      <c r="M1022" s="5" t="s">
        <v>534</v>
      </c>
      <c r="N1022" s="5" t="s">
        <v>535</v>
      </c>
      <c r="O1022" s="5">
        <v>13</v>
      </c>
      <c r="P1022" s="6">
        <v>2741400</v>
      </c>
      <c r="Q1022" s="5">
        <v>1572700</v>
      </c>
      <c r="R1022" s="5">
        <v>1168800</v>
      </c>
      <c r="S1022" s="5">
        <v>0.63888</v>
      </c>
      <c r="T1022" s="5">
        <f>LOG(Table2[[#This Row],[ratio heavy to light normalized]],2)</f>
        <v>-0.64638311780376378</v>
      </c>
      <c r="U1022" s="5">
        <v>6.3237618079697494E-2</v>
      </c>
    </row>
    <row r="1023" spans="1:21" x14ac:dyDescent="0.3">
      <c r="A1023" s="5" t="s">
        <v>303</v>
      </c>
      <c r="B1023" s="5" t="s">
        <v>304</v>
      </c>
      <c r="C1023" s="5">
        <v>186</v>
      </c>
      <c r="D1023" s="5">
        <v>186</v>
      </c>
      <c r="E1023" s="5">
        <v>1</v>
      </c>
      <c r="F1023" s="6">
        <v>83.861800000000002</v>
      </c>
      <c r="G1023" s="7">
        <v>7.5950800000000002E-9</v>
      </c>
      <c r="H1023" s="5">
        <v>83.861999999999995</v>
      </c>
      <c r="I1023" s="5" t="s">
        <v>11</v>
      </c>
      <c r="J1023" s="5">
        <v>1</v>
      </c>
      <c r="K1023" s="5" t="s">
        <v>2</v>
      </c>
      <c r="L1023" s="5" t="s">
        <v>528</v>
      </c>
      <c r="M1023" s="5" t="s">
        <v>529</v>
      </c>
      <c r="N1023" s="5" t="s">
        <v>530</v>
      </c>
      <c r="O1023" s="5">
        <v>11</v>
      </c>
      <c r="P1023" s="6">
        <v>7363000</v>
      </c>
      <c r="Q1023" s="5">
        <v>4398600</v>
      </c>
      <c r="R1023" s="5">
        <v>2964300</v>
      </c>
      <c r="S1023" s="5">
        <v>0.63846999999999998</v>
      </c>
      <c r="T1023" s="5">
        <f>LOG(Table2[[#This Row],[ratio heavy to light normalized]],2)</f>
        <v>-0.64730926175346903</v>
      </c>
      <c r="U1023" s="5">
        <v>6.2793506775365202E-2</v>
      </c>
    </row>
    <row r="1024" spans="1:21" x14ac:dyDescent="0.3">
      <c r="A1024" s="5" t="s">
        <v>1341</v>
      </c>
      <c r="B1024" s="5" t="s">
        <v>1342</v>
      </c>
      <c r="C1024" s="5">
        <v>399</v>
      </c>
      <c r="D1024" s="5">
        <v>399</v>
      </c>
      <c r="E1024" s="5">
        <v>1</v>
      </c>
      <c r="F1024" s="6">
        <v>48.003799999999998</v>
      </c>
      <c r="G1024" s="5">
        <v>1.5800399999999999E-2</v>
      </c>
      <c r="H1024" s="5">
        <v>48.003999999999998</v>
      </c>
      <c r="I1024" s="5" t="s">
        <v>11</v>
      </c>
      <c r="J1024" s="5">
        <v>1</v>
      </c>
      <c r="K1024" s="5" t="s">
        <v>2</v>
      </c>
      <c r="L1024" s="5" t="s">
        <v>1343</v>
      </c>
      <c r="M1024" s="5" t="s">
        <v>1344</v>
      </c>
      <c r="N1024" s="5" t="s">
        <v>1345</v>
      </c>
      <c r="O1024" s="5">
        <v>4</v>
      </c>
      <c r="P1024" s="6">
        <v>321680</v>
      </c>
      <c r="Q1024" s="5">
        <v>210050</v>
      </c>
      <c r="R1024" s="5">
        <v>111630</v>
      </c>
      <c r="S1024" s="5">
        <v>0.63668000000000002</v>
      </c>
      <c r="T1024" s="5">
        <f>LOG(Table2[[#This Row],[ratio heavy to light normalized]],2)</f>
        <v>-0.65135964926778989</v>
      </c>
      <c r="U1024" s="5">
        <v>0.254962583213656</v>
      </c>
    </row>
    <row r="1025" spans="1:21" x14ac:dyDescent="0.3">
      <c r="A1025" s="5" t="s">
        <v>508</v>
      </c>
      <c r="B1025" s="5" t="s">
        <v>509</v>
      </c>
      <c r="C1025" s="5">
        <v>267</v>
      </c>
      <c r="D1025" s="5">
        <v>267</v>
      </c>
      <c r="E1025" s="5">
        <v>1</v>
      </c>
      <c r="F1025" s="6">
        <v>118.68600000000001</v>
      </c>
      <c r="G1025" s="7">
        <v>3.4744299999999998E-21</v>
      </c>
      <c r="H1025" s="5">
        <v>118.69</v>
      </c>
      <c r="I1025" s="5" t="s">
        <v>11</v>
      </c>
      <c r="J1025" s="5">
        <v>1</v>
      </c>
      <c r="K1025" s="5" t="s">
        <v>2</v>
      </c>
      <c r="L1025" s="5" t="s">
        <v>510</v>
      </c>
      <c r="M1025" s="5" t="s">
        <v>511</v>
      </c>
      <c r="N1025" s="5" t="s">
        <v>512</v>
      </c>
      <c r="O1025" s="5">
        <v>1</v>
      </c>
      <c r="P1025" s="6">
        <v>4165800</v>
      </c>
      <c r="Q1025" s="5">
        <v>2614800</v>
      </c>
      <c r="R1025" s="5">
        <v>1551000</v>
      </c>
      <c r="S1025" s="5">
        <v>0.63644999999999996</v>
      </c>
      <c r="T1025" s="5">
        <f>LOG(Table2[[#This Row],[ratio heavy to light normalized]],2)</f>
        <v>-0.65188091553755712</v>
      </c>
      <c r="U1025" s="5">
        <v>6.06388970576731E-2</v>
      </c>
    </row>
    <row r="1026" spans="1:21" x14ac:dyDescent="0.3">
      <c r="A1026" s="5" t="s">
        <v>494</v>
      </c>
      <c r="B1026" s="5" t="s">
        <v>495</v>
      </c>
      <c r="C1026" s="5">
        <v>241</v>
      </c>
      <c r="D1026" s="5">
        <v>241</v>
      </c>
      <c r="E1026" s="5">
        <v>1</v>
      </c>
      <c r="F1026" s="6">
        <v>65.715999999999994</v>
      </c>
      <c r="G1026" s="7">
        <v>2.6269100000000001E-11</v>
      </c>
      <c r="H1026" s="5">
        <v>65.715999999999994</v>
      </c>
      <c r="I1026" s="5"/>
      <c r="J1026" s="5">
        <v>1</v>
      </c>
      <c r="K1026" s="5" t="s">
        <v>2</v>
      </c>
      <c r="L1026" s="5" t="s">
        <v>496</v>
      </c>
      <c r="M1026" s="5" t="s">
        <v>497</v>
      </c>
      <c r="N1026" s="5" t="s">
        <v>498</v>
      </c>
      <c r="O1026" s="5">
        <v>6</v>
      </c>
      <c r="P1026" s="6">
        <v>9654900</v>
      </c>
      <c r="Q1026" s="5">
        <v>5492400</v>
      </c>
      <c r="R1026" s="5">
        <v>4162500</v>
      </c>
      <c r="S1026" s="5">
        <v>0.63239999999999996</v>
      </c>
      <c r="T1026" s="5">
        <f>LOG(Table2[[#This Row],[ratio heavy to light normalized]],2)</f>
        <v>-0.66109072719107864</v>
      </c>
      <c r="U1026" s="5">
        <v>5.6484157645017102E-2</v>
      </c>
    </row>
    <row r="1027" spans="1:21" x14ac:dyDescent="0.3">
      <c r="A1027" s="5" t="s">
        <v>4079</v>
      </c>
      <c r="B1027" s="5" t="s">
        <v>4080</v>
      </c>
      <c r="C1027" s="5">
        <v>87</v>
      </c>
      <c r="D1027" s="5">
        <v>87</v>
      </c>
      <c r="E1027" s="5">
        <v>1</v>
      </c>
      <c r="F1027" s="6">
        <v>23.447099999999999</v>
      </c>
      <c r="G1027" s="5">
        <v>9.4342099999999998E-2</v>
      </c>
      <c r="H1027" s="5">
        <v>23.446999999999999</v>
      </c>
      <c r="I1027" s="5" t="s">
        <v>11</v>
      </c>
      <c r="J1027" s="5">
        <v>1</v>
      </c>
      <c r="K1027" s="5" t="s">
        <v>2</v>
      </c>
      <c r="L1027" s="5" t="s">
        <v>4081</v>
      </c>
      <c r="M1027" s="5" t="s">
        <v>4082</v>
      </c>
      <c r="N1027" s="5" t="s">
        <v>4083</v>
      </c>
      <c r="O1027" s="5">
        <v>6</v>
      </c>
      <c r="P1027" s="6">
        <v>809520</v>
      </c>
      <c r="Q1027" s="5">
        <v>495240</v>
      </c>
      <c r="R1027" s="5">
        <v>314280</v>
      </c>
      <c r="S1027" s="5">
        <v>0.83950999999999998</v>
      </c>
      <c r="T1027" s="5">
        <f>LOG(Table2[[#This Row],[ratio heavy to light normalized]],2)</f>
        <v>-0.25238058465717883</v>
      </c>
      <c r="U1027" s="5">
        <v>0.89671239908953704</v>
      </c>
    </row>
    <row r="1028" spans="1:21" x14ac:dyDescent="0.3">
      <c r="A1028" s="5" t="s">
        <v>476</v>
      </c>
      <c r="B1028" s="5" t="s">
        <v>477</v>
      </c>
      <c r="C1028" s="5">
        <v>40</v>
      </c>
      <c r="D1028" s="5">
        <v>40</v>
      </c>
      <c r="E1028" s="5">
        <v>1</v>
      </c>
      <c r="F1028" s="6">
        <v>69.815200000000004</v>
      </c>
      <c r="G1028" s="7">
        <v>5.5703699999999997E-17</v>
      </c>
      <c r="H1028" s="5">
        <v>91.441000000000003</v>
      </c>
      <c r="I1028" s="5" t="s">
        <v>11</v>
      </c>
      <c r="J1028" s="5">
        <v>1</v>
      </c>
      <c r="K1028" s="5" t="s">
        <v>2</v>
      </c>
      <c r="L1028" s="5" t="s">
        <v>478</v>
      </c>
      <c r="M1028" s="5" t="s">
        <v>479</v>
      </c>
      <c r="N1028" s="5" t="s">
        <v>480</v>
      </c>
      <c r="O1028" s="5">
        <v>10</v>
      </c>
      <c r="P1028" s="6">
        <v>8206000</v>
      </c>
      <c r="Q1028" s="5">
        <v>4731400</v>
      </c>
      <c r="R1028" s="5">
        <v>3474600</v>
      </c>
      <c r="S1028" s="5">
        <v>0.63178999999999996</v>
      </c>
      <c r="T1028" s="5">
        <f>LOG(Table2[[#This Row],[ratio heavy to light normalized]],2)</f>
        <v>-0.66248299266263266</v>
      </c>
      <c r="U1028" s="5">
        <v>5.5877190469397001E-2</v>
      </c>
    </row>
    <row r="1029" spans="1:21" x14ac:dyDescent="0.3">
      <c r="A1029" s="5" t="s">
        <v>1278</v>
      </c>
      <c r="B1029" s="5" t="s">
        <v>1279</v>
      </c>
      <c r="C1029" s="5">
        <v>527</v>
      </c>
      <c r="D1029" s="5">
        <v>527</v>
      </c>
      <c r="E1029" s="5">
        <v>1</v>
      </c>
      <c r="F1029" s="6">
        <v>94.163200000000003</v>
      </c>
      <c r="G1029" s="7">
        <v>9.1782599999999997E-12</v>
      </c>
      <c r="H1029" s="5">
        <v>94.162999999999997</v>
      </c>
      <c r="I1029" s="5" t="s">
        <v>11</v>
      </c>
      <c r="J1029" s="5">
        <v>1</v>
      </c>
      <c r="K1029" s="5" t="s">
        <v>2</v>
      </c>
      <c r="L1029" s="5" t="s">
        <v>1280</v>
      </c>
      <c r="M1029" s="5" t="s">
        <v>1281</v>
      </c>
      <c r="N1029" s="5" t="s">
        <v>1282</v>
      </c>
      <c r="O1029" s="5">
        <v>6</v>
      </c>
      <c r="P1029" s="6">
        <v>942110</v>
      </c>
      <c r="Q1029" s="5">
        <v>568180</v>
      </c>
      <c r="R1029" s="5">
        <v>373930</v>
      </c>
      <c r="S1029" s="5">
        <v>0.63173000000000001</v>
      </c>
      <c r="T1029" s="5">
        <f>LOG(Table2[[#This Row],[ratio heavy to light normalized]],2)</f>
        <v>-0.66262000941348476</v>
      </c>
      <c r="U1029" s="5">
        <v>0.24327384961137299</v>
      </c>
    </row>
    <row r="1030" spans="1:21" x14ac:dyDescent="0.3">
      <c r="A1030" s="5" t="s">
        <v>1262</v>
      </c>
      <c r="B1030" s="5" t="s">
        <v>1263</v>
      </c>
      <c r="C1030" s="5">
        <v>135</v>
      </c>
      <c r="D1030" s="5">
        <v>135</v>
      </c>
      <c r="E1030" s="5">
        <v>1</v>
      </c>
      <c r="F1030" s="6">
        <v>62.528100000000002</v>
      </c>
      <c r="G1030" s="5">
        <v>2.2672999999999999E-4</v>
      </c>
      <c r="H1030" s="5">
        <v>62.527999999999999</v>
      </c>
      <c r="I1030" s="5" t="s">
        <v>11</v>
      </c>
      <c r="J1030" s="5">
        <v>1</v>
      </c>
      <c r="K1030" s="5" t="s">
        <v>2</v>
      </c>
      <c r="L1030" s="5" t="s">
        <v>1264</v>
      </c>
      <c r="M1030" s="5" t="s">
        <v>1265</v>
      </c>
      <c r="N1030" s="5" t="s">
        <v>1266</v>
      </c>
      <c r="O1030" s="5">
        <v>6</v>
      </c>
      <c r="P1030" s="6">
        <v>681750</v>
      </c>
      <c r="Q1030" s="5">
        <v>387670</v>
      </c>
      <c r="R1030" s="5">
        <v>294080</v>
      </c>
      <c r="S1030" s="5">
        <v>0.63022999999999996</v>
      </c>
      <c r="T1030" s="5">
        <f>LOG(Table2[[#This Row],[ratio heavy to light normalized]],2)</f>
        <v>-0.66604966420520417</v>
      </c>
      <c r="U1030" s="5">
        <v>0.23978973670303699</v>
      </c>
    </row>
    <row r="1031" spans="1:21" x14ac:dyDescent="0.3">
      <c r="A1031" s="5" t="s">
        <v>947</v>
      </c>
      <c r="B1031" s="5" t="s">
        <v>948</v>
      </c>
      <c r="C1031" s="5">
        <v>94</v>
      </c>
      <c r="D1031" s="5">
        <v>94</v>
      </c>
      <c r="E1031" s="5">
        <v>1</v>
      </c>
      <c r="F1031" s="6">
        <v>101.64400000000001</v>
      </c>
      <c r="G1031" s="7">
        <v>2.1224200000000001E-14</v>
      </c>
      <c r="H1031" s="5">
        <v>101.64</v>
      </c>
      <c r="I1031" s="5" t="s">
        <v>11</v>
      </c>
      <c r="J1031" s="5">
        <v>1</v>
      </c>
      <c r="K1031" s="5" t="s">
        <v>2</v>
      </c>
      <c r="L1031" s="5" t="s">
        <v>949</v>
      </c>
      <c r="M1031" s="5" t="s">
        <v>950</v>
      </c>
      <c r="N1031" s="5" t="s">
        <v>951</v>
      </c>
      <c r="O1031" s="5">
        <v>4</v>
      </c>
      <c r="P1031" s="6">
        <v>1206000</v>
      </c>
      <c r="Q1031" s="5">
        <v>683940</v>
      </c>
      <c r="R1031" s="5">
        <v>522080</v>
      </c>
      <c r="S1031" s="5">
        <v>0.62914999999999999</v>
      </c>
      <c r="T1031" s="5">
        <f>LOG(Table2[[#This Row],[ratio heavy to light normalized]],2)</f>
        <v>-0.66852407387681101</v>
      </c>
      <c r="U1031" s="5">
        <v>0.15986749820601501</v>
      </c>
    </row>
    <row r="1032" spans="1:21" x14ac:dyDescent="0.3">
      <c r="A1032" s="5" t="s">
        <v>1236</v>
      </c>
      <c r="B1032" s="5" t="s">
        <v>1237</v>
      </c>
      <c r="C1032" s="5">
        <v>35</v>
      </c>
      <c r="D1032" s="5">
        <v>35</v>
      </c>
      <c r="E1032" s="5">
        <v>1</v>
      </c>
      <c r="F1032" s="6">
        <v>79.632900000000006</v>
      </c>
      <c r="G1032" s="7">
        <v>6.0747300000000002E-11</v>
      </c>
      <c r="H1032" s="5">
        <v>79.632999999999996</v>
      </c>
      <c r="I1032" s="5" t="s">
        <v>11</v>
      </c>
      <c r="J1032" s="5">
        <v>1</v>
      </c>
      <c r="K1032" s="5" t="s">
        <v>2</v>
      </c>
      <c r="L1032" s="5" t="s">
        <v>1238</v>
      </c>
      <c r="M1032" s="5" t="s">
        <v>1239</v>
      </c>
      <c r="N1032" s="5" t="s">
        <v>1240</v>
      </c>
      <c r="O1032" s="5">
        <v>5</v>
      </c>
      <c r="P1032" s="6">
        <v>506540</v>
      </c>
      <c r="Q1032" s="5">
        <v>307520</v>
      </c>
      <c r="R1032" s="5">
        <v>199020</v>
      </c>
      <c r="S1032" s="5">
        <v>0.62849999999999995</v>
      </c>
      <c r="T1032" s="5">
        <f>LOG(Table2[[#This Row],[ratio heavy to light normalized]],2)</f>
        <v>-0.67001535024157943</v>
      </c>
      <c r="U1032" s="5">
        <v>0.23580511531722601</v>
      </c>
    </row>
    <row r="1033" spans="1:21" x14ac:dyDescent="0.3">
      <c r="A1033" s="5" t="s">
        <v>937</v>
      </c>
      <c r="B1033" s="5" t="s">
        <v>938</v>
      </c>
      <c r="C1033" s="5">
        <v>839</v>
      </c>
      <c r="D1033" s="5">
        <v>839</v>
      </c>
      <c r="E1033" s="5">
        <v>1</v>
      </c>
      <c r="F1033" s="6">
        <v>80.454599999999999</v>
      </c>
      <c r="G1033" s="7">
        <v>1.2904299999999999E-6</v>
      </c>
      <c r="H1033" s="5">
        <v>80.454999999999998</v>
      </c>
      <c r="I1033" s="5"/>
      <c r="J1033" s="5">
        <v>1</v>
      </c>
      <c r="K1033" s="5" t="s">
        <v>2</v>
      </c>
      <c r="L1033" s="5" t="s">
        <v>939</v>
      </c>
      <c r="M1033" s="5" t="s">
        <v>940</v>
      </c>
      <c r="N1033" s="5" t="s">
        <v>941</v>
      </c>
      <c r="O1033" s="5">
        <v>8</v>
      </c>
      <c r="P1033" s="6">
        <v>1146100</v>
      </c>
      <c r="Q1033" s="5">
        <v>730620</v>
      </c>
      <c r="R1033" s="5">
        <v>415510</v>
      </c>
      <c r="S1033" s="5">
        <v>0.62838000000000005</v>
      </c>
      <c r="T1033" s="5">
        <f>LOG(Table2[[#This Row],[ratio heavy to light normalized]],2)</f>
        <v>-0.67029083144174584</v>
      </c>
      <c r="U1033" s="5">
        <v>0.158529824205875</v>
      </c>
    </row>
    <row r="1034" spans="1:21" x14ac:dyDescent="0.3">
      <c r="A1034" s="5" t="s">
        <v>932</v>
      </c>
      <c r="B1034" s="5" t="s">
        <v>933</v>
      </c>
      <c r="C1034" s="5">
        <v>117</v>
      </c>
      <c r="D1034" s="5">
        <v>117</v>
      </c>
      <c r="E1034" s="5">
        <v>1</v>
      </c>
      <c r="F1034" s="6">
        <v>92.934600000000003</v>
      </c>
      <c r="G1034" s="7">
        <v>4.3317500000000001E-18</v>
      </c>
      <c r="H1034" s="5">
        <v>92.935000000000002</v>
      </c>
      <c r="I1034" s="5"/>
      <c r="J1034" s="5">
        <v>1</v>
      </c>
      <c r="K1034" s="5" t="s">
        <v>2</v>
      </c>
      <c r="L1034" s="5" t="s">
        <v>934</v>
      </c>
      <c r="M1034" s="5" t="s">
        <v>935</v>
      </c>
      <c r="N1034" s="5" t="s">
        <v>936</v>
      </c>
      <c r="O1034" s="5">
        <v>7</v>
      </c>
      <c r="P1034" s="6">
        <v>1437100</v>
      </c>
      <c r="Q1034" s="5">
        <v>812930</v>
      </c>
      <c r="R1034" s="5">
        <v>624180</v>
      </c>
      <c r="S1034" s="5">
        <v>0.62831000000000004</v>
      </c>
      <c r="T1034" s="5">
        <f>LOG(Table2[[#This Row],[ratio heavy to light normalized]],2)</f>
        <v>-0.67045155310415527</v>
      </c>
      <c r="U1034" s="5">
        <v>0.158408557956565</v>
      </c>
    </row>
    <row r="1035" spans="1:21" x14ac:dyDescent="0.3">
      <c r="A1035" s="5" t="s">
        <v>927</v>
      </c>
      <c r="B1035" s="5" t="s">
        <v>928</v>
      </c>
      <c r="C1035" s="5">
        <v>117</v>
      </c>
      <c r="D1035" s="5">
        <v>117</v>
      </c>
      <c r="E1035" s="5">
        <v>1</v>
      </c>
      <c r="F1035" s="6">
        <v>81.853800000000007</v>
      </c>
      <c r="G1035" s="7">
        <v>8.22092E-19</v>
      </c>
      <c r="H1035" s="5">
        <v>81.853999999999999</v>
      </c>
      <c r="I1035" s="5" t="s">
        <v>11</v>
      </c>
      <c r="J1035" s="5">
        <v>1</v>
      </c>
      <c r="K1035" s="5" t="s">
        <v>2</v>
      </c>
      <c r="L1035" s="5" t="s">
        <v>929</v>
      </c>
      <c r="M1035" s="5" t="s">
        <v>930</v>
      </c>
      <c r="N1035" s="5" t="s">
        <v>931</v>
      </c>
      <c r="O1035" s="5">
        <v>13</v>
      </c>
      <c r="P1035" s="6">
        <v>2030600</v>
      </c>
      <c r="Q1035" s="5">
        <v>903160</v>
      </c>
      <c r="R1035" s="5">
        <v>1127500</v>
      </c>
      <c r="S1035" s="5">
        <v>0.62819999999999998</v>
      </c>
      <c r="T1035" s="5">
        <f>LOG(Table2[[#This Row],[ratio heavy to light normalized]],2)</f>
        <v>-0.67070415189748489</v>
      </c>
      <c r="U1035" s="5">
        <v>0.158218111360894</v>
      </c>
    </row>
    <row r="1036" spans="1:21" x14ac:dyDescent="0.3">
      <c r="A1036" s="5" t="s">
        <v>1231</v>
      </c>
      <c r="B1036" s="5" t="s">
        <v>1232</v>
      </c>
      <c r="C1036" s="5">
        <v>69</v>
      </c>
      <c r="D1036" s="5">
        <v>69</v>
      </c>
      <c r="E1036" s="5">
        <v>1</v>
      </c>
      <c r="F1036" s="6">
        <v>78.485900000000001</v>
      </c>
      <c r="G1036" s="7">
        <v>7.0429500000000005E-11</v>
      </c>
      <c r="H1036" s="5">
        <v>78.486000000000004</v>
      </c>
      <c r="I1036" s="5" t="s">
        <v>11</v>
      </c>
      <c r="J1036" s="5">
        <v>1</v>
      </c>
      <c r="K1036" s="5" t="s">
        <v>2</v>
      </c>
      <c r="L1036" s="5" t="s">
        <v>1233</v>
      </c>
      <c r="M1036" s="5" t="s">
        <v>1234</v>
      </c>
      <c r="N1036" s="5" t="s">
        <v>1235</v>
      </c>
      <c r="O1036" s="5">
        <v>3</v>
      </c>
      <c r="P1036" s="6">
        <v>668190</v>
      </c>
      <c r="Q1036" s="5">
        <v>395250</v>
      </c>
      <c r="R1036" s="5">
        <v>272940</v>
      </c>
      <c r="S1036" s="5">
        <v>0.62812999999999997</v>
      </c>
      <c r="T1036" s="5">
        <f>LOG(Table2[[#This Row],[ratio heavy to light normalized]],2)</f>
        <v>-0.67086491961451256</v>
      </c>
      <c r="U1036" s="5">
        <v>0.23495761763658801</v>
      </c>
    </row>
    <row r="1037" spans="1:21" x14ac:dyDescent="0.3">
      <c r="A1037" s="5" t="s">
        <v>1211</v>
      </c>
      <c r="B1037" s="5" t="s">
        <v>1212</v>
      </c>
      <c r="C1037" s="5">
        <v>89</v>
      </c>
      <c r="D1037" s="5">
        <v>89</v>
      </c>
      <c r="E1037" s="5">
        <v>1</v>
      </c>
      <c r="F1037" s="6">
        <v>51.091900000000003</v>
      </c>
      <c r="G1037" s="5">
        <v>1.4763500000000001E-2</v>
      </c>
      <c r="H1037" s="5">
        <v>51.091999999999999</v>
      </c>
      <c r="I1037" s="5"/>
      <c r="J1037" s="5">
        <v>1</v>
      </c>
      <c r="K1037" s="5" t="s">
        <v>2</v>
      </c>
      <c r="L1037" s="5" t="s">
        <v>1213</v>
      </c>
      <c r="M1037" s="5" t="s">
        <v>1214</v>
      </c>
      <c r="N1037" s="5" t="s">
        <v>1215</v>
      </c>
      <c r="O1037" s="5">
        <v>7</v>
      </c>
      <c r="P1037" s="6">
        <v>489780</v>
      </c>
      <c r="Q1037" s="5">
        <v>289010</v>
      </c>
      <c r="R1037" s="5">
        <v>200780</v>
      </c>
      <c r="S1037" s="5">
        <v>0.62500999999999995</v>
      </c>
      <c r="T1037" s="5">
        <f>LOG(Table2[[#This Row],[ratio heavy to light normalized]],2)</f>
        <v>-0.67804882217664664</v>
      </c>
      <c r="U1037" s="5">
        <v>0.22787738305697899</v>
      </c>
    </row>
    <row r="1038" spans="1:21" x14ac:dyDescent="0.3">
      <c r="A1038" s="5" t="s">
        <v>1206</v>
      </c>
      <c r="B1038" s="5" t="s">
        <v>1207</v>
      </c>
      <c r="C1038" s="5">
        <v>74</v>
      </c>
      <c r="D1038" s="5">
        <v>74</v>
      </c>
      <c r="E1038" s="5">
        <v>1</v>
      </c>
      <c r="F1038" s="6">
        <v>114.563</v>
      </c>
      <c r="G1038" s="7">
        <v>4.6524699999999997E-29</v>
      </c>
      <c r="H1038" s="5">
        <v>114.56</v>
      </c>
      <c r="I1038" s="5" t="s">
        <v>11</v>
      </c>
      <c r="J1038" s="5">
        <v>1</v>
      </c>
      <c r="K1038" s="5" t="s">
        <v>2</v>
      </c>
      <c r="L1038" s="5" t="s">
        <v>1208</v>
      </c>
      <c r="M1038" s="5" t="s">
        <v>1209</v>
      </c>
      <c r="N1038" s="5" t="s">
        <v>1210</v>
      </c>
      <c r="O1038" s="5">
        <v>4</v>
      </c>
      <c r="P1038" s="6">
        <v>385520</v>
      </c>
      <c r="Q1038" s="5">
        <v>222590</v>
      </c>
      <c r="R1038" s="5">
        <v>162930</v>
      </c>
      <c r="S1038" s="5">
        <v>0.62436000000000003</v>
      </c>
      <c r="T1038" s="5">
        <f>LOG(Table2[[#This Row],[ratio heavy to light normalized]],2)</f>
        <v>-0.67954998173896308</v>
      </c>
      <c r="U1038" s="5">
        <v>0.226417291773439</v>
      </c>
    </row>
    <row r="1039" spans="1:21" x14ac:dyDescent="0.3">
      <c r="A1039" s="5" t="s">
        <v>432</v>
      </c>
      <c r="B1039" s="5" t="s">
        <v>433</v>
      </c>
      <c r="C1039" s="5">
        <v>71</v>
      </c>
      <c r="D1039" s="5">
        <v>71</v>
      </c>
      <c r="E1039" s="5">
        <v>1</v>
      </c>
      <c r="F1039" s="6">
        <v>93.110500000000002</v>
      </c>
      <c r="G1039" s="7">
        <v>2.5149500000000002E-10</v>
      </c>
      <c r="H1039" s="5">
        <v>93.111000000000004</v>
      </c>
      <c r="I1039" s="5" t="s">
        <v>11</v>
      </c>
      <c r="J1039" s="5">
        <v>1</v>
      </c>
      <c r="K1039" s="5" t="s">
        <v>2</v>
      </c>
      <c r="L1039" s="5" t="s">
        <v>437</v>
      </c>
      <c r="M1039" s="5" t="s">
        <v>438</v>
      </c>
      <c r="N1039" s="5" t="s">
        <v>439</v>
      </c>
      <c r="O1039" s="5">
        <v>5</v>
      </c>
      <c r="P1039" s="6">
        <v>4342500</v>
      </c>
      <c r="Q1039" s="5">
        <v>2256600</v>
      </c>
      <c r="R1039" s="5">
        <v>2085900</v>
      </c>
      <c r="S1039" s="5">
        <v>0.62143000000000004</v>
      </c>
      <c r="T1039" s="5">
        <f>LOG(Table2[[#This Row],[ratio heavy to light normalized]],2)</f>
        <v>-0.68633620455972633</v>
      </c>
      <c r="U1039" s="5">
        <v>4.6294161379286901E-2</v>
      </c>
    </row>
    <row r="1040" spans="1:21" x14ac:dyDescent="0.3">
      <c r="A1040" s="5" t="s">
        <v>215</v>
      </c>
      <c r="B1040" s="5" t="s">
        <v>216</v>
      </c>
      <c r="C1040" s="5">
        <v>743</v>
      </c>
      <c r="D1040" s="5">
        <v>743</v>
      </c>
      <c r="E1040" s="5">
        <v>1</v>
      </c>
      <c r="F1040" s="6">
        <v>38.017400000000002</v>
      </c>
      <c r="G1040" s="5">
        <v>6.4611499999999995E-4</v>
      </c>
      <c r="H1040" s="5">
        <v>38.017000000000003</v>
      </c>
      <c r="I1040" s="5" t="s">
        <v>11</v>
      </c>
      <c r="J1040" s="5">
        <v>1</v>
      </c>
      <c r="K1040" s="5" t="s">
        <v>2</v>
      </c>
      <c r="L1040" s="5" t="s">
        <v>864</v>
      </c>
      <c r="M1040" s="5" t="s">
        <v>865</v>
      </c>
      <c r="N1040" s="5" t="s">
        <v>866</v>
      </c>
      <c r="O1040" s="5">
        <v>3</v>
      </c>
      <c r="P1040" s="6">
        <v>1396600</v>
      </c>
      <c r="Q1040" s="5">
        <v>703920</v>
      </c>
      <c r="R1040" s="5">
        <v>692640</v>
      </c>
      <c r="S1040" s="5">
        <v>0.62055000000000005</v>
      </c>
      <c r="T1040" s="5">
        <f>LOG(Table2[[#This Row],[ratio heavy to light normalized]],2)</f>
        <v>-0.68838063659315651</v>
      </c>
      <c r="U1040" s="5">
        <v>0.145317111806501</v>
      </c>
    </row>
    <row r="1041" spans="1:21" x14ac:dyDescent="0.3">
      <c r="A1041" s="5" t="s">
        <v>1173</v>
      </c>
      <c r="B1041" s="5" t="s">
        <v>1174</v>
      </c>
      <c r="C1041" s="5">
        <v>210</v>
      </c>
      <c r="D1041" s="5">
        <v>210</v>
      </c>
      <c r="E1041" s="5">
        <v>1</v>
      </c>
      <c r="F1041" s="6">
        <v>74.919899999999998</v>
      </c>
      <c r="G1041" s="7">
        <v>2.2518699999999998E-5</v>
      </c>
      <c r="H1041" s="5">
        <v>74.92</v>
      </c>
      <c r="I1041" s="5" t="s">
        <v>11</v>
      </c>
      <c r="J1041" s="5">
        <v>1</v>
      </c>
      <c r="K1041" s="5" t="s">
        <v>2</v>
      </c>
      <c r="L1041" s="5" t="s">
        <v>1175</v>
      </c>
      <c r="M1041" s="5" t="s">
        <v>1176</v>
      </c>
      <c r="N1041" s="5" t="s">
        <v>1177</v>
      </c>
      <c r="O1041" s="5">
        <v>6</v>
      </c>
      <c r="P1041" s="6">
        <v>777060</v>
      </c>
      <c r="Q1041" s="5">
        <v>466720</v>
      </c>
      <c r="R1041" s="5">
        <v>310340</v>
      </c>
      <c r="S1041" s="5">
        <v>0.62043000000000004</v>
      </c>
      <c r="T1041" s="5">
        <f>LOG(Table2[[#This Row],[ratio heavy to light normalized]],2)</f>
        <v>-0.68865964738373542</v>
      </c>
      <c r="U1041" s="5">
        <v>0.21769989787350399</v>
      </c>
    </row>
    <row r="1042" spans="1:21" x14ac:dyDescent="0.3">
      <c r="A1042" s="5" t="s">
        <v>56</v>
      </c>
      <c r="B1042" s="5" t="s">
        <v>57</v>
      </c>
      <c r="C1042" s="5">
        <v>218</v>
      </c>
      <c r="D1042" s="5">
        <v>218</v>
      </c>
      <c r="E1042" s="5">
        <v>1</v>
      </c>
      <c r="F1042" s="6">
        <v>39.509</v>
      </c>
      <c r="G1042" s="5">
        <v>4.5449000000000002E-3</v>
      </c>
      <c r="H1042" s="5">
        <v>39.509</v>
      </c>
      <c r="I1042" s="5" t="s">
        <v>11</v>
      </c>
      <c r="J1042" s="5">
        <v>1</v>
      </c>
      <c r="K1042" s="5" t="s">
        <v>2</v>
      </c>
      <c r="L1042" s="5" t="s">
        <v>1170</v>
      </c>
      <c r="M1042" s="5" t="s">
        <v>1171</v>
      </c>
      <c r="N1042" s="5" t="s">
        <v>1172</v>
      </c>
      <c r="O1042" s="5">
        <v>4</v>
      </c>
      <c r="P1042" s="6">
        <v>972280</v>
      </c>
      <c r="Q1042" s="5">
        <v>600540</v>
      </c>
      <c r="R1042" s="5">
        <v>371730</v>
      </c>
      <c r="S1042" s="5">
        <v>0.61968999999999996</v>
      </c>
      <c r="T1042" s="5">
        <f>LOG(Table2[[#This Row],[ratio heavy to light normalized]],2)</f>
        <v>-0.69038140730530906</v>
      </c>
      <c r="U1042" s="5">
        <v>0.21607976305420001</v>
      </c>
    </row>
    <row r="1043" spans="1:21" x14ac:dyDescent="0.3">
      <c r="A1043" s="5" t="s">
        <v>859</v>
      </c>
      <c r="B1043" s="5" t="s">
        <v>860</v>
      </c>
      <c r="C1043" s="5">
        <v>41</v>
      </c>
      <c r="D1043" s="5">
        <v>41</v>
      </c>
      <c r="E1043" s="5">
        <v>0.99988600000000005</v>
      </c>
      <c r="F1043" s="6">
        <v>39.423000000000002</v>
      </c>
      <c r="G1043" s="7">
        <v>1.06171E-6</v>
      </c>
      <c r="H1043" s="5">
        <v>50.883000000000003</v>
      </c>
      <c r="I1043" s="5"/>
      <c r="J1043" s="5">
        <v>1</v>
      </c>
      <c r="K1043" s="5" t="s">
        <v>2</v>
      </c>
      <c r="L1043" s="5" t="s">
        <v>861</v>
      </c>
      <c r="M1043" s="5" t="s">
        <v>862</v>
      </c>
      <c r="N1043" s="5" t="s">
        <v>863</v>
      </c>
      <c r="O1043" s="5">
        <v>15</v>
      </c>
      <c r="P1043" s="6">
        <v>1063100</v>
      </c>
      <c r="Q1043" s="5">
        <v>634000</v>
      </c>
      <c r="R1043" s="5">
        <v>429100</v>
      </c>
      <c r="S1043" s="5">
        <v>0.61936999999999998</v>
      </c>
      <c r="T1043" s="5">
        <f>LOG(Table2[[#This Row],[ratio heavy to light normalized]],2)</f>
        <v>-0.69112658901297208</v>
      </c>
      <c r="U1043" s="5">
        <v>0.14338744230771799</v>
      </c>
    </row>
    <row r="1044" spans="1:21" x14ac:dyDescent="0.3">
      <c r="A1044" s="5" t="s">
        <v>243</v>
      </c>
      <c r="B1044" s="5" t="s">
        <v>244</v>
      </c>
      <c r="C1044" s="5">
        <v>215</v>
      </c>
      <c r="D1044" s="5">
        <v>215</v>
      </c>
      <c r="E1044" s="5">
        <v>1</v>
      </c>
      <c r="F1044" s="6">
        <v>31.488399999999999</v>
      </c>
      <c r="G1044" s="5">
        <v>8.9558599999999995E-3</v>
      </c>
      <c r="H1044" s="5">
        <v>31.488</v>
      </c>
      <c r="I1044" s="5" t="s">
        <v>11</v>
      </c>
      <c r="J1044" s="5">
        <v>1</v>
      </c>
      <c r="K1044" s="5" t="s">
        <v>2</v>
      </c>
      <c r="L1044" s="5" t="s">
        <v>1167</v>
      </c>
      <c r="M1044" s="5" t="s">
        <v>1168</v>
      </c>
      <c r="N1044" s="5" t="s">
        <v>1169</v>
      </c>
      <c r="O1044" s="5">
        <v>10</v>
      </c>
      <c r="P1044" s="6">
        <v>895990</v>
      </c>
      <c r="Q1044" s="5">
        <v>474330</v>
      </c>
      <c r="R1044" s="5">
        <v>421660</v>
      </c>
      <c r="S1044" s="5">
        <v>0.61916000000000004</v>
      </c>
      <c r="T1044" s="5">
        <f>LOG(Table2[[#This Row],[ratio heavy to light normalized]],2)</f>
        <v>-0.69161582376948172</v>
      </c>
      <c r="U1044" s="5">
        <v>0.21492356196885201</v>
      </c>
    </row>
    <row r="1045" spans="1:21" x14ac:dyDescent="0.3">
      <c r="A1045" s="5" t="s">
        <v>1157</v>
      </c>
      <c r="B1045" s="5" t="s">
        <v>1158</v>
      </c>
      <c r="C1045" s="5">
        <v>355</v>
      </c>
      <c r="D1045" s="5">
        <v>355</v>
      </c>
      <c r="E1045" s="5">
        <v>1</v>
      </c>
      <c r="F1045" s="6">
        <v>57.348300000000002</v>
      </c>
      <c r="G1045" s="5">
        <v>2.4311200000000002E-3</v>
      </c>
      <c r="H1045" s="5">
        <v>57.347999999999999</v>
      </c>
      <c r="I1045" s="5" t="s">
        <v>11</v>
      </c>
      <c r="J1045" s="5">
        <v>1</v>
      </c>
      <c r="K1045" s="5" t="s">
        <v>2</v>
      </c>
      <c r="L1045" s="5" t="s">
        <v>1159</v>
      </c>
      <c r="M1045" s="5" t="s">
        <v>1160</v>
      </c>
      <c r="N1045" s="5" t="s">
        <v>1161</v>
      </c>
      <c r="O1045" s="5">
        <v>9</v>
      </c>
      <c r="P1045" s="6">
        <v>721900</v>
      </c>
      <c r="Q1045" s="5">
        <v>439520</v>
      </c>
      <c r="R1045" s="5">
        <v>282380</v>
      </c>
      <c r="S1045" s="5">
        <v>0.61829999999999996</v>
      </c>
      <c r="T1045" s="5">
        <f>LOG(Table2[[#This Row],[ratio heavy to light normalized]],2)</f>
        <v>-0.69362108928903699</v>
      </c>
      <c r="U1045" s="5">
        <v>0.21305487101988699</v>
      </c>
    </row>
    <row r="1046" spans="1:21" x14ac:dyDescent="0.3">
      <c r="A1046" s="5" t="s">
        <v>368</v>
      </c>
      <c r="B1046" s="5" t="s">
        <v>369</v>
      </c>
      <c r="C1046" s="5">
        <v>412</v>
      </c>
      <c r="D1046" s="5">
        <v>412</v>
      </c>
      <c r="E1046" s="5">
        <v>1</v>
      </c>
      <c r="F1046" s="6">
        <v>95.814300000000003</v>
      </c>
      <c r="G1046" s="7">
        <v>5.6050599999999999E-25</v>
      </c>
      <c r="H1046" s="5">
        <v>95.813999999999993</v>
      </c>
      <c r="I1046" s="5"/>
      <c r="J1046" s="5">
        <v>1</v>
      </c>
      <c r="K1046" s="5" t="s">
        <v>2</v>
      </c>
      <c r="L1046" s="5" t="s">
        <v>1154</v>
      </c>
      <c r="M1046" s="5" t="s">
        <v>1155</v>
      </c>
      <c r="N1046" s="5" t="s">
        <v>1156</v>
      </c>
      <c r="O1046" s="5">
        <v>12</v>
      </c>
      <c r="P1046" s="6">
        <v>691480</v>
      </c>
      <c r="Q1046" s="5">
        <v>444630</v>
      </c>
      <c r="R1046" s="5">
        <v>246860</v>
      </c>
      <c r="S1046" s="5">
        <v>0.61792999999999998</v>
      </c>
      <c r="T1046" s="5">
        <f>LOG(Table2[[#This Row],[ratio heavy to light normalized]],2)</f>
        <v>-0.69448467807278735</v>
      </c>
      <c r="U1046" s="5">
        <v>0.21225372328589701</v>
      </c>
    </row>
    <row r="1047" spans="1:21" x14ac:dyDescent="0.3">
      <c r="A1047" s="5" t="s">
        <v>313</v>
      </c>
      <c r="B1047" s="5" t="s">
        <v>314</v>
      </c>
      <c r="C1047" s="5">
        <v>117</v>
      </c>
      <c r="D1047" s="5">
        <v>117</v>
      </c>
      <c r="E1047" s="5">
        <v>1</v>
      </c>
      <c r="F1047" s="6">
        <v>59.349699999999999</v>
      </c>
      <c r="G1047" s="5">
        <v>3.6671799999999998E-4</v>
      </c>
      <c r="H1047" s="5">
        <v>59.35</v>
      </c>
      <c r="I1047" s="5"/>
      <c r="J1047" s="5">
        <v>1</v>
      </c>
      <c r="K1047" s="5" t="s">
        <v>2</v>
      </c>
      <c r="L1047" s="5" t="s">
        <v>838</v>
      </c>
      <c r="M1047" s="5" t="s">
        <v>839</v>
      </c>
      <c r="N1047" s="5" t="s">
        <v>840</v>
      </c>
      <c r="O1047" s="5">
        <v>6</v>
      </c>
      <c r="P1047" s="6">
        <v>1074600</v>
      </c>
      <c r="Q1047" s="5">
        <v>606330</v>
      </c>
      <c r="R1047" s="5">
        <v>468240</v>
      </c>
      <c r="S1047" s="5">
        <v>0.61729000000000001</v>
      </c>
      <c r="T1047" s="5">
        <f>LOG(Table2[[#This Row],[ratio heavy to light normalized]],2)</f>
        <v>-0.69597967476777711</v>
      </c>
      <c r="U1047" s="5">
        <v>0.140025173531036</v>
      </c>
    </row>
    <row r="1048" spans="1:21" x14ac:dyDescent="0.3">
      <c r="A1048" s="5" t="s">
        <v>823</v>
      </c>
      <c r="B1048" s="5" t="s">
        <v>824</v>
      </c>
      <c r="C1048" s="5">
        <v>57</v>
      </c>
      <c r="D1048" s="5">
        <v>57</v>
      </c>
      <c r="E1048" s="5">
        <v>1</v>
      </c>
      <c r="F1048" s="6">
        <v>60.6282</v>
      </c>
      <c r="G1048" s="7">
        <v>6.1822099999999999E-5</v>
      </c>
      <c r="H1048" s="5">
        <v>60.628</v>
      </c>
      <c r="I1048" s="5"/>
      <c r="J1048" s="5">
        <v>1</v>
      </c>
      <c r="K1048" s="5" t="s">
        <v>2</v>
      </c>
      <c r="L1048" s="5" t="s">
        <v>825</v>
      </c>
      <c r="M1048" s="5" t="s">
        <v>826</v>
      </c>
      <c r="N1048" s="5" t="s">
        <v>827</v>
      </c>
      <c r="O1048" s="5">
        <v>11</v>
      </c>
      <c r="P1048" s="6">
        <v>2084400</v>
      </c>
      <c r="Q1048" s="5">
        <v>1095400</v>
      </c>
      <c r="R1048" s="5">
        <v>988970</v>
      </c>
      <c r="S1048" s="5">
        <v>0.61665999999999999</v>
      </c>
      <c r="T1048" s="5">
        <f>LOG(Table2[[#This Row],[ratio heavy to light normalized]],2)</f>
        <v>-0.69745282676702069</v>
      </c>
      <c r="U1048" s="5">
        <v>0.139016652642688</v>
      </c>
    </row>
    <row r="1049" spans="1:21" x14ac:dyDescent="0.3">
      <c r="A1049" s="5" t="s">
        <v>818</v>
      </c>
      <c r="B1049" s="5" t="s">
        <v>819</v>
      </c>
      <c r="C1049" s="5">
        <v>276</v>
      </c>
      <c r="D1049" s="5">
        <v>276</v>
      </c>
      <c r="E1049" s="5">
        <v>1</v>
      </c>
      <c r="F1049" s="6">
        <v>82.999899999999997</v>
      </c>
      <c r="G1049" s="7">
        <v>4.6030299999999999E-7</v>
      </c>
      <c r="H1049" s="5">
        <v>83</v>
      </c>
      <c r="I1049" s="5" t="s">
        <v>11</v>
      </c>
      <c r="J1049" s="5">
        <v>1</v>
      </c>
      <c r="K1049" s="5" t="s">
        <v>2</v>
      </c>
      <c r="L1049" s="5" t="s">
        <v>820</v>
      </c>
      <c r="M1049" s="5" t="s">
        <v>821</v>
      </c>
      <c r="N1049" s="5" t="s">
        <v>822</v>
      </c>
      <c r="O1049" s="5">
        <v>1</v>
      </c>
      <c r="P1049" s="6">
        <v>1325400</v>
      </c>
      <c r="Q1049" s="5">
        <v>662930</v>
      </c>
      <c r="R1049" s="5">
        <v>662510</v>
      </c>
      <c r="S1049" s="5">
        <v>0.61661999999999995</v>
      </c>
      <c r="T1049" s="5">
        <f>LOG(Table2[[#This Row],[ratio heavy to light normalized]],2)</f>
        <v>-0.69754641103280923</v>
      </c>
      <c r="U1049" s="5">
        <v>0.13895277423805499</v>
      </c>
    </row>
    <row r="1050" spans="1:21" x14ac:dyDescent="0.3">
      <c r="A1050" s="5" t="s">
        <v>1136</v>
      </c>
      <c r="B1050" s="5" t="s">
        <v>1137</v>
      </c>
      <c r="C1050" s="5">
        <v>318</v>
      </c>
      <c r="D1050" s="5">
        <v>318</v>
      </c>
      <c r="E1050" s="5">
        <v>1</v>
      </c>
      <c r="F1050" s="6">
        <v>60.255099999999999</v>
      </c>
      <c r="G1050" s="5">
        <v>3.7196799999999997E-4</v>
      </c>
      <c r="H1050" s="5">
        <v>60.255000000000003</v>
      </c>
      <c r="I1050" s="5" t="s">
        <v>11</v>
      </c>
      <c r="J1050" s="5">
        <v>1</v>
      </c>
      <c r="K1050" s="5" t="s">
        <v>2</v>
      </c>
      <c r="L1050" s="5" t="s">
        <v>1138</v>
      </c>
      <c r="M1050" s="5" t="s">
        <v>1139</v>
      </c>
      <c r="N1050" s="5" t="s">
        <v>1140</v>
      </c>
      <c r="O1050" s="5">
        <v>10</v>
      </c>
      <c r="P1050" s="6">
        <v>703560</v>
      </c>
      <c r="Q1050" s="5">
        <v>382360</v>
      </c>
      <c r="R1050" s="5">
        <v>321200</v>
      </c>
      <c r="S1050" s="5">
        <v>0.61653999999999998</v>
      </c>
      <c r="T1050" s="5">
        <f>LOG(Table2[[#This Row],[ratio heavy to light normalized]],2)</f>
        <v>-0.69773359777813504</v>
      </c>
      <c r="U1050" s="5">
        <v>0.209259212125604</v>
      </c>
    </row>
    <row r="1051" spans="1:21" x14ac:dyDescent="0.3">
      <c r="A1051" s="5" t="s">
        <v>805</v>
      </c>
      <c r="B1051" s="5" t="s">
        <v>806</v>
      </c>
      <c r="C1051" s="5">
        <v>270</v>
      </c>
      <c r="D1051" s="5">
        <v>270</v>
      </c>
      <c r="E1051" s="5">
        <v>1</v>
      </c>
      <c r="F1051" s="6">
        <v>37.624000000000002</v>
      </c>
      <c r="G1051" s="7">
        <v>2.59198E-12</v>
      </c>
      <c r="H1051" s="5">
        <v>72.819000000000003</v>
      </c>
      <c r="I1051" s="5"/>
      <c r="J1051" s="5">
        <v>1</v>
      </c>
      <c r="K1051" s="5" t="s">
        <v>2</v>
      </c>
      <c r="L1051" s="5" t="s">
        <v>807</v>
      </c>
      <c r="M1051" s="5" t="s">
        <v>808</v>
      </c>
      <c r="N1051" s="5" t="s">
        <v>809</v>
      </c>
      <c r="O1051" s="5">
        <v>6</v>
      </c>
      <c r="P1051" s="6">
        <v>1397700</v>
      </c>
      <c r="Q1051" s="5">
        <v>878560</v>
      </c>
      <c r="R1051" s="5">
        <v>519160</v>
      </c>
      <c r="S1051" s="5">
        <v>0.61495</v>
      </c>
      <c r="T1051" s="5">
        <f>LOG(Table2[[#This Row],[ratio heavy to light normalized]],2)</f>
        <v>-0.70145898148346919</v>
      </c>
      <c r="U1051" s="5">
        <v>0.136302322969196</v>
      </c>
    </row>
    <row r="1052" spans="1:21" x14ac:dyDescent="0.3">
      <c r="A1052" s="5" t="s">
        <v>422</v>
      </c>
      <c r="B1052" s="5" t="s">
        <v>423</v>
      </c>
      <c r="C1052" s="5">
        <v>78</v>
      </c>
      <c r="D1052" s="5">
        <v>78</v>
      </c>
      <c r="E1052" s="5">
        <v>1</v>
      </c>
      <c r="F1052" s="6">
        <v>118.68600000000001</v>
      </c>
      <c r="G1052" s="7">
        <v>1.70457E-21</v>
      </c>
      <c r="H1052" s="5">
        <v>118.69</v>
      </c>
      <c r="I1052" s="5" t="s">
        <v>11</v>
      </c>
      <c r="J1052" s="5">
        <v>1</v>
      </c>
      <c r="K1052" s="5" t="s">
        <v>2</v>
      </c>
      <c r="L1052" s="5" t="s">
        <v>424</v>
      </c>
      <c r="M1052" s="5" t="s">
        <v>425</v>
      </c>
      <c r="N1052" s="5" t="s">
        <v>426</v>
      </c>
      <c r="O1052" s="5">
        <v>3</v>
      </c>
      <c r="P1052" s="6">
        <v>21338000</v>
      </c>
      <c r="Q1052" s="5">
        <v>9499200</v>
      </c>
      <c r="R1052" s="5">
        <v>11838000</v>
      </c>
      <c r="S1052" s="5">
        <v>0.61473</v>
      </c>
      <c r="T1052" s="5">
        <f>LOG(Table2[[#This Row],[ratio heavy to light normalized]],2)</f>
        <v>-0.70197520182108875</v>
      </c>
      <c r="U1052" s="5">
        <v>4.07940643204995E-2</v>
      </c>
    </row>
    <row r="1053" spans="1:21" x14ac:dyDescent="0.3">
      <c r="A1053" s="5" t="s">
        <v>4175</v>
      </c>
      <c r="B1053" s="5" t="s">
        <v>4176</v>
      </c>
      <c r="C1053" s="5">
        <v>199</v>
      </c>
      <c r="D1053" s="5">
        <v>199</v>
      </c>
      <c r="E1053" s="5">
        <v>1</v>
      </c>
      <c r="F1053" s="6">
        <v>26.781400000000001</v>
      </c>
      <c r="G1053" s="5">
        <v>0.12592300000000001</v>
      </c>
      <c r="H1053" s="5">
        <v>26.780999999999999</v>
      </c>
      <c r="I1053" s="5"/>
      <c r="J1053" s="5">
        <v>1</v>
      </c>
      <c r="K1053" s="5" t="s">
        <v>2</v>
      </c>
      <c r="L1053" s="5" t="s">
        <v>4177</v>
      </c>
      <c r="M1053" s="5" t="s">
        <v>4178</v>
      </c>
      <c r="N1053" s="5" t="s">
        <v>4179</v>
      </c>
      <c r="O1053" s="5">
        <v>3</v>
      </c>
      <c r="P1053" s="6">
        <v>283230</v>
      </c>
      <c r="Q1053" s="5">
        <v>143640</v>
      </c>
      <c r="R1053" s="5">
        <v>139600</v>
      </c>
      <c r="S1053" s="5">
        <v>0.84655000000000002</v>
      </c>
      <c r="T1053" s="5">
        <f>LOG(Table2[[#This Row],[ratio heavy to light normalized]],2)</f>
        <v>-0.24033281398233916</v>
      </c>
      <c r="U1053" s="5">
        <v>0.92085209329824502</v>
      </c>
    </row>
    <row r="1054" spans="1:21" x14ac:dyDescent="0.3">
      <c r="A1054" s="5" t="s">
        <v>121</v>
      </c>
      <c r="B1054" s="5" t="s">
        <v>122</v>
      </c>
      <c r="C1054" s="5">
        <v>422</v>
      </c>
      <c r="D1054" s="5">
        <v>422</v>
      </c>
      <c r="E1054" s="5">
        <v>1</v>
      </c>
      <c r="F1054" s="6">
        <v>64.438599999999994</v>
      </c>
      <c r="G1054" s="7">
        <v>6.5074199999999998E-21</v>
      </c>
      <c r="H1054" s="5">
        <v>109.16</v>
      </c>
      <c r="I1054" s="5" t="s">
        <v>11</v>
      </c>
      <c r="J1054" s="5">
        <v>1</v>
      </c>
      <c r="K1054" s="5" t="s">
        <v>2</v>
      </c>
      <c r="L1054" s="5" t="s">
        <v>799</v>
      </c>
      <c r="M1054" s="5" t="s">
        <v>800</v>
      </c>
      <c r="N1054" s="5" t="s">
        <v>801</v>
      </c>
      <c r="O1054" s="5">
        <v>7</v>
      </c>
      <c r="P1054" s="6">
        <v>2244500</v>
      </c>
      <c r="Q1054" s="5">
        <v>1661500</v>
      </c>
      <c r="R1054" s="5">
        <v>583010</v>
      </c>
      <c r="S1054" s="5">
        <v>0.61423000000000005</v>
      </c>
      <c r="T1054" s="5">
        <f>LOG(Table2[[#This Row],[ratio heavy to light normalized]],2)</f>
        <v>-0.70314911726218499</v>
      </c>
      <c r="U1054" s="5">
        <v>0.13516953350529401</v>
      </c>
    </row>
    <row r="1055" spans="1:21" x14ac:dyDescent="0.3">
      <c r="A1055" s="5" t="s">
        <v>407</v>
      </c>
      <c r="B1055" s="5" t="s">
        <v>408</v>
      </c>
      <c r="C1055" s="5">
        <v>1257</v>
      </c>
      <c r="D1055" s="5">
        <v>1257</v>
      </c>
      <c r="E1055" s="5">
        <v>1</v>
      </c>
      <c r="F1055" s="6">
        <v>56.225099999999998</v>
      </c>
      <c r="G1055" s="7">
        <v>3.12553E-6</v>
      </c>
      <c r="H1055" s="5">
        <v>72.34</v>
      </c>
      <c r="I1055" s="5"/>
      <c r="J1055" s="5">
        <v>1</v>
      </c>
      <c r="K1055" s="5" t="s">
        <v>2</v>
      </c>
      <c r="L1055" s="5" t="s">
        <v>409</v>
      </c>
      <c r="M1055" s="5" t="s">
        <v>410</v>
      </c>
      <c r="N1055" s="5" t="s">
        <v>411</v>
      </c>
      <c r="O1055" s="5">
        <v>8</v>
      </c>
      <c r="P1055" s="6">
        <v>3954300</v>
      </c>
      <c r="Q1055" s="5">
        <v>2322300</v>
      </c>
      <c r="R1055" s="5">
        <v>1632000</v>
      </c>
      <c r="S1055" s="5">
        <v>0.61177999999999999</v>
      </c>
      <c r="T1055" s="5">
        <f>LOG(Table2[[#This Row],[ratio heavy to light normalized]],2)</f>
        <v>-0.70891515107142211</v>
      </c>
      <c r="U1055" s="5">
        <v>3.8536810432610903E-2</v>
      </c>
    </row>
    <row r="1056" spans="1:21" x14ac:dyDescent="0.3">
      <c r="A1056" s="5" t="s">
        <v>789</v>
      </c>
      <c r="B1056" s="5" t="s">
        <v>790</v>
      </c>
      <c r="C1056" s="5">
        <v>243</v>
      </c>
      <c r="D1056" s="5">
        <v>243</v>
      </c>
      <c r="E1056" s="5">
        <v>1</v>
      </c>
      <c r="F1056" s="6">
        <v>102.378</v>
      </c>
      <c r="G1056" s="7">
        <v>8.9714299999999997E-26</v>
      </c>
      <c r="H1056" s="5">
        <v>102.38</v>
      </c>
      <c r="I1056" s="5" t="s">
        <v>11</v>
      </c>
      <c r="J1056" s="5">
        <v>1</v>
      </c>
      <c r="K1056" s="5" t="s">
        <v>2</v>
      </c>
      <c r="L1056" s="5" t="s">
        <v>791</v>
      </c>
      <c r="M1056" s="5" t="s">
        <v>792</v>
      </c>
      <c r="N1056" s="5" t="s">
        <v>793</v>
      </c>
      <c r="O1056" s="5">
        <v>6</v>
      </c>
      <c r="P1056" s="6">
        <v>1595200</v>
      </c>
      <c r="Q1056" s="5">
        <v>944030</v>
      </c>
      <c r="R1056" s="5">
        <v>651160</v>
      </c>
      <c r="S1056" s="5">
        <v>0.60968999999999995</v>
      </c>
      <c r="T1056" s="5">
        <f>LOG(Table2[[#This Row],[ratio heavy to light normalized]],2)</f>
        <v>-0.71385221146264144</v>
      </c>
      <c r="U1056" s="5">
        <v>0.12816406992750201</v>
      </c>
    </row>
    <row r="1057" spans="1:21" x14ac:dyDescent="0.3">
      <c r="A1057" s="5" t="s">
        <v>1077</v>
      </c>
      <c r="B1057" s="5" t="s">
        <v>1078</v>
      </c>
      <c r="C1057" s="5">
        <v>546</v>
      </c>
      <c r="D1057" s="5">
        <v>546</v>
      </c>
      <c r="E1057" s="5">
        <v>1</v>
      </c>
      <c r="F1057" s="6">
        <v>49.0886</v>
      </c>
      <c r="G1057" s="7">
        <v>1.06362E-6</v>
      </c>
      <c r="H1057" s="5">
        <v>49.088999999999999</v>
      </c>
      <c r="I1057" s="5" t="s">
        <v>11</v>
      </c>
      <c r="J1057" s="5">
        <v>1</v>
      </c>
      <c r="K1057" s="5" t="s">
        <v>2</v>
      </c>
      <c r="L1057" s="5" t="s">
        <v>1079</v>
      </c>
      <c r="M1057" s="5" t="s">
        <v>1080</v>
      </c>
      <c r="N1057" s="5" t="s">
        <v>1081</v>
      </c>
      <c r="O1057" s="5">
        <v>15</v>
      </c>
      <c r="P1057" s="6">
        <v>275720</v>
      </c>
      <c r="Q1057" s="5">
        <v>150160</v>
      </c>
      <c r="R1057" s="5">
        <v>125560</v>
      </c>
      <c r="S1057" s="5">
        <v>0.60951999999999995</v>
      </c>
      <c r="T1057" s="5">
        <f>LOG(Table2[[#This Row],[ratio heavy to light normalized]],2)</f>
        <v>-0.71425453453830612</v>
      </c>
      <c r="U1057" s="5">
        <v>0.19450473158345499</v>
      </c>
    </row>
    <row r="1058" spans="1:21" x14ac:dyDescent="0.3">
      <c r="A1058" s="5" t="s">
        <v>1058</v>
      </c>
      <c r="B1058" s="5" t="s">
        <v>1059</v>
      </c>
      <c r="C1058" s="5">
        <v>470</v>
      </c>
      <c r="D1058" s="5">
        <v>470</v>
      </c>
      <c r="E1058" s="5">
        <v>1</v>
      </c>
      <c r="F1058" s="6">
        <v>58.676499999999997</v>
      </c>
      <c r="G1058" s="5">
        <v>2.0215099999999998E-3</v>
      </c>
      <c r="H1058" s="5">
        <v>58.676000000000002</v>
      </c>
      <c r="I1058" s="5" t="s">
        <v>11</v>
      </c>
      <c r="J1058" s="5">
        <v>1</v>
      </c>
      <c r="K1058" s="5" t="s">
        <v>2</v>
      </c>
      <c r="L1058" s="5" t="s">
        <v>1060</v>
      </c>
      <c r="M1058" s="5" t="s">
        <v>1061</v>
      </c>
      <c r="N1058" s="5" t="s">
        <v>1062</v>
      </c>
      <c r="O1058" s="5">
        <v>6</v>
      </c>
      <c r="P1058" s="6">
        <v>536270</v>
      </c>
      <c r="Q1058" s="5">
        <v>322590</v>
      </c>
      <c r="R1058" s="5">
        <v>213680</v>
      </c>
      <c r="S1058" s="5">
        <v>0.60758999999999996</v>
      </c>
      <c r="T1058" s="5">
        <f>LOG(Table2[[#This Row],[ratio heavy to light normalized]],2)</f>
        <v>-0.71882996940077459</v>
      </c>
      <c r="U1058" s="5">
        <v>0.190556822478433</v>
      </c>
    </row>
    <row r="1059" spans="1:21" x14ac:dyDescent="0.3">
      <c r="A1059" s="5" t="s">
        <v>386</v>
      </c>
      <c r="B1059" s="5" t="s">
        <v>387</v>
      </c>
      <c r="C1059" s="5">
        <v>212</v>
      </c>
      <c r="D1059" s="5">
        <v>212</v>
      </c>
      <c r="E1059" s="5">
        <v>1</v>
      </c>
      <c r="F1059" s="6">
        <v>165.66399999999999</v>
      </c>
      <c r="G1059" s="7">
        <v>1.53621E-66</v>
      </c>
      <c r="H1059" s="5">
        <v>165.66</v>
      </c>
      <c r="I1059" s="5" t="s">
        <v>11</v>
      </c>
      <c r="J1059" s="5">
        <v>1</v>
      </c>
      <c r="K1059" s="5" t="s">
        <v>2</v>
      </c>
      <c r="L1059" s="5" t="s">
        <v>388</v>
      </c>
      <c r="M1059" s="5" t="s">
        <v>389</v>
      </c>
      <c r="N1059" s="5" t="s">
        <v>390</v>
      </c>
      <c r="O1059" s="5">
        <v>3</v>
      </c>
      <c r="P1059" s="6">
        <v>11003000</v>
      </c>
      <c r="Q1059" s="5">
        <v>6276000</v>
      </c>
      <c r="R1059" s="5">
        <v>4727400</v>
      </c>
      <c r="S1059" s="5">
        <v>0.59979000000000005</v>
      </c>
      <c r="T1059" s="5">
        <f>LOG(Table2[[#This Row],[ratio heavy to light normalized]],2)</f>
        <v>-0.73747062581621237</v>
      </c>
      <c r="U1059" s="5">
        <v>3.0332710821584102E-2</v>
      </c>
    </row>
    <row r="1060" spans="1:21" x14ac:dyDescent="0.3">
      <c r="A1060" s="5" t="s">
        <v>996</v>
      </c>
      <c r="B1060" s="5" t="s">
        <v>997</v>
      </c>
      <c r="C1060" s="5">
        <v>493</v>
      </c>
      <c r="D1060" s="5">
        <v>493</v>
      </c>
      <c r="E1060" s="5">
        <v>1</v>
      </c>
      <c r="F1060" s="6">
        <v>78.934200000000004</v>
      </c>
      <c r="G1060" s="7">
        <v>1.5979500000000001E-6</v>
      </c>
      <c r="H1060" s="5">
        <v>78.933999999999997</v>
      </c>
      <c r="I1060" s="5"/>
      <c r="J1060" s="5">
        <v>1</v>
      </c>
      <c r="K1060" s="5" t="s">
        <v>2</v>
      </c>
      <c r="L1060" s="5" t="s">
        <v>998</v>
      </c>
      <c r="M1060" s="5" t="s">
        <v>999</v>
      </c>
      <c r="N1060" s="5" t="s">
        <v>1000</v>
      </c>
      <c r="O1060" s="5">
        <v>8</v>
      </c>
      <c r="P1060" s="6">
        <v>719470</v>
      </c>
      <c r="Q1060" s="5">
        <v>467410</v>
      </c>
      <c r="R1060" s="5">
        <v>252060</v>
      </c>
      <c r="S1060" s="5">
        <v>0.59691000000000005</v>
      </c>
      <c r="T1060" s="5">
        <f>LOG(Table2[[#This Row],[ratio heavy to light normalized]],2)</f>
        <v>-0.74441467150748442</v>
      </c>
      <c r="U1060" s="5">
        <v>0.16956335719420601</v>
      </c>
    </row>
    <row r="1061" spans="1:21" x14ac:dyDescent="0.3">
      <c r="A1061" s="5" t="s">
        <v>991</v>
      </c>
      <c r="B1061" s="5" t="s">
        <v>992</v>
      </c>
      <c r="C1061" s="5">
        <v>39</v>
      </c>
      <c r="D1061" s="5">
        <v>39</v>
      </c>
      <c r="E1061" s="5">
        <v>1</v>
      </c>
      <c r="F1061" s="6">
        <v>94.296599999999998</v>
      </c>
      <c r="G1061" s="7">
        <v>1.91812E-11</v>
      </c>
      <c r="H1061" s="5">
        <v>94.296999999999997</v>
      </c>
      <c r="I1061" s="5" t="s">
        <v>11</v>
      </c>
      <c r="J1061" s="5">
        <v>1</v>
      </c>
      <c r="K1061" s="5" t="s">
        <v>2</v>
      </c>
      <c r="L1061" s="5" t="s">
        <v>993</v>
      </c>
      <c r="M1061" s="5" t="s">
        <v>994</v>
      </c>
      <c r="N1061" s="5" t="s">
        <v>995</v>
      </c>
      <c r="O1061" s="5">
        <v>7</v>
      </c>
      <c r="P1061" s="6">
        <v>631090</v>
      </c>
      <c r="Q1061" s="5">
        <v>393530</v>
      </c>
      <c r="R1061" s="5">
        <v>237560</v>
      </c>
      <c r="S1061" s="5">
        <v>0.59646999999999994</v>
      </c>
      <c r="T1061" s="5">
        <f>LOG(Table2[[#This Row],[ratio heavy to light normalized]],2)</f>
        <v>-0.74547851679859978</v>
      </c>
      <c r="U1061" s="5">
        <v>0.16872956919506599</v>
      </c>
    </row>
    <row r="1062" spans="1:21" x14ac:dyDescent="0.3">
      <c r="A1062" s="5" t="s">
        <v>2099</v>
      </c>
      <c r="B1062" s="5" t="s">
        <v>2100</v>
      </c>
      <c r="C1062" s="5">
        <v>42</v>
      </c>
      <c r="D1062" s="5">
        <v>42</v>
      </c>
      <c r="E1062" s="5">
        <v>1</v>
      </c>
      <c r="F1062" s="6">
        <v>29.1615</v>
      </c>
      <c r="G1062" s="5">
        <v>0.26361099999999998</v>
      </c>
      <c r="H1062" s="5">
        <v>29.161999999999999</v>
      </c>
      <c r="I1062" s="5" t="s">
        <v>11</v>
      </c>
      <c r="J1062" s="5">
        <v>1</v>
      </c>
      <c r="K1062" s="5" t="s">
        <v>2</v>
      </c>
      <c r="L1062" s="5" t="s">
        <v>4214</v>
      </c>
      <c r="M1062" s="5" t="s">
        <v>4215</v>
      </c>
      <c r="N1062" s="5" t="s">
        <v>4216</v>
      </c>
      <c r="O1062" s="5">
        <v>4</v>
      </c>
      <c r="P1062" s="6">
        <v>299900</v>
      </c>
      <c r="Q1062" s="5">
        <v>160650</v>
      </c>
      <c r="R1062" s="5">
        <v>139250</v>
      </c>
      <c r="S1062" s="5">
        <v>0.84830000000000005</v>
      </c>
      <c r="T1062" s="5">
        <f>LOG(Table2[[#This Row],[ratio heavy to light normalized]],2)</f>
        <v>-0.23735353296184938</v>
      </c>
      <c r="U1062" s="5">
        <v>0.92683371504427203</v>
      </c>
    </row>
    <row r="1063" spans="1:21" x14ac:dyDescent="0.3">
      <c r="A1063" s="5" t="s">
        <v>160</v>
      </c>
      <c r="B1063" s="5" t="s">
        <v>161</v>
      </c>
      <c r="C1063" s="5">
        <v>18</v>
      </c>
      <c r="D1063" s="5">
        <v>18</v>
      </c>
      <c r="E1063" s="5">
        <v>1</v>
      </c>
      <c r="F1063" s="6">
        <v>78.334500000000006</v>
      </c>
      <c r="G1063" s="7">
        <v>8.43475E-7</v>
      </c>
      <c r="H1063" s="5">
        <v>78.334000000000003</v>
      </c>
      <c r="I1063" s="5" t="s">
        <v>11</v>
      </c>
      <c r="J1063" s="5">
        <v>1</v>
      </c>
      <c r="K1063" s="5" t="s">
        <v>2</v>
      </c>
      <c r="L1063" s="5" t="s">
        <v>978</v>
      </c>
      <c r="M1063" s="5" t="s">
        <v>979</v>
      </c>
      <c r="N1063" s="5" t="s">
        <v>980</v>
      </c>
      <c r="O1063" s="5">
        <v>6</v>
      </c>
      <c r="P1063" s="6">
        <v>645390</v>
      </c>
      <c r="Q1063" s="5">
        <v>428280</v>
      </c>
      <c r="R1063" s="5">
        <v>217100</v>
      </c>
      <c r="S1063" s="5">
        <v>0.59594000000000003</v>
      </c>
      <c r="T1063" s="5">
        <f>LOG(Table2[[#This Row],[ratio heavy to light normalized]],2)</f>
        <v>-0.74676100926683553</v>
      </c>
      <c r="U1063" s="5">
        <v>0.16772851113367401</v>
      </c>
    </row>
    <row r="1064" spans="1:21" x14ac:dyDescent="0.3">
      <c r="A1064" s="5" t="s">
        <v>323</v>
      </c>
      <c r="B1064" s="5" t="s">
        <v>324</v>
      </c>
      <c r="C1064" s="5">
        <v>402</v>
      </c>
      <c r="D1064" s="5">
        <v>402</v>
      </c>
      <c r="E1064" s="5">
        <v>1</v>
      </c>
      <c r="F1064" s="6">
        <v>129.05500000000001</v>
      </c>
      <c r="G1064" s="7">
        <v>5.2107000000000002E-45</v>
      </c>
      <c r="H1064" s="5">
        <v>129.05000000000001</v>
      </c>
      <c r="I1064" s="5" t="s">
        <v>11</v>
      </c>
      <c r="J1064" s="5">
        <v>1</v>
      </c>
      <c r="K1064" s="5" t="s">
        <v>2</v>
      </c>
      <c r="L1064" s="5" t="s">
        <v>365</v>
      </c>
      <c r="M1064" s="5" t="s">
        <v>366</v>
      </c>
      <c r="N1064" s="5" t="s">
        <v>367</v>
      </c>
      <c r="O1064" s="5">
        <v>13</v>
      </c>
      <c r="P1064" s="6">
        <v>15330000</v>
      </c>
      <c r="Q1064" s="5">
        <v>8720200</v>
      </c>
      <c r="R1064" s="5">
        <v>6610100</v>
      </c>
      <c r="S1064" s="5">
        <v>0.59409999999999996</v>
      </c>
      <c r="T1064" s="5">
        <f>LOG(Table2[[#This Row],[ratio heavy to light normalized]],2)</f>
        <v>-0.75122230635028753</v>
      </c>
      <c r="U1064" s="5">
        <v>2.69495172072673E-2</v>
      </c>
    </row>
    <row r="1065" spans="1:21" x14ac:dyDescent="0.3">
      <c r="A1065" s="5" t="s">
        <v>702</v>
      </c>
      <c r="B1065" s="5" t="s">
        <v>703</v>
      </c>
      <c r="C1065" s="5">
        <v>204</v>
      </c>
      <c r="D1065" s="5">
        <v>204</v>
      </c>
      <c r="E1065" s="5">
        <v>1</v>
      </c>
      <c r="F1065" s="6">
        <v>77.078199999999995</v>
      </c>
      <c r="G1065" s="7">
        <v>2.5693299999999999E-12</v>
      </c>
      <c r="H1065" s="5">
        <v>77.078000000000003</v>
      </c>
      <c r="I1065" s="5" t="s">
        <v>11</v>
      </c>
      <c r="J1065" s="5">
        <v>1</v>
      </c>
      <c r="K1065" s="5" t="s">
        <v>2</v>
      </c>
      <c r="L1065" s="5" t="s">
        <v>704</v>
      </c>
      <c r="M1065" s="5" t="s">
        <v>705</v>
      </c>
      <c r="N1065" s="5" t="s">
        <v>706</v>
      </c>
      <c r="O1065" s="5">
        <v>8</v>
      </c>
      <c r="P1065" s="6">
        <v>1500600</v>
      </c>
      <c r="Q1065" s="5">
        <v>721510</v>
      </c>
      <c r="R1065" s="5">
        <v>779130</v>
      </c>
      <c r="S1065" s="5">
        <v>0.59309999999999996</v>
      </c>
      <c r="T1065" s="5">
        <f>LOG(Table2[[#This Row],[ratio heavy to light normalized]],2)</f>
        <v>-0.75365272309908538</v>
      </c>
      <c r="U1065" s="5">
        <v>0.10456443278897699</v>
      </c>
    </row>
    <row r="1066" spans="1:21" x14ac:dyDescent="0.3">
      <c r="A1066" s="5" t="s">
        <v>942</v>
      </c>
      <c r="B1066" s="5" t="s">
        <v>943</v>
      </c>
      <c r="C1066" s="5">
        <v>69</v>
      </c>
      <c r="D1066" s="5">
        <v>69</v>
      </c>
      <c r="E1066" s="5">
        <v>1</v>
      </c>
      <c r="F1066" s="6">
        <v>69.593900000000005</v>
      </c>
      <c r="G1066" s="7">
        <v>1.18966E-10</v>
      </c>
      <c r="H1066" s="5">
        <v>69.593999999999994</v>
      </c>
      <c r="I1066" s="5" t="s">
        <v>11</v>
      </c>
      <c r="J1066" s="5">
        <v>1</v>
      </c>
      <c r="K1066" s="5" t="s">
        <v>2</v>
      </c>
      <c r="L1066" s="5" t="s">
        <v>944</v>
      </c>
      <c r="M1066" s="5" t="s">
        <v>945</v>
      </c>
      <c r="N1066" s="5" t="s">
        <v>946</v>
      </c>
      <c r="O1066" s="5">
        <v>7</v>
      </c>
      <c r="P1066" s="6">
        <v>311150</v>
      </c>
      <c r="Q1066" s="5">
        <v>198970</v>
      </c>
      <c r="R1066" s="5">
        <v>112180</v>
      </c>
      <c r="S1066" s="5">
        <v>0.59130000000000005</v>
      </c>
      <c r="T1066" s="5">
        <f>LOG(Table2[[#This Row],[ratio heavy to light normalized]],2)</f>
        <v>-0.75803781778480728</v>
      </c>
      <c r="U1066" s="5">
        <v>0.159117577870382</v>
      </c>
    </row>
    <row r="1067" spans="1:21" x14ac:dyDescent="0.3">
      <c r="A1067" s="5" t="s">
        <v>912</v>
      </c>
      <c r="B1067" s="5" t="s">
        <v>913</v>
      </c>
      <c r="C1067" s="5">
        <v>88</v>
      </c>
      <c r="D1067" s="5">
        <v>88</v>
      </c>
      <c r="E1067" s="5">
        <v>1</v>
      </c>
      <c r="F1067" s="6">
        <v>102.366</v>
      </c>
      <c r="G1067" s="7">
        <v>2.80798E-31</v>
      </c>
      <c r="H1067" s="5">
        <v>102.37</v>
      </c>
      <c r="I1067" s="5" t="s">
        <v>11</v>
      </c>
      <c r="J1067" s="5">
        <v>1</v>
      </c>
      <c r="K1067" s="5" t="s">
        <v>2</v>
      </c>
      <c r="L1067" s="5" t="s">
        <v>914</v>
      </c>
      <c r="M1067" s="5" t="s">
        <v>915</v>
      </c>
      <c r="N1067" s="5" t="s">
        <v>916</v>
      </c>
      <c r="O1067" s="5">
        <v>18</v>
      </c>
      <c r="P1067" s="6">
        <v>599610</v>
      </c>
      <c r="Q1067" s="5">
        <v>463490</v>
      </c>
      <c r="R1067" s="5">
        <v>136120</v>
      </c>
      <c r="S1067" s="5">
        <v>0.58984000000000003</v>
      </c>
      <c r="T1067" s="5">
        <f>LOG(Table2[[#This Row],[ratio heavy to light normalized]],2)</f>
        <v>-0.76160443280499979</v>
      </c>
      <c r="U1067" s="5">
        <v>0.15646495774649199</v>
      </c>
    </row>
    <row r="1068" spans="1:21" x14ac:dyDescent="0.3">
      <c r="A1068" s="5" t="s">
        <v>253</v>
      </c>
      <c r="B1068" s="5" t="s">
        <v>254</v>
      </c>
      <c r="C1068" s="5">
        <v>59</v>
      </c>
      <c r="D1068" s="5">
        <v>59</v>
      </c>
      <c r="E1068" s="5">
        <v>1</v>
      </c>
      <c r="F1068" s="6">
        <v>128.68600000000001</v>
      </c>
      <c r="G1068" s="7">
        <v>3.6389100000000002E-26</v>
      </c>
      <c r="H1068" s="5">
        <v>128.69</v>
      </c>
      <c r="I1068" s="5" t="s">
        <v>11</v>
      </c>
      <c r="J1068" s="5">
        <v>1</v>
      </c>
      <c r="K1068" s="5" t="s">
        <v>2</v>
      </c>
      <c r="L1068" s="5" t="s">
        <v>681</v>
      </c>
      <c r="M1068" s="5" t="s">
        <v>682</v>
      </c>
      <c r="N1068" s="5" t="s">
        <v>683</v>
      </c>
      <c r="O1068" s="5">
        <v>8</v>
      </c>
      <c r="P1068" s="6">
        <v>1465200</v>
      </c>
      <c r="Q1068" s="5">
        <v>876510</v>
      </c>
      <c r="R1068" s="5">
        <v>588730</v>
      </c>
      <c r="S1068" s="5">
        <v>0.58596999999999999</v>
      </c>
      <c r="T1068" s="5">
        <f>LOG(Table2[[#This Row],[ratio heavy to light normalized]],2)</f>
        <v>-0.77110129023836504</v>
      </c>
      <c r="U1068" s="5">
        <v>9.5371809329445806E-2</v>
      </c>
    </row>
    <row r="1069" spans="1:21" x14ac:dyDescent="0.3">
      <c r="A1069" s="5" t="s">
        <v>4237</v>
      </c>
      <c r="B1069" s="5" t="s">
        <v>4238</v>
      </c>
      <c r="C1069" s="5">
        <v>78</v>
      </c>
      <c r="D1069" s="5">
        <v>78</v>
      </c>
      <c r="E1069" s="5">
        <v>1</v>
      </c>
      <c r="F1069" s="6">
        <v>20.367899999999999</v>
      </c>
      <c r="G1069" s="5">
        <v>0.36963200000000002</v>
      </c>
      <c r="H1069" s="5">
        <v>20.367999999999999</v>
      </c>
      <c r="I1069" s="5"/>
      <c r="J1069" s="5">
        <v>1</v>
      </c>
      <c r="K1069" s="5" t="s">
        <v>2</v>
      </c>
      <c r="L1069" s="5" t="s">
        <v>4239</v>
      </c>
      <c r="M1069" s="5" t="s">
        <v>4240</v>
      </c>
      <c r="N1069" s="5" t="s">
        <v>4241</v>
      </c>
      <c r="O1069" s="5">
        <v>14</v>
      </c>
      <c r="P1069" s="6">
        <v>527290</v>
      </c>
      <c r="Q1069" s="5">
        <v>239910</v>
      </c>
      <c r="R1069" s="5">
        <v>287380</v>
      </c>
      <c r="S1069" s="5">
        <v>0.85021999999999998</v>
      </c>
      <c r="T1069" s="5">
        <f>LOG(Table2[[#This Row],[ratio heavy to light normalized]],2)</f>
        <v>-0.23409189852913465</v>
      </c>
      <c r="U1069" s="5">
        <v>0.93338696191353099</v>
      </c>
    </row>
    <row r="1070" spans="1:21" x14ac:dyDescent="0.3">
      <c r="A1070" s="5" t="s">
        <v>336</v>
      </c>
      <c r="B1070" s="5" t="s">
        <v>337</v>
      </c>
      <c r="C1070" s="5">
        <v>51</v>
      </c>
      <c r="D1070" s="5">
        <v>51</v>
      </c>
      <c r="E1070" s="5">
        <v>1</v>
      </c>
      <c r="F1070" s="6">
        <v>56.4315</v>
      </c>
      <c r="G1070" s="5">
        <v>4.6138899999999998E-3</v>
      </c>
      <c r="H1070" s="5">
        <v>56.432000000000002</v>
      </c>
      <c r="I1070" s="5"/>
      <c r="J1070" s="5">
        <v>1</v>
      </c>
      <c r="K1070" s="5" t="s">
        <v>2</v>
      </c>
      <c r="L1070" s="5" t="s">
        <v>888</v>
      </c>
      <c r="M1070" s="5" t="s">
        <v>889</v>
      </c>
      <c r="N1070" s="5" t="s">
        <v>890</v>
      </c>
      <c r="O1070" s="5">
        <v>5</v>
      </c>
      <c r="P1070" s="6">
        <v>507780</v>
      </c>
      <c r="Q1070" s="5">
        <v>319280</v>
      </c>
      <c r="R1070" s="5">
        <v>188500</v>
      </c>
      <c r="S1070" s="5">
        <v>0.58498000000000006</v>
      </c>
      <c r="T1070" s="5">
        <f>LOG(Table2[[#This Row],[ratio heavy to light normalized]],2)</f>
        <v>-0.77354079394184661</v>
      </c>
      <c r="U1070" s="5">
        <v>0.14783114498847699</v>
      </c>
    </row>
    <row r="1071" spans="1:21" x14ac:dyDescent="0.3">
      <c r="A1071" s="5" t="s">
        <v>336</v>
      </c>
      <c r="B1071" s="5" t="s">
        <v>337</v>
      </c>
      <c r="C1071" s="5">
        <v>219</v>
      </c>
      <c r="D1071" s="5">
        <v>219</v>
      </c>
      <c r="E1071" s="5">
        <v>1</v>
      </c>
      <c r="F1071" s="6">
        <v>127.39700000000001</v>
      </c>
      <c r="G1071" s="7">
        <v>7.44762E-27</v>
      </c>
      <c r="H1071" s="5">
        <v>127.4</v>
      </c>
      <c r="I1071" s="5" t="s">
        <v>11</v>
      </c>
      <c r="J1071" s="5">
        <v>1</v>
      </c>
      <c r="K1071" s="5" t="s">
        <v>2</v>
      </c>
      <c r="L1071" s="5" t="s">
        <v>346</v>
      </c>
      <c r="M1071" s="5" t="s">
        <v>347</v>
      </c>
      <c r="N1071" s="5" t="s">
        <v>348</v>
      </c>
      <c r="O1071" s="5">
        <v>6</v>
      </c>
      <c r="P1071" s="6">
        <v>3334400</v>
      </c>
      <c r="Q1071" s="5">
        <v>2015400</v>
      </c>
      <c r="R1071" s="5">
        <v>1319000</v>
      </c>
      <c r="S1071" s="5">
        <v>0.58382000000000001</v>
      </c>
      <c r="T1071" s="5">
        <f>LOG(Table2[[#This Row],[ratio heavy to light normalized]],2)</f>
        <v>-0.77640446060321777</v>
      </c>
      <c r="U1071" s="5">
        <v>2.1592889021843101E-2</v>
      </c>
    </row>
    <row r="1072" spans="1:21" x14ac:dyDescent="0.3">
      <c r="A1072" s="5" t="s">
        <v>872</v>
      </c>
      <c r="B1072" s="5" t="s">
        <v>873</v>
      </c>
      <c r="C1072" s="5">
        <v>80</v>
      </c>
      <c r="D1072" s="5">
        <v>80</v>
      </c>
      <c r="E1072" s="5">
        <v>1</v>
      </c>
      <c r="F1072" s="6">
        <v>81.337599999999995</v>
      </c>
      <c r="G1072" s="7">
        <v>3.2376399999999999E-7</v>
      </c>
      <c r="H1072" s="5">
        <v>81.337999999999994</v>
      </c>
      <c r="I1072" s="5" t="s">
        <v>11</v>
      </c>
      <c r="J1072" s="5">
        <v>1</v>
      </c>
      <c r="K1072" s="5" t="s">
        <v>2</v>
      </c>
      <c r="L1072" s="5" t="s">
        <v>874</v>
      </c>
      <c r="M1072" s="5" t="s">
        <v>875</v>
      </c>
      <c r="N1072" s="5" t="s">
        <v>876</v>
      </c>
      <c r="O1072" s="5">
        <v>5</v>
      </c>
      <c r="P1072" s="6">
        <v>801200</v>
      </c>
      <c r="Q1072" s="5">
        <v>537970</v>
      </c>
      <c r="R1072" s="5">
        <v>263240</v>
      </c>
      <c r="S1072" s="5">
        <v>0.58362000000000003</v>
      </c>
      <c r="T1072" s="5">
        <f>LOG(Table2[[#This Row],[ratio heavy to light normalized]],2)</f>
        <v>-0.77689877125044671</v>
      </c>
      <c r="U1072" s="5">
        <v>0.14546910057878701</v>
      </c>
    </row>
    <row r="1073" spans="1:21" x14ac:dyDescent="0.3">
      <c r="A1073" s="5" t="s">
        <v>648</v>
      </c>
      <c r="B1073" s="5" t="s">
        <v>649</v>
      </c>
      <c r="C1073" s="5">
        <v>114</v>
      </c>
      <c r="D1073" s="5">
        <v>114</v>
      </c>
      <c r="E1073" s="5">
        <v>1</v>
      </c>
      <c r="F1073" s="6">
        <v>128.035</v>
      </c>
      <c r="G1073" s="7">
        <v>2.77356E-26</v>
      </c>
      <c r="H1073" s="5">
        <v>128.03</v>
      </c>
      <c r="I1073" s="5"/>
      <c r="J1073" s="5">
        <v>1</v>
      </c>
      <c r="K1073" s="5" t="s">
        <v>2</v>
      </c>
      <c r="L1073" s="5" t="s">
        <v>650</v>
      </c>
      <c r="M1073" s="5" t="s">
        <v>651</v>
      </c>
      <c r="N1073" s="5" t="s">
        <v>652</v>
      </c>
      <c r="O1073" s="5">
        <v>4</v>
      </c>
      <c r="P1073" s="6">
        <v>2380700</v>
      </c>
      <c r="Q1073" s="5">
        <v>1248000</v>
      </c>
      <c r="R1073" s="5">
        <v>1132700</v>
      </c>
      <c r="S1073" s="5">
        <v>0.58064000000000004</v>
      </c>
      <c r="T1073" s="5">
        <f>LOG(Table2[[#This Row],[ratio heavy to light normalized]],2)</f>
        <v>-0.78428413295747745</v>
      </c>
      <c r="U1073" s="5">
        <v>8.8865170964670198E-2</v>
      </c>
    </row>
    <row r="1074" spans="1:21" x14ac:dyDescent="0.3">
      <c r="A1074" s="5" t="s">
        <v>336</v>
      </c>
      <c r="B1074" s="5" t="s">
        <v>337</v>
      </c>
      <c r="C1074" s="5">
        <v>213</v>
      </c>
      <c r="D1074" s="5">
        <v>213</v>
      </c>
      <c r="E1074" s="5">
        <v>1</v>
      </c>
      <c r="F1074" s="6">
        <v>74.162000000000006</v>
      </c>
      <c r="G1074" s="7">
        <v>3.2491199999999998E-5</v>
      </c>
      <c r="H1074" s="5">
        <v>74.162000000000006</v>
      </c>
      <c r="I1074" s="5" t="s">
        <v>11</v>
      </c>
      <c r="J1074" s="5">
        <v>1</v>
      </c>
      <c r="K1074" s="5" t="s">
        <v>2</v>
      </c>
      <c r="L1074" s="5" t="s">
        <v>338</v>
      </c>
      <c r="M1074" s="5" t="s">
        <v>339</v>
      </c>
      <c r="N1074" s="5" t="s">
        <v>340</v>
      </c>
      <c r="O1074" s="5">
        <v>4</v>
      </c>
      <c r="P1074" s="6">
        <v>5006900</v>
      </c>
      <c r="Q1074" s="5">
        <v>3035000</v>
      </c>
      <c r="R1074" s="5">
        <v>1971900</v>
      </c>
      <c r="S1074" s="5">
        <v>0.57981000000000005</v>
      </c>
      <c r="T1074" s="5">
        <f>LOG(Table2[[#This Row],[ratio heavy to light normalized]],2)</f>
        <v>-0.78634787906998205</v>
      </c>
      <c r="U1074" s="5">
        <v>1.9748181834149201E-2</v>
      </c>
    </row>
    <row r="1075" spans="1:21" x14ac:dyDescent="0.3">
      <c r="A1075" s="5" t="s">
        <v>381</v>
      </c>
      <c r="B1075" s="5" t="s">
        <v>382</v>
      </c>
      <c r="C1075" s="5">
        <v>83</v>
      </c>
      <c r="D1075" s="5">
        <v>83</v>
      </c>
      <c r="E1075" s="5">
        <v>1</v>
      </c>
      <c r="F1075" s="6">
        <v>88.441000000000003</v>
      </c>
      <c r="G1075" s="7">
        <v>2.2522499999999998E-12</v>
      </c>
      <c r="H1075" s="5">
        <v>88.441000000000003</v>
      </c>
      <c r="I1075" s="5"/>
      <c r="J1075" s="5">
        <v>1</v>
      </c>
      <c r="K1075" s="5" t="s">
        <v>2</v>
      </c>
      <c r="L1075" s="5" t="s">
        <v>810</v>
      </c>
      <c r="M1075" s="5" t="s">
        <v>811</v>
      </c>
      <c r="N1075" s="5" t="s">
        <v>812</v>
      </c>
      <c r="O1075" s="5">
        <v>10</v>
      </c>
      <c r="P1075" s="6">
        <v>434570</v>
      </c>
      <c r="Q1075" s="5">
        <v>235850</v>
      </c>
      <c r="R1075" s="5">
        <v>198720</v>
      </c>
      <c r="S1075" s="5">
        <v>0.57872999999999997</v>
      </c>
      <c r="T1075" s="5">
        <f>LOG(Table2[[#This Row],[ratio heavy to light normalized]],2)</f>
        <v>-0.78903766292811228</v>
      </c>
      <c r="U1075" s="5">
        <v>0.13717102461773001</v>
      </c>
    </row>
    <row r="1076" spans="1:21" x14ac:dyDescent="0.3">
      <c r="A1076" s="5" t="s">
        <v>1998</v>
      </c>
      <c r="B1076" s="5" t="s">
        <v>1999</v>
      </c>
      <c r="C1076" s="5">
        <v>176</v>
      </c>
      <c r="D1076" s="5">
        <v>176</v>
      </c>
      <c r="E1076" s="5">
        <v>1</v>
      </c>
      <c r="F1076" s="6">
        <v>14.276400000000001</v>
      </c>
      <c r="G1076" s="5">
        <v>1.4762299999999999</v>
      </c>
      <c r="H1076" s="5">
        <v>14.276</v>
      </c>
      <c r="I1076" s="5"/>
      <c r="J1076" s="5">
        <v>1</v>
      </c>
      <c r="K1076" s="5" t="s">
        <v>2</v>
      </c>
      <c r="L1076" s="5" t="s">
        <v>4266</v>
      </c>
      <c r="M1076" s="5" t="s">
        <v>4267</v>
      </c>
      <c r="N1076" s="5" t="s">
        <v>4268</v>
      </c>
      <c r="O1076" s="5">
        <v>9</v>
      </c>
      <c r="P1076" s="6">
        <v>900190</v>
      </c>
      <c r="Q1076" s="5">
        <v>490400</v>
      </c>
      <c r="R1076" s="5">
        <v>409780</v>
      </c>
      <c r="S1076" s="5">
        <v>0.89158999999999999</v>
      </c>
      <c r="T1076" s="5">
        <f>LOG(Table2[[#This Row],[ratio heavy to light normalized]],2)</f>
        <v>-0.16554765934769872</v>
      </c>
      <c r="U1076" s="5">
        <v>0.93650296179752301</v>
      </c>
    </row>
    <row r="1077" spans="1:21" x14ac:dyDescent="0.3">
      <c r="A1077" s="5" t="s">
        <v>628</v>
      </c>
      <c r="B1077" s="5" t="s">
        <v>629</v>
      </c>
      <c r="C1077" s="5">
        <v>459</v>
      </c>
      <c r="D1077" s="5">
        <v>459</v>
      </c>
      <c r="E1077" s="5">
        <v>1</v>
      </c>
      <c r="F1077" s="6">
        <v>43.2819</v>
      </c>
      <c r="G1077" s="5">
        <v>2.0815699999999999E-2</v>
      </c>
      <c r="H1077" s="5">
        <v>43.281999999999996</v>
      </c>
      <c r="I1077" s="5" t="s">
        <v>11</v>
      </c>
      <c r="J1077" s="5">
        <v>1</v>
      </c>
      <c r="K1077" s="5" t="s">
        <v>2</v>
      </c>
      <c r="L1077" s="5" t="s">
        <v>630</v>
      </c>
      <c r="M1077" s="5" t="s">
        <v>631</v>
      </c>
      <c r="N1077" s="5" t="s">
        <v>632</v>
      </c>
      <c r="O1077" s="5">
        <v>4</v>
      </c>
      <c r="P1077" s="6">
        <v>1688700</v>
      </c>
      <c r="Q1077" s="5">
        <v>962460</v>
      </c>
      <c r="R1077" s="5">
        <v>726200</v>
      </c>
      <c r="S1077" s="5">
        <v>0.57765999999999995</v>
      </c>
      <c r="T1077" s="5">
        <f>LOG(Table2[[#This Row],[ratio heavy to light normalized]],2)</f>
        <v>-0.79170749600225199</v>
      </c>
      <c r="U1077" s="5">
        <v>8.5361646832408294E-2</v>
      </c>
    </row>
    <row r="1078" spans="1:21" x14ac:dyDescent="0.3">
      <c r="A1078" s="5" t="s">
        <v>323</v>
      </c>
      <c r="B1078" s="5" t="s">
        <v>324</v>
      </c>
      <c r="C1078" s="5">
        <v>132</v>
      </c>
      <c r="D1078" s="5">
        <v>132</v>
      </c>
      <c r="E1078" s="5">
        <v>1</v>
      </c>
      <c r="F1078" s="6">
        <v>107.693</v>
      </c>
      <c r="G1078" s="7">
        <v>2.9732400000000002E-15</v>
      </c>
      <c r="H1078" s="5">
        <v>107.69</v>
      </c>
      <c r="I1078" s="5" t="s">
        <v>11</v>
      </c>
      <c r="J1078" s="5">
        <v>1</v>
      </c>
      <c r="K1078" s="5" t="s">
        <v>2</v>
      </c>
      <c r="L1078" s="5" t="s">
        <v>325</v>
      </c>
      <c r="M1078" s="5" t="s">
        <v>326</v>
      </c>
      <c r="N1078" s="5" t="s">
        <v>327</v>
      </c>
      <c r="O1078" s="5">
        <v>4</v>
      </c>
      <c r="P1078" s="6">
        <v>6945800</v>
      </c>
      <c r="Q1078" s="5">
        <v>4425100</v>
      </c>
      <c r="R1078" s="5">
        <v>2520700</v>
      </c>
      <c r="S1078" s="5">
        <v>0.57650999999999997</v>
      </c>
      <c r="T1078" s="5">
        <f>LOG(Table2[[#This Row],[ratio heavy to light normalized]],2)</f>
        <v>-0.79458246216159889</v>
      </c>
      <c r="U1078" s="5">
        <v>1.83262050493475E-2</v>
      </c>
    </row>
    <row r="1079" spans="1:21" x14ac:dyDescent="0.3">
      <c r="A1079" s="5" t="s">
        <v>608</v>
      </c>
      <c r="B1079" s="5" t="s">
        <v>609</v>
      </c>
      <c r="C1079" s="5">
        <v>75</v>
      </c>
      <c r="D1079" s="5">
        <v>75</v>
      </c>
      <c r="E1079" s="5">
        <v>1</v>
      </c>
      <c r="F1079" s="6">
        <v>51.926699999999997</v>
      </c>
      <c r="G1079" s="5">
        <v>1.25463E-2</v>
      </c>
      <c r="H1079" s="5">
        <v>51.927</v>
      </c>
      <c r="I1079" s="5" t="s">
        <v>11</v>
      </c>
      <c r="J1079" s="5">
        <v>1</v>
      </c>
      <c r="K1079" s="5" t="s">
        <v>2</v>
      </c>
      <c r="L1079" s="5" t="s">
        <v>610</v>
      </c>
      <c r="M1079" s="5" t="s">
        <v>611</v>
      </c>
      <c r="N1079" s="5" t="s">
        <v>612</v>
      </c>
      <c r="O1079" s="5">
        <v>4</v>
      </c>
      <c r="P1079" s="6">
        <v>1414400</v>
      </c>
      <c r="Q1079" s="5">
        <v>661400</v>
      </c>
      <c r="R1079" s="5">
        <v>752990</v>
      </c>
      <c r="S1079" s="5">
        <v>0.57447999999999999</v>
      </c>
      <c r="T1079" s="5">
        <f>LOG(Table2[[#This Row],[ratio heavy to light normalized]],2)</f>
        <v>-0.79967142726066154</v>
      </c>
      <c r="U1079" s="5">
        <v>8.1728040624952994E-2</v>
      </c>
    </row>
    <row r="1080" spans="1:21" x14ac:dyDescent="0.3">
      <c r="A1080" s="5" t="s">
        <v>590</v>
      </c>
      <c r="B1080" s="5" t="s">
        <v>591</v>
      </c>
      <c r="C1080" s="5">
        <v>71</v>
      </c>
      <c r="D1080" s="5">
        <v>71</v>
      </c>
      <c r="E1080" s="5">
        <v>1</v>
      </c>
      <c r="F1080" s="6">
        <v>75.695300000000003</v>
      </c>
      <c r="G1080" s="7">
        <v>3.9813999999999999E-7</v>
      </c>
      <c r="H1080" s="5">
        <v>75.694999999999993</v>
      </c>
      <c r="I1080" s="5" t="s">
        <v>11</v>
      </c>
      <c r="J1080" s="5">
        <v>1</v>
      </c>
      <c r="K1080" s="5" t="s">
        <v>2</v>
      </c>
      <c r="L1080" s="5" t="s">
        <v>592</v>
      </c>
      <c r="M1080" s="5" t="s">
        <v>593</v>
      </c>
      <c r="N1080" s="5" t="s">
        <v>594</v>
      </c>
      <c r="O1080" s="5">
        <v>11</v>
      </c>
      <c r="P1080" s="6">
        <v>2242000</v>
      </c>
      <c r="Q1080" s="5">
        <v>1185700</v>
      </c>
      <c r="R1080" s="5">
        <v>1056300</v>
      </c>
      <c r="S1080" s="5">
        <v>0.57120000000000004</v>
      </c>
      <c r="T1080" s="5">
        <f>LOG(Table2[[#This Row],[ratio heavy to light normalized]],2)</f>
        <v>-0.80793211552034971</v>
      </c>
      <c r="U1080" s="5">
        <v>7.80926574387939E-2</v>
      </c>
    </row>
    <row r="1081" spans="1:21" x14ac:dyDescent="0.3">
      <c r="A1081" s="5" t="s">
        <v>303</v>
      </c>
      <c r="B1081" s="5" t="s">
        <v>304</v>
      </c>
      <c r="C1081" s="5">
        <v>169</v>
      </c>
      <c r="D1081" s="5">
        <v>169</v>
      </c>
      <c r="E1081" s="5">
        <v>1</v>
      </c>
      <c r="F1081" s="6">
        <v>56.214700000000001</v>
      </c>
      <c r="G1081" s="7">
        <v>7.0826500000000002E-8</v>
      </c>
      <c r="H1081" s="5">
        <v>56.215000000000003</v>
      </c>
      <c r="I1081" s="5" t="s">
        <v>11</v>
      </c>
      <c r="J1081" s="5">
        <v>1</v>
      </c>
      <c r="K1081" s="5" t="s">
        <v>2</v>
      </c>
      <c r="L1081" s="5" t="s">
        <v>305</v>
      </c>
      <c r="M1081" s="5" t="s">
        <v>306</v>
      </c>
      <c r="N1081" s="5" t="s">
        <v>307</v>
      </c>
      <c r="O1081" s="5">
        <v>16</v>
      </c>
      <c r="P1081" s="6">
        <v>7270900</v>
      </c>
      <c r="Q1081" s="5">
        <v>4506800</v>
      </c>
      <c r="R1081" s="5">
        <v>2764100</v>
      </c>
      <c r="S1081" s="5">
        <v>0.57055</v>
      </c>
      <c r="T1081" s="5">
        <f>LOG(Table2[[#This Row],[ratio heavy to light normalized]],2)</f>
        <v>-0.80957477263072863</v>
      </c>
      <c r="U1081" s="5">
        <v>1.5966162796156001E-2</v>
      </c>
    </row>
    <row r="1082" spans="1:21" x14ac:dyDescent="0.3">
      <c r="A1082" s="5" t="s">
        <v>463</v>
      </c>
      <c r="B1082" s="5" t="s">
        <v>464</v>
      </c>
      <c r="C1082" s="5">
        <v>378</v>
      </c>
      <c r="D1082" s="5">
        <v>378</v>
      </c>
      <c r="E1082" s="5">
        <v>1</v>
      </c>
      <c r="F1082" s="6">
        <v>28.7789</v>
      </c>
      <c r="G1082" s="5">
        <v>0.123043</v>
      </c>
      <c r="H1082" s="5">
        <v>28.779</v>
      </c>
      <c r="I1082" s="5"/>
      <c r="J1082" s="5">
        <v>1</v>
      </c>
      <c r="K1082" s="5" t="s">
        <v>2</v>
      </c>
      <c r="L1082" s="5" t="s">
        <v>4284</v>
      </c>
      <c r="M1082" s="5" t="s">
        <v>4285</v>
      </c>
      <c r="N1082" s="5" t="s">
        <v>4286</v>
      </c>
      <c r="O1082" s="5">
        <v>2</v>
      </c>
      <c r="P1082" s="6">
        <v>1171100</v>
      </c>
      <c r="Q1082" s="5">
        <v>555720</v>
      </c>
      <c r="R1082" s="5">
        <v>615350</v>
      </c>
      <c r="S1082" s="5">
        <v>0.90273999999999999</v>
      </c>
      <c r="T1082" s="5">
        <f>LOG(Table2[[#This Row],[ratio heavy to light normalized]],2)</f>
        <v>-0.14761756091567932</v>
      </c>
      <c r="U1082" s="5">
        <v>0.94099843338407596</v>
      </c>
    </row>
    <row r="1083" spans="1:21" x14ac:dyDescent="0.3">
      <c r="A1083" s="5" t="s">
        <v>293</v>
      </c>
      <c r="B1083" s="5" t="s">
        <v>294</v>
      </c>
      <c r="C1083" s="5">
        <v>220</v>
      </c>
      <c r="D1083" s="5">
        <v>220</v>
      </c>
      <c r="E1083" s="5">
        <v>1</v>
      </c>
      <c r="F1083" s="6">
        <v>91.937299999999993</v>
      </c>
      <c r="G1083" s="7">
        <v>1.4067000000000001E-12</v>
      </c>
      <c r="H1083" s="5">
        <v>91.936999999999998</v>
      </c>
      <c r="I1083" s="5" t="s">
        <v>11</v>
      </c>
      <c r="J1083" s="5">
        <v>1</v>
      </c>
      <c r="K1083" s="5" t="s">
        <v>2</v>
      </c>
      <c r="L1083" s="5" t="s">
        <v>295</v>
      </c>
      <c r="M1083" s="5" t="s">
        <v>296</v>
      </c>
      <c r="N1083" s="5" t="s">
        <v>297</v>
      </c>
      <c r="O1083" s="5">
        <v>8</v>
      </c>
      <c r="P1083" s="6">
        <v>3486200</v>
      </c>
      <c r="Q1083" s="5">
        <v>2076400</v>
      </c>
      <c r="R1083" s="5">
        <v>1409800</v>
      </c>
      <c r="S1083" s="5">
        <v>0.56921999999999995</v>
      </c>
      <c r="T1083" s="5">
        <f>LOG(Table2[[#This Row],[ratio heavy to light normalized]],2)</f>
        <v>-0.81294174188820012</v>
      </c>
      <c r="U1083" s="5">
        <v>1.5474449966777101E-2</v>
      </c>
    </row>
    <row r="1084" spans="1:21" x14ac:dyDescent="0.3">
      <c r="A1084" s="5" t="s">
        <v>579</v>
      </c>
      <c r="B1084" s="5" t="s">
        <v>580</v>
      </c>
      <c r="C1084" s="5">
        <v>57</v>
      </c>
      <c r="D1084" s="5">
        <v>57</v>
      </c>
      <c r="E1084" s="5">
        <v>1</v>
      </c>
      <c r="F1084" s="6">
        <v>100.017</v>
      </c>
      <c r="G1084" s="7">
        <v>1.98372E-14</v>
      </c>
      <c r="H1084" s="5">
        <v>100.02</v>
      </c>
      <c r="I1084" s="5" t="s">
        <v>11</v>
      </c>
      <c r="J1084" s="5">
        <v>1</v>
      </c>
      <c r="K1084" s="5" t="s">
        <v>2</v>
      </c>
      <c r="L1084" s="5" t="s">
        <v>581</v>
      </c>
      <c r="M1084" s="5" t="s">
        <v>582</v>
      </c>
      <c r="N1084" s="5" t="s">
        <v>583</v>
      </c>
      <c r="O1084" s="5">
        <v>4</v>
      </c>
      <c r="P1084" s="6">
        <v>1273200</v>
      </c>
      <c r="Q1084" s="5">
        <v>768620</v>
      </c>
      <c r="R1084" s="5">
        <v>504590</v>
      </c>
      <c r="S1084" s="5">
        <v>0.56916999999999995</v>
      </c>
      <c r="T1084" s="5">
        <f>LOG(Table2[[#This Row],[ratio heavy to light normalized]],2)</f>
        <v>-0.81306847306484575</v>
      </c>
      <c r="U1084" s="5">
        <v>7.5899384775756806E-2</v>
      </c>
    </row>
    <row r="1085" spans="1:21" x14ac:dyDescent="0.3">
      <c r="A1085" s="5" t="s">
        <v>554</v>
      </c>
      <c r="B1085" s="5" t="s">
        <v>555</v>
      </c>
      <c r="C1085" s="5">
        <v>289</v>
      </c>
      <c r="D1085" s="5">
        <v>289</v>
      </c>
      <c r="E1085" s="5">
        <v>1</v>
      </c>
      <c r="F1085" s="6">
        <v>75.293999999999997</v>
      </c>
      <c r="G1085" s="7">
        <v>1.17876E-5</v>
      </c>
      <c r="H1085" s="5">
        <v>75.293999999999997</v>
      </c>
      <c r="I1085" s="5"/>
      <c r="J1085" s="5">
        <v>1</v>
      </c>
      <c r="K1085" s="5" t="s">
        <v>2</v>
      </c>
      <c r="L1085" s="5" t="s">
        <v>556</v>
      </c>
      <c r="M1085" s="5" t="s">
        <v>557</v>
      </c>
      <c r="N1085" s="5" t="s">
        <v>558</v>
      </c>
      <c r="O1085" s="5">
        <v>5</v>
      </c>
      <c r="P1085" s="6">
        <v>1409800</v>
      </c>
      <c r="Q1085" s="5">
        <v>893940</v>
      </c>
      <c r="R1085" s="5">
        <v>515900</v>
      </c>
      <c r="S1085" s="5">
        <v>0.56540000000000001</v>
      </c>
      <c r="T1085" s="5">
        <f>LOG(Table2[[#This Row],[ratio heavy to light normalized]],2)</f>
        <v>-0.82265621171827397</v>
      </c>
      <c r="U1085" s="5">
        <v>7.1939878132925406E-2</v>
      </c>
    </row>
    <row r="1086" spans="1:21" x14ac:dyDescent="0.3">
      <c r="A1086" s="5" t="s">
        <v>753</v>
      </c>
      <c r="B1086" s="5" t="s">
        <v>754</v>
      </c>
      <c r="C1086" s="5">
        <v>7</v>
      </c>
      <c r="D1086" s="5">
        <v>7</v>
      </c>
      <c r="E1086" s="5">
        <v>1</v>
      </c>
      <c r="F1086" s="6">
        <v>80.916200000000003</v>
      </c>
      <c r="G1086" s="7">
        <v>1.06824E-7</v>
      </c>
      <c r="H1086" s="5">
        <v>80.915999999999997</v>
      </c>
      <c r="I1086" s="5" t="s">
        <v>11</v>
      </c>
      <c r="J1086" s="5">
        <v>1</v>
      </c>
      <c r="K1086" s="5" t="s">
        <v>2</v>
      </c>
      <c r="L1086" s="5" t="s">
        <v>755</v>
      </c>
      <c r="M1086" s="5" t="s">
        <v>756</v>
      </c>
      <c r="N1086" s="5" t="s">
        <v>757</v>
      </c>
      <c r="O1086" s="5">
        <v>5</v>
      </c>
      <c r="P1086" s="6">
        <v>825450</v>
      </c>
      <c r="Q1086" s="5">
        <v>453460</v>
      </c>
      <c r="R1086" s="5">
        <v>371990</v>
      </c>
      <c r="S1086" s="5">
        <v>0.56518999999999997</v>
      </c>
      <c r="T1086" s="5">
        <f>LOG(Table2[[#This Row],[ratio heavy to light normalized]],2)</f>
        <v>-0.82319215483128749</v>
      </c>
      <c r="U1086" s="5">
        <v>0.115777521674892</v>
      </c>
    </row>
    <row r="1087" spans="1:21" x14ac:dyDescent="0.3">
      <c r="A1087" s="5" t="s">
        <v>544</v>
      </c>
      <c r="B1087" s="5" t="s">
        <v>545</v>
      </c>
      <c r="C1087" s="5">
        <v>248</v>
      </c>
      <c r="D1087" s="5">
        <v>248</v>
      </c>
      <c r="E1087" s="5">
        <v>1</v>
      </c>
      <c r="F1087" s="6">
        <v>67.757300000000001</v>
      </c>
      <c r="G1087" s="7">
        <v>6.5589500000000001E-7</v>
      </c>
      <c r="H1087" s="5">
        <v>67.757000000000005</v>
      </c>
      <c r="I1087" s="5" t="s">
        <v>11</v>
      </c>
      <c r="J1087" s="5">
        <v>1</v>
      </c>
      <c r="K1087" s="5" t="s">
        <v>2</v>
      </c>
      <c r="L1087" s="5" t="s">
        <v>546</v>
      </c>
      <c r="M1087" s="5" t="s">
        <v>547</v>
      </c>
      <c r="N1087" s="5" t="s">
        <v>548</v>
      </c>
      <c r="O1087" s="5">
        <v>5</v>
      </c>
      <c r="P1087" s="6">
        <v>1117700</v>
      </c>
      <c r="Q1087" s="5">
        <v>668770</v>
      </c>
      <c r="R1087" s="5">
        <v>448920</v>
      </c>
      <c r="S1087" s="5">
        <v>0.56374000000000002</v>
      </c>
      <c r="T1087" s="5">
        <f>LOG(Table2[[#This Row],[ratio heavy to light normalized]],2)</f>
        <v>-0.82689815778917186</v>
      </c>
      <c r="U1087" s="5">
        <v>7.0242870392483503E-2</v>
      </c>
    </row>
    <row r="1088" spans="1:21" x14ac:dyDescent="0.3">
      <c r="A1088" s="5" t="s">
        <v>412</v>
      </c>
      <c r="B1088" s="5" t="s">
        <v>413</v>
      </c>
      <c r="C1088" s="5">
        <v>265</v>
      </c>
      <c r="D1088" s="5">
        <v>265</v>
      </c>
      <c r="E1088" s="5">
        <v>1</v>
      </c>
      <c r="F1088" s="6">
        <v>17.962199999999999</v>
      </c>
      <c r="G1088" s="5">
        <v>0.94254000000000004</v>
      </c>
      <c r="H1088" s="5">
        <v>17.962</v>
      </c>
      <c r="I1088" s="5"/>
      <c r="J1088" s="5">
        <v>1</v>
      </c>
      <c r="K1088" s="5" t="s">
        <v>2</v>
      </c>
      <c r="L1088" s="5" t="s">
        <v>4308</v>
      </c>
      <c r="M1088" s="5" t="s">
        <v>4309</v>
      </c>
      <c r="N1088" s="5" t="s">
        <v>4310</v>
      </c>
      <c r="O1088" s="5">
        <v>10</v>
      </c>
      <c r="P1088" s="6">
        <v>786750</v>
      </c>
      <c r="Q1088" s="5">
        <v>326340</v>
      </c>
      <c r="R1088" s="5">
        <v>460420</v>
      </c>
      <c r="S1088" s="5">
        <v>0.85470000000000002</v>
      </c>
      <c r="T1088" s="5">
        <f>LOG(Table2[[#This Row],[ratio heavy to light normalized]],2)</f>
        <v>-0.22650997250444205</v>
      </c>
      <c r="U1088" s="5">
        <v>0.94863720123369599</v>
      </c>
    </row>
    <row r="1089" spans="1:21" x14ac:dyDescent="0.3">
      <c r="A1089" s="5" t="s">
        <v>725</v>
      </c>
      <c r="B1089" s="5" t="s">
        <v>726</v>
      </c>
      <c r="C1089" s="5">
        <v>75</v>
      </c>
      <c r="D1089" s="5">
        <v>75</v>
      </c>
      <c r="E1089" s="5">
        <v>1</v>
      </c>
      <c r="F1089" s="6">
        <v>56.4315</v>
      </c>
      <c r="G1089" s="5">
        <v>5.3391799999999998E-4</v>
      </c>
      <c r="H1089" s="5">
        <v>56.432000000000002</v>
      </c>
      <c r="I1089" s="5" t="s">
        <v>11</v>
      </c>
      <c r="J1089" s="5">
        <v>1</v>
      </c>
      <c r="K1089" s="5" t="s">
        <v>2</v>
      </c>
      <c r="L1089" s="5" t="s">
        <v>727</v>
      </c>
      <c r="M1089" s="5" t="s">
        <v>728</v>
      </c>
      <c r="N1089" s="5" t="s">
        <v>729</v>
      </c>
      <c r="O1089" s="5">
        <v>3</v>
      </c>
      <c r="P1089" s="6">
        <v>710260</v>
      </c>
      <c r="Q1089" s="5">
        <v>393000</v>
      </c>
      <c r="R1089" s="5">
        <v>317260</v>
      </c>
      <c r="S1089" s="5">
        <v>0.55991999999999997</v>
      </c>
      <c r="T1089" s="5">
        <f>LOG(Table2[[#This Row],[ratio heavy to light normalized]],2)</f>
        <v>-0.83670738173145631</v>
      </c>
      <c r="U1089" s="5">
        <v>0.108073868414425</v>
      </c>
    </row>
    <row r="1090" spans="1:21" x14ac:dyDescent="0.3">
      <c r="A1090" s="5" t="s">
        <v>518</v>
      </c>
      <c r="B1090" s="5" t="s">
        <v>519</v>
      </c>
      <c r="C1090" s="5">
        <v>79</v>
      </c>
      <c r="D1090" s="5">
        <v>79</v>
      </c>
      <c r="E1090" s="5">
        <v>1</v>
      </c>
      <c r="F1090" s="6">
        <v>90.985600000000005</v>
      </c>
      <c r="G1090" s="7">
        <v>8.4862099999999992E-12</v>
      </c>
      <c r="H1090" s="5">
        <v>90.986000000000004</v>
      </c>
      <c r="I1090" s="5" t="s">
        <v>11</v>
      </c>
      <c r="J1090" s="5">
        <v>1</v>
      </c>
      <c r="K1090" s="5" t="s">
        <v>2</v>
      </c>
      <c r="L1090" s="5" t="s">
        <v>520</v>
      </c>
      <c r="M1090" s="5" t="s">
        <v>521</v>
      </c>
      <c r="N1090" s="5" t="s">
        <v>522</v>
      </c>
      <c r="O1090" s="5">
        <v>4</v>
      </c>
      <c r="P1090" s="6">
        <v>2372200</v>
      </c>
      <c r="Q1090" s="5">
        <v>1428200</v>
      </c>
      <c r="R1090" s="5">
        <v>944040</v>
      </c>
      <c r="S1090" s="5">
        <v>0.55401999999999996</v>
      </c>
      <c r="T1090" s="5">
        <f>LOG(Table2[[#This Row],[ratio heavy to light normalized]],2)</f>
        <v>-0.85199003669953821</v>
      </c>
      <c r="U1090" s="5">
        <v>6.0864389292850998E-2</v>
      </c>
    </row>
    <row r="1091" spans="1:21" x14ac:dyDescent="0.3">
      <c r="A1091" s="5" t="s">
        <v>684</v>
      </c>
      <c r="B1091" s="5" t="s">
        <v>685</v>
      </c>
      <c r="C1091" s="5">
        <v>159</v>
      </c>
      <c r="D1091" s="5">
        <v>159</v>
      </c>
      <c r="E1091" s="5">
        <v>1</v>
      </c>
      <c r="F1091" s="6">
        <v>47.602800000000002</v>
      </c>
      <c r="G1091" s="5">
        <v>1.48047E-2</v>
      </c>
      <c r="H1091" s="5">
        <v>47.603000000000002</v>
      </c>
      <c r="I1091" s="5" t="s">
        <v>11</v>
      </c>
      <c r="J1091" s="5">
        <v>1</v>
      </c>
      <c r="K1091" s="5" t="s">
        <v>2</v>
      </c>
      <c r="L1091" s="5" t="s">
        <v>686</v>
      </c>
      <c r="M1091" s="5" t="s">
        <v>687</v>
      </c>
      <c r="N1091" s="5" t="s">
        <v>688</v>
      </c>
      <c r="O1091" s="5">
        <v>2</v>
      </c>
      <c r="P1091" s="6">
        <v>337980</v>
      </c>
      <c r="Q1091" s="5">
        <v>259920</v>
      </c>
      <c r="R1091" s="5">
        <v>78059</v>
      </c>
      <c r="S1091" s="5">
        <v>0.55157999999999996</v>
      </c>
      <c r="T1091" s="5">
        <f>LOG(Table2[[#This Row],[ratio heavy to light normalized]],2)</f>
        <v>-0.85835794844867641</v>
      </c>
      <c r="U1091" s="5">
        <v>9.6584840262267505E-2</v>
      </c>
    </row>
    <row r="1092" spans="1:21" x14ac:dyDescent="0.3">
      <c r="A1092" s="5" t="s">
        <v>4322</v>
      </c>
      <c r="B1092" s="5" t="s">
        <v>4323</v>
      </c>
      <c r="C1092" s="5">
        <v>485</v>
      </c>
      <c r="D1092" s="5">
        <v>485</v>
      </c>
      <c r="E1092" s="5">
        <v>1</v>
      </c>
      <c r="F1092" s="6">
        <v>32.3202</v>
      </c>
      <c r="G1092" s="5">
        <v>6.2350099999999999E-2</v>
      </c>
      <c r="H1092" s="5">
        <v>32.32</v>
      </c>
      <c r="I1092" s="5" t="s">
        <v>11</v>
      </c>
      <c r="J1092" s="5">
        <v>1</v>
      </c>
      <c r="K1092" s="5" t="s">
        <v>2</v>
      </c>
      <c r="L1092" s="5" t="s">
        <v>4324</v>
      </c>
      <c r="M1092" s="5" t="s">
        <v>4325</v>
      </c>
      <c r="N1092" s="5" t="s">
        <v>4326</v>
      </c>
      <c r="O1092" s="5">
        <v>2</v>
      </c>
      <c r="P1092" s="6">
        <v>560510</v>
      </c>
      <c r="Q1092" s="5">
        <v>295490</v>
      </c>
      <c r="R1092" s="5">
        <v>265020</v>
      </c>
      <c r="S1092" s="5">
        <v>0.85634999999999994</v>
      </c>
      <c r="T1092" s="5">
        <f>LOG(Table2[[#This Row],[ratio heavy to light normalized]],2)</f>
        <v>-0.22372753183311522</v>
      </c>
      <c r="U1092" s="5">
        <v>0.95423880636231895</v>
      </c>
    </row>
    <row r="1093" spans="1:21" x14ac:dyDescent="0.3">
      <c r="A1093" s="5" t="s">
        <v>25</v>
      </c>
      <c r="B1093" s="5" t="s">
        <v>26</v>
      </c>
      <c r="C1093" s="5">
        <v>462</v>
      </c>
      <c r="D1093" s="5">
        <v>462</v>
      </c>
      <c r="E1093" s="5">
        <v>1</v>
      </c>
      <c r="F1093" s="6">
        <v>78.652600000000007</v>
      </c>
      <c r="G1093" s="7">
        <v>3.01061E-7</v>
      </c>
      <c r="H1093" s="5">
        <v>78.653000000000006</v>
      </c>
      <c r="I1093" s="5"/>
      <c r="J1093" s="5">
        <v>1</v>
      </c>
      <c r="K1093" s="5" t="s">
        <v>2</v>
      </c>
      <c r="L1093" s="5" t="s">
        <v>473</v>
      </c>
      <c r="M1093" s="5" t="s">
        <v>474</v>
      </c>
      <c r="N1093" s="5" t="s">
        <v>475</v>
      </c>
      <c r="O1093" s="5">
        <v>10</v>
      </c>
      <c r="P1093" s="6">
        <v>1579600</v>
      </c>
      <c r="Q1093" s="5">
        <v>932940</v>
      </c>
      <c r="R1093" s="5">
        <v>646640</v>
      </c>
      <c r="S1093" s="5">
        <v>0.54715999999999998</v>
      </c>
      <c r="T1093" s="5">
        <f>LOG(Table2[[#This Row],[ratio heavy to light normalized]],2)</f>
        <v>-0.86996532868208531</v>
      </c>
      <c r="U1093" s="5">
        <v>5.4804058748354999E-2</v>
      </c>
    </row>
    <row r="1094" spans="1:21" x14ac:dyDescent="0.3">
      <c r="A1094" s="5" t="s">
        <v>210</v>
      </c>
      <c r="B1094" s="5" t="s">
        <v>211</v>
      </c>
      <c r="C1094" s="5">
        <v>723</v>
      </c>
      <c r="D1094" s="5">
        <v>723</v>
      </c>
      <c r="E1094" s="5">
        <v>1</v>
      </c>
      <c r="F1094" s="6">
        <v>51.978499999999997</v>
      </c>
      <c r="G1094" s="5">
        <v>1.08219E-4</v>
      </c>
      <c r="H1094" s="5">
        <v>58.32</v>
      </c>
      <c r="I1094" s="5" t="s">
        <v>11</v>
      </c>
      <c r="J1094" s="5">
        <v>1</v>
      </c>
      <c r="K1094" s="5" t="s">
        <v>2</v>
      </c>
      <c r="L1094" s="5" t="s">
        <v>212</v>
      </c>
      <c r="M1094" s="5" t="s">
        <v>213</v>
      </c>
      <c r="N1094" s="5" t="s">
        <v>214</v>
      </c>
      <c r="O1094" s="5">
        <v>9</v>
      </c>
      <c r="P1094" s="6">
        <v>2662300</v>
      </c>
      <c r="Q1094" s="5">
        <v>1506400</v>
      </c>
      <c r="R1094" s="5">
        <v>1155900</v>
      </c>
      <c r="S1094" s="5">
        <v>0.54388000000000003</v>
      </c>
      <c r="T1094" s="5">
        <f>LOG(Table2[[#This Row],[ratio heavy to light normalized]],2)</f>
        <v>-0.87863972007021884</v>
      </c>
      <c r="U1094" s="5">
        <v>8.2084200116992901E-3</v>
      </c>
    </row>
    <row r="1095" spans="1:21" x14ac:dyDescent="0.3">
      <c r="A1095" s="5" t="s">
        <v>613</v>
      </c>
      <c r="B1095" s="5" t="s">
        <v>614</v>
      </c>
      <c r="C1095" s="5">
        <v>285</v>
      </c>
      <c r="D1095" s="5">
        <v>285</v>
      </c>
      <c r="E1095" s="5">
        <v>1</v>
      </c>
      <c r="F1095" s="6">
        <v>62.717199999999998</v>
      </c>
      <c r="G1095" s="7">
        <v>4.13869E-6</v>
      </c>
      <c r="H1095" s="5">
        <v>62.716999999999999</v>
      </c>
      <c r="I1095" s="5" t="s">
        <v>11</v>
      </c>
      <c r="J1095" s="5">
        <v>1</v>
      </c>
      <c r="K1095" s="5" t="s">
        <v>2</v>
      </c>
      <c r="L1095" s="5" t="s">
        <v>615</v>
      </c>
      <c r="M1095" s="5" t="s">
        <v>616</v>
      </c>
      <c r="N1095" s="5" t="s">
        <v>617</v>
      </c>
      <c r="O1095" s="5">
        <v>3</v>
      </c>
      <c r="P1095" s="6">
        <v>408350</v>
      </c>
      <c r="Q1095" s="5">
        <v>245910</v>
      </c>
      <c r="R1095" s="5">
        <v>162440</v>
      </c>
      <c r="S1095" s="5">
        <v>0.54122000000000003</v>
      </c>
      <c r="T1095" s="5">
        <f>LOG(Table2[[#This Row],[ratio heavy to light normalized]],2)</f>
        <v>-0.88571294188539518</v>
      </c>
      <c r="U1095" s="5">
        <v>8.34891820934371E-2</v>
      </c>
    </row>
    <row r="1096" spans="1:21" x14ac:dyDescent="0.3">
      <c r="A1096" s="5" t="s">
        <v>200</v>
      </c>
      <c r="B1096" s="5" t="s">
        <v>201</v>
      </c>
      <c r="C1096" s="5">
        <v>68</v>
      </c>
      <c r="D1096" s="5">
        <v>68</v>
      </c>
      <c r="E1096" s="5">
        <v>1</v>
      </c>
      <c r="F1096" s="6">
        <v>54.539400000000001</v>
      </c>
      <c r="G1096" s="5">
        <v>1.34544E-2</v>
      </c>
      <c r="H1096" s="5">
        <v>54.539000000000001</v>
      </c>
      <c r="I1096" s="5" t="s">
        <v>11</v>
      </c>
      <c r="J1096" s="5">
        <v>1</v>
      </c>
      <c r="K1096" s="5" t="s">
        <v>2</v>
      </c>
      <c r="L1096" s="5" t="s">
        <v>202</v>
      </c>
      <c r="M1096" s="5" t="s">
        <v>203</v>
      </c>
      <c r="N1096" s="5" t="s">
        <v>204</v>
      </c>
      <c r="O1096" s="5">
        <v>9</v>
      </c>
      <c r="P1096" s="6">
        <v>7441100</v>
      </c>
      <c r="Q1096" s="5">
        <v>4621500</v>
      </c>
      <c r="R1096" s="5">
        <v>2819500</v>
      </c>
      <c r="S1096" s="5">
        <v>0.54003000000000001</v>
      </c>
      <c r="T1096" s="5">
        <f>LOG(Table2[[#This Row],[ratio heavy to light normalized]],2)</f>
        <v>-0.88888854011306107</v>
      </c>
      <c r="U1096" s="5">
        <v>7.40517002268626E-3</v>
      </c>
    </row>
    <row r="1097" spans="1:21" x14ac:dyDescent="0.3">
      <c r="A1097" s="5" t="s">
        <v>549</v>
      </c>
      <c r="B1097" s="5" t="s">
        <v>550</v>
      </c>
      <c r="C1097" s="5">
        <v>176</v>
      </c>
      <c r="D1097" s="5">
        <v>176</v>
      </c>
      <c r="E1097" s="5">
        <v>1</v>
      </c>
      <c r="F1097" s="6">
        <v>44.317500000000003</v>
      </c>
      <c r="G1097" s="5">
        <v>3.7595400000000001E-2</v>
      </c>
      <c r="H1097" s="5">
        <v>44.317999999999998</v>
      </c>
      <c r="I1097" s="5" t="s">
        <v>11</v>
      </c>
      <c r="J1097" s="5">
        <v>1</v>
      </c>
      <c r="K1097" s="5" t="s">
        <v>2</v>
      </c>
      <c r="L1097" s="5" t="s">
        <v>551</v>
      </c>
      <c r="M1097" s="5" t="s">
        <v>552</v>
      </c>
      <c r="N1097" s="5" t="s">
        <v>553</v>
      </c>
      <c r="O1097" s="5">
        <v>5</v>
      </c>
      <c r="P1097" s="6">
        <v>331880</v>
      </c>
      <c r="Q1097" s="5">
        <v>228510</v>
      </c>
      <c r="R1097" s="5">
        <v>103360</v>
      </c>
      <c r="S1097" s="5">
        <v>0.53110999999999997</v>
      </c>
      <c r="T1097" s="5">
        <f>LOG(Table2[[#This Row],[ratio heavy to light normalized]],2)</f>
        <v>-0.91291740142990785</v>
      </c>
      <c r="U1097" s="5">
        <v>7.1930255977533497E-2</v>
      </c>
    </row>
    <row r="1098" spans="1:21" x14ac:dyDescent="0.3">
      <c r="A1098" s="5" t="s">
        <v>192</v>
      </c>
      <c r="B1098" s="5" t="s">
        <v>193</v>
      </c>
      <c r="C1098" s="5">
        <v>349</v>
      </c>
      <c r="D1098" s="5">
        <v>349</v>
      </c>
      <c r="E1098" s="5">
        <v>1</v>
      </c>
      <c r="F1098" s="6">
        <v>101.105</v>
      </c>
      <c r="G1098" s="7">
        <v>8.0701899999999995E-15</v>
      </c>
      <c r="H1098" s="5">
        <v>101.11</v>
      </c>
      <c r="I1098" s="5"/>
      <c r="J1098" s="5">
        <v>1</v>
      </c>
      <c r="K1098" s="5" t="s">
        <v>2</v>
      </c>
      <c r="L1098" s="5" t="s">
        <v>194</v>
      </c>
      <c r="M1098" s="5" t="s">
        <v>195</v>
      </c>
      <c r="N1098" s="5" t="s">
        <v>196</v>
      </c>
      <c r="O1098" s="5">
        <v>6</v>
      </c>
      <c r="P1098" s="6">
        <v>3021600</v>
      </c>
      <c r="Q1098" s="5">
        <v>1922000</v>
      </c>
      <c r="R1098" s="5">
        <v>1099600</v>
      </c>
      <c r="S1098" s="5">
        <v>0.52954000000000001</v>
      </c>
      <c r="T1098" s="5">
        <f>LOG(Table2[[#This Row],[ratio heavy to light normalized]],2)</f>
        <v>-0.91718842932501765</v>
      </c>
      <c r="U1098" s="5">
        <v>5.5404561499959003E-3</v>
      </c>
    </row>
    <row r="1099" spans="1:21" x14ac:dyDescent="0.3">
      <c r="A1099" s="5" t="s">
        <v>417</v>
      </c>
      <c r="B1099" s="5" t="s">
        <v>418</v>
      </c>
      <c r="C1099" s="5">
        <v>142</v>
      </c>
      <c r="D1099" s="5">
        <v>142</v>
      </c>
      <c r="E1099" s="5">
        <v>1</v>
      </c>
      <c r="F1099" s="6">
        <v>66.335300000000004</v>
      </c>
      <c r="G1099" s="7">
        <v>8.0401400000000005E-12</v>
      </c>
      <c r="H1099" s="5">
        <v>66.334999999999994</v>
      </c>
      <c r="I1099" s="5" t="s">
        <v>11</v>
      </c>
      <c r="J1099" s="5">
        <v>1</v>
      </c>
      <c r="K1099" s="5" t="s">
        <v>2</v>
      </c>
      <c r="L1099" s="5" t="s">
        <v>419</v>
      </c>
      <c r="M1099" s="5" t="s">
        <v>420</v>
      </c>
      <c r="N1099" s="5" t="s">
        <v>421</v>
      </c>
      <c r="O1099" s="5">
        <v>7</v>
      </c>
      <c r="P1099" s="6">
        <v>2006500</v>
      </c>
      <c r="Q1099" s="5">
        <v>1069900</v>
      </c>
      <c r="R1099" s="5">
        <v>936550</v>
      </c>
      <c r="S1099" s="5">
        <v>0.52795999999999998</v>
      </c>
      <c r="T1099" s="5">
        <f>LOG(Table2[[#This Row],[ratio heavy to light normalized]],2)</f>
        <v>-0.92149946452266318</v>
      </c>
      <c r="U1099" s="5">
        <v>4.0154685697412797E-2</v>
      </c>
    </row>
    <row r="1100" spans="1:21" x14ac:dyDescent="0.3">
      <c r="A1100" s="5" t="s">
        <v>48</v>
      </c>
      <c r="B1100" s="5" t="s">
        <v>49</v>
      </c>
      <c r="C1100" s="5">
        <v>552</v>
      </c>
      <c r="D1100" s="5">
        <v>552</v>
      </c>
      <c r="E1100" s="5">
        <v>1</v>
      </c>
      <c r="F1100" s="6">
        <v>90.985600000000005</v>
      </c>
      <c r="G1100" s="7">
        <v>8.4862099999999992E-12</v>
      </c>
      <c r="H1100" s="5">
        <v>90.986000000000004</v>
      </c>
      <c r="I1100" s="5" t="s">
        <v>11</v>
      </c>
      <c r="J1100" s="5">
        <v>1</v>
      </c>
      <c r="K1100" s="5" t="s">
        <v>2</v>
      </c>
      <c r="L1100" s="5" t="s">
        <v>184</v>
      </c>
      <c r="M1100" s="5" t="s">
        <v>185</v>
      </c>
      <c r="N1100" s="5" t="s">
        <v>186</v>
      </c>
      <c r="O1100" s="5">
        <v>4</v>
      </c>
      <c r="P1100" s="6">
        <v>9454400</v>
      </c>
      <c r="Q1100" s="5">
        <v>6376600</v>
      </c>
      <c r="R1100" s="5">
        <v>3077800</v>
      </c>
      <c r="S1100" s="5">
        <v>0.51959</v>
      </c>
      <c r="T1100" s="5">
        <f>LOG(Table2[[#This Row],[ratio heavy to light normalized]],2)</f>
        <v>-0.94455442986222671</v>
      </c>
      <c r="U1100" s="5">
        <v>4.15167025205596E-3</v>
      </c>
    </row>
    <row r="1101" spans="1:21" x14ac:dyDescent="0.3">
      <c r="A1101" s="5" t="s">
        <v>107</v>
      </c>
      <c r="B1101" s="5" t="s">
        <v>108</v>
      </c>
      <c r="C1101" s="5">
        <v>137</v>
      </c>
      <c r="D1101" s="5">
        <v>137</v>
      </c>
      <c r="E1101" s="5">
        <v>1</v>
      </c>
      <c r="F1101" s="6">
        <v>70.942099999999996</v>
      </c>
      <c r="G1101" s="7">
        <v>8.4947199999999996E-13</v>
      </c>
      <c r="H1101" s="5">
        <v>70.941999999999993</v>
      </c>
      <c r="I1101" s="5" t="s">
        <v>11</v>
      </c>
      <c r="J1101" s="5">
        <v>1</v>
      </c>
      <c r="K1101" s="5" t="s">
        <v>2</v>
      </c>
      <c r="L1101" s="5" t="s">
        <v>502</v>
      </c>
      <c r="M1101" s="5" t="s">
        <v>503</v>
      </c>
      <c r="N1101" s="5" t="s">
        <v>504</v>
      </c>
      <c r="O1101" s="5">
        <v>5</v>
      </c>
      <c r="P1101" s="6">
        <v>941400</v>
      </c>
      <c r="Q1101" s="5">
        <v>599130</v>
      </c>
      <c r="R1101" s="5">
        <v>342270</v>
      </c>
      <c r="S1101" s="5">
        <v>0.51731000000000005</v>
      </c>
      <c r="T1101" s="5">
        <f>LOG(Table2[[#This Row],[ratio heavy to light normalized]],2)</f>
        <v>-0.95089901467187632</v>
      </c>
      <c r="U1101" s="5">
        <v>5.8016737884570402E-2</v>
      </c>
    </row>
    <row r="1102" spans="1:21" x14ac:dyDescent="0.3">
      <c r="A1102" s="5" t="s">
        <v>463</v>
      </c>
      <c r="B1102" s="5" t="s">
        <v>464</v>
      </c>
      <c r="C1102" s="5">
        <v>187</v>
      </c>
      <c r="D1102" s="5">
        <v>187</v>
      </c>
      <c r="E1102" s="5">
        <v>1</v>
      </c>
      <c r="F1102" s="6">
        <v>83.417500000000004</v>
      </c>
      <c r="G1102" s="7">
        <v>7.8845800000000006E-17</v>
      </c>
      <c r="H1102" s="5">
        <v>83.418000000000006</v>
      </c>
      <c r="I1102" s="5" t="s">
        <v>11</v>
      </c>
      <c r="J1102" s="5">
        <v>1</v>
      </c>
      <c r="K1102" s="5" t="s">
        <v>2</v>
      </c>
      <c r="L1102" s="5" t="s">
        <v>465</v>
      </c>
      <c r="M1102" s="5" t="s">
        <v>466</v>
      </c>
      <c r="N1102" s="5" t="s">
        <v>467</v>
      </c>
      <c r="O1102" s="5">
        <v>12</v>
      </c>
      <c r="P1102" s="6">
        <v>668650</v>
      </c>
      <c r="Q1102" s="5">
        <v>446190</v>
      </c>
      <c r="R1102" s="5">
        <v>222460</v>
      </c>
      <c r="S1102" s="5">
        <v>0.51251000000000002</v>
      </c>
      <c r="T1102" s="5">
        <f>LOG(Table2[[#This Row],[ratio heavy to light normalized]],2)</f>
        <v>-0.96434794039677141</v>
      </c>
      <c r="U1102" s="5">
        <v>5.3660335333996501E-2</v>
      </c>
    </row>
    <row r="1103" spans="1:21" x14ac:dyDescent="0.3">
      <c r="A1103" s="5" t="s">
        <v>96</v>
      </c>
      <c r="B1103" s="5" t="s">
        <v>97</v>
      </c>
      <c r="C1103" s="5">
        <v>79</v>
      </c>
      <c r="D1103" s="5">
        <v>79</v>
      </c>
      <c r="E1103" s="5">
        <v>1</v>
      </c>
      <c r="F1103" s="6">
        <v>62.378300000000003</v>
      </c>
      <c r="G1103" s="7">
        <v>3.51487E-7</v>
      </c>
      <c r="H1103" s="5">
        <v>62.378</v>
      </c>
      <c r="I1103" s="5" t="s">
        <v>11</v>
      </c>
      <c r="J1103" s="5">
        <v>1</v>
      </c>
      <c r="K1103" s="5" t="s">
        <v>2</v>
      </c>
      <c r="L1103" s="5" t="s">
        <v>450</v>
      </c>
      <c r="M1103" s="5" t="s">
        <v>451</v>
      </c>
      <c r="N1103" s="5" t="s">
        <v>452</v>
      </c>
      <c r="O1103" s="5">
        <v>9</v>
      </c>
      <c r="P1103" s="6">
        <v>731930</v>
      </c>
      <c r="Q1103" s="5">
        <v>486920</v>
      </c>
      <c r="R1103" s="5">
        <v>245010</v>
      </c>
      <c r="S1103" s="5">
        <v>0.50902999999999998</v>
      </c>
      <c r="T1103" s="5">
        <f>LOG(Table2[[#This Row],[ratio heavy to light normalized]],2)</f>
        <v>-0.97417740995022362</v>
      </c>
      <c r="U1103" s="5">
        <v>5.06520486366272E-2</v>
      </c>
    </row>
    <row r="1104" spans="1:21" x14ac:dyDescent="0.3">
      <c r="A1104" s="5" t="s">
        <v>43</v>
      </c>
      <c r="B1104" s="5" t="s">
        <v>44</v>
      </c>
      <c r="C1104" s="5">
        <v>321</v>
      </c>
      <c r="D1104" s="5">
        <v>321</v>
      </c>
      <c r="E1104" s="5">
        <v>1</v>
      </c>
      <c r="F1104" s="6">
        <v>39.148000000000003</v>
      </c>
      <c r="G1104" s="5">
        <v>2.5191600000000001E-2</v>
      </c>
      <c r="H1104" s="5">
        <v>39.148000000000003</v>
      </c>
      <c r="I1104" s="5" t="s">
        <v>11</v>
      </c>
      <c r="J1104" s="5">
        <v>1</v>
      </c>
      <c r="K1104" s="5" t="s">
        <v>2</v>
      </c>
      <c r="L1104" s="5" t="s">
        <v>373</v>
      </c>
      <c r="M1104" s="5" t="s">
        <v>374</v>
      </c>
      <c r="N1104" s="5" t="s">
        <v>375</v>
      </c>
      <c r="O1104" s="5">
        <v>5</v>
      </c>
      <c r="P1104" s="6">
        <v>1488700</v>
      </c>
      <c r="Q1104" s="5">
        <v>945070</v>
      </c>
      <c r="R1104" s="5">
        <v>543600</v>
      </c>
      <c r="S1104" s="5">
        <v>0.50595999999999997</v>
      </c>
      <c r="T1104" s="5">
        <f>LOG(Table2[[#This Row],[ratio heavy to light normalized]],2)</f>
        <v>-0.98290476151460815</v>
      </c>
      <c r="U1104" s="5">
        <v>2.7166729052750901E-2</v>
      </c>
    </row>
    <row r="1105" spans="1:21" x14ac:dyDescent="0.3">
      <c r="A1105" s="5" t="s">
        <v>368</v>
      </c>
      <c r="B1105" s="5" t="s">
        <v>369</v>
      </c>
      <c r="C1105" s="5">
        <v>57</v>
      </c>
      <c r="D1105" s="5">
        <v>57</v>
      </c>
      <c r="E1105" s="5">
        <v>1</v>
      </c>
      <c r="F1105" s="6">
        <v>50.054600000000001</v>
      </c>
      <c r="G1105" s="7">
        <v>6.4300800000000004E-7</v>
      </c>
      <c r="H1105" s="5">
        <v>50.055</v>
      </c>
      <c r="I1105" s="5"/>
      <c r="J1105" s="5">
        <v>1</v>
      </c>
      <c r="K1105" s="5" t="s">
        <v>2</v>
      </c>
      <c r="L1105" s="5" t="s">
        <v>370</v>
      </c>
      <c r="M1105" s="5" t="s">
        <v>371</v>
      </c>
      <c r="N1105" s="5" t="s">
        <v>372</v>
      </c>
      <c r="O1105" s="5">
        <v>20</v>
      </c>
      <c r="P1105" s="6">
        <v>1048100</v>
      </c>
      <c r="Q1105" s="5">
        <v>617550</v>
      </c>
      <c r="R1105" s="5">
        <v>430560</v>
      </c>
      <c r="S1105" s="5">
        <v>0.50592999999999999</v>
      </c>
      <c r="T1105" s="5">
        <f>LOG(Table2[[#This Row],[ratio heavy to light normalized]],2)</f>
        <v>-0.98299030609206084</v>
      </c>
      <c r="U1105" s="5">
        <v>2.7151527379810299E-2</v>
      </c>
    </row>
    <row r="1106" spans="1:21" x14ac:dyDescent="0.3">
      <c r="A1106" s="5" t="s">
        <v>427</v>
      </c>
      <c r="B1106" s="5" t="s">
        <v>428</v>
      </c>
      <c r="C1106" s="5">
        <v>252</v>
      </c>
      <c r="D1106" s="5">
        <v>252</v>
      </c>
      <c r="E1106" s="5">
        <v>1</v>
      </c>
      <c r="F1106" s="6">
        <v>126.54</v>
      </c>
      <c r="G1106" s="7">
        <v>8.6242299999999995E-27</v>
      </c>
      <c r="H1106" s="5">
        <v>126.54</v>
      </c>
      <c r="I1106" s="5" t="s">
        <v>11</v>
      </c>
      <c r="J1106" s="5">
        <v>1</v>
      </c>
      <c r="K1106" s="5" t="s">
        <v>2</v>
      </c>
      <c r="L1106" s="5" t="s">
        <v>429</v>
      </c>
      <c r="M1106" s="5" t="s">
        <v>430</v>
      </c>
      <c r="N1106" s="5" t="s">
        <v>431</v>
      </c>
      <c r="O1106" s="5">
        <v>3</v>
      </c>
      <c r="P1106" s="6">
        <v>840470</v>
      </c>
      <c r="Q1106" s="5">
        <v>482920</v>
      </c>
      <c r="R1106" s="5">
        <v>357550</v>
      </c>
      <c r="S1106" s="5">
        <v>0.49654999999999999</v>
      </c>
      <c r="T1106" s="5">
        <f>LOG(Table2[[#This Row],[ratio heavy to light normalized]],2)</f>
        <v>-1.0099890979390997</v>
      </c>
      <c r="U1106" s="5">
        <v>4.0860496080643703E-2</v>
      </c>
    </row>
    <row r="1107" spans="1:21" x14ac:dyDescent="0.3">
      <c r="A1107" s="5" t="s">
        <v>121</v>
      </c>
      <c r="B1107" s="5" t="s">
        <v>122</v>
      </c>
      <c r="C1107" s="5">
        <v>442</v>
      </c>
      <c r="D1107" s="5">
        <v>442</v>
      </c>
      <c r="E1107" s="5">
        <v>1</v>
      </c>
      <c r="F1107" s="6">
        <v>39.917000000000002</v>
      </c>
      <c r="G1107" s="5">
        <v>1.73817E-3</v>
      </c>
      <c r="H1107" s="5">
        <v>62.466000000000001</v>
      </c>
      <c r="I1107" s="5"/>
      <c r="J1107" s="5">
        <v>1</v>
      </c>
      <c r="K1107" s="5" t="s">
        <v>2</v>
      </c>
      <c r="L1107" s="5" t="s">
        <v>152</v>
      </c>
      <c r="M1107" s="5" t="s">
        <v>153</v>
      </c>
      <c r="N1107" s="5" t="s">
        <v>154</v>
      </c>
      <c r="O1107" s="5">
        <v>10</v>
      </c>
      <c r="P1107" s="6">
        <v>3691100</v>
      </c>
      <c r="Q1107" s="5">
        <v>2305700</v>
      </c>
      <c r="R1107" s="5">
        <v>1385400</v>
      </c>
      <c r="S1107" s="5">
        <v>0.49041000000000001</v>
      </c>
      <c r="T1107" s="5">
        <f>LOG(Table2[[#This Row],[ratio heavy to light normalized]],2)</f>
        <v>-1.0279396974179722</v>
      </c>
      <c r="U1107" s="5">
        <v>1.6408717798419401E-3</v>
      </c>
    </row>
    <row r="1108" spans="1:21" x14ac:dyDescent="0.3">
      <c r="A1108" s="5" t="s">
        <v>643</v>
      </c>
      <c r="B1108" s="5" t="s">
        <v>644</v>
      </c>
      <c r="C1108" s="5">
        <v>169</v>
      </c>
      <c r="D1108" s="5">
        <v>169</v>
      </c>
      <c r="E1108" s="5">
        <v>1</v>
      </c>
      <c r="F1108" s="6">
        <v>15.934200000000001</v>
      </c>
      <c r="G1108" s="5">
        <v>0.676759</v>
      </c>
      <c r="H1108" s="5">
        <v>15.933999999999999</v>
      </c>
      <c r="I1108" s="5"/>
      <c r="J1108" s="5">
        <v>1</v>
      </c>
      <c r="K1108" s="5" t="s">
        <v>2</v>
      </c>
      <c r="L1108" s="5" t="s">
        <v>4377</v>
      </c>
      <c r="M1108" s="5" t="s">
        <v>4378</v>
      </c>
      <c r="N1108" s="5" t="s">
        <v>4379</v>
      </c>
      <c r="O1108" s="5">
        <v>8</v>
      </c>
      <c r="P1108" s="6">
        <v>1615500</v>
      </c>
      <c r="Q1108" s="5">
        <v>892690</v>
      </c>
      <c r="R1108" s="5">
        <v>722770</v>
      </c>
      <c r="S1108" s="5">
        <v>0.91022000000000003</v>
      </c>
      <c r="T1108" s="5">
        <f>LOG(Table2[[#This Row],[ratio heavy to light normalized]],2)</f>
        <v>-0.13571280831338861</v>
      </c>
      <c r="U1108" s="5">
        <v>0.96523522353200997</v>
      </c>
    </row>
    <row r="1109" spans="1:21" x14ac:dyDescent="0.3">
      <c r="A1109" s="5" t="s">
        <v>147</v>
      </c>
      <c r="B1109" s="5" t="s">
        <v>148</v>
      </c>
      <c r="C1109" s="5">
        <v>282</v>
      </c>
      <c r="D1109" s="5">
        <v>282</v>
      </c>
      <c r="E1109" s="5">
        <v>1</v>
      </c>
      <c r="F1109" s="6">
        <v>53.447699999999998</v>
      </c>
      <c r="G1109" s="5">
        <v>4.3463900000000001E-4</v>
      </c>
      <c r="H1109" s="5">
        <v>53.448</v>
      </c>
      <c r="I1109" s="5" t="s">
        <v>11</v>
      </c>
      <c r="J1109" s="5">
        <v>1</v>
      </c>
      <c r="K1109" s="5" t="s">
        <v>2</v>
      </c>
      <c r="L1109" s="5" t="s">
        <v>149</v>
      </c>
      <c r="M1109" s="5" t="s">
        <v>150</v>
      </c>
      <c r="N1109" s="5" t="s">
        <v>151</v>
      </c>
      <c r="O1109" s="5">
        <v>8</v>
      </c>
      <c r="P1109" s="6">
        <v>5294600</v>
      </c>
      <c r="Q1109" s="5">
        <v>3101200</v>
      </c>
      <c r="R1109" s="5">
        <v>2193400</v>
      </c>
      <c r="S1109" s="5">
        <v>0.48958000000000002</v>
      </c>
      <c r="T1109" s="5">
        <f>LOG(Table2[[#This Row],[ratio heavy to light normalized]],2)</f>
        <v>-1.0303834716814915</v>
      </c>
      <c r="U1109" s="5">
        <v>1.59504898524608E-3</v>
      </c>
    </row>
    <row r="1110" spans="1:21" x14ac:dyDescent="0.3">
      <c r="A1110" s="5" t="s">
        <v>331</v>
      </c>
      <c r="B1110" s="5" t="s">
        <v>332</v>
      </c>
      <c r="C1110" s="5">
        <v>114</v>
      </c>
      <c r="D1110" s="5">
        <v>114</v>
      </c>
      <c r="E1110" s="5">
        <v>1</v>
      </c>
      <c r="F1110" s="6">
        <v>83.314099999999996</v>
      </c>
      <c r="G1110" s="7">
        <v>4.4135399999999996E-9</v>
      </c>
      <c r="H1110" s="5">
        <v>83.313999999999993</v>
      </c>
      <c r="I1110" s="5" t="s">
        <v>11</v>
      </c>
      <c r="J1110" s="5">
        <v>1</v>
      </c>
      <c r="K1110" s="5" t="s">
        <v>2</v>
      </c>
      <c r="L1110" s="5" t="s">
        <v>333</v>
      </c>
      <c r="M1110" s="5" t="s">
        <v>334</v>
      </c>
      <c r="N1110" s="5" t="s">
        <v>335</v>
      </c>
      <c r="O1110" s="5">
        <v>4</v>
      </c>
      <c r="P1110" s="6">
        <v>1139600</v>
      </c>
      <c r="Q1110" s="5">
        <v>824010</v>
      </c>
      <c r="R1110" s="5">
        <v>315620</v>
      </c>
      <c r="S1110" s="5">
        <v>0.48665999999999998</v>
      </c>
      <c r="T1110" s="5">
        <f>LOG(Table2[[#This Row],[ratio heavy to light normalized]],2)</f>
        <v>-1.0390138946969931</v>
      </c>
      <c r="U1110" s="5">
        <v>1.8645897916960402E-2</v>
      </c>
    </row>
    <row r="1111" spans="1:21" x14ac:dyDescent="0.3">
      <c r="A1111" s="5" t="s">
        <v>48</v>
      </c>
      <c r="B1111" s="5" t="s">
        <v>49</v>
      </c>
      <c r="C1111" s="5">
        <v>395</v>
      </c>
      <c r="D1111" s="5">
        <v>395</v>
      </c>
      <c r="E1111" s="5">
        <v>1</v>
      </c>
      <c r="F1111" s="6">
        <v>86.479399999999998</v>
      </c>
      <c r="G1111" s="7">
        <v>1.17593E-19</v>
      </c>
      <c r="H1111" s="5">
        <v>86.478999999999999</v>
      </c>
      <c r="I1111" s="5"/>
      <c r="J1111" s="5">
        <v>1</v>
      </c>
      <c r="K1111" s="5" t="s">
        <v>2</v>
      </c>
      <c r="L1111" s="5" t="s">
        <v>328</v>
      </c>
      <c r="M1111" s="5" t="s">
        <v>329</v>
      </c>
      <c r="N1111" s="5" t="s">
        <v>330</v>
      </c>
      <c r="O1111" s="5">
        <v>20</v>
      </c>
      <c r="P1111" s="6">
        <v>1884200</v>
      </c>
      <c r="Q1111" s="5">
        <v>1286800</v>
      </c>
      <c r="R1111" s="5">
        <v>597370</v>
      </c>
      <c r="S1111" s="5">
        <v>0.48598999999999998</v>
      </c>
      <c r="T1111" s="5">
        <f>LOG(Table2[[#This Row],[ratio heavy to light normalized]],2)</f>
        <v>-1.0410014664448584</v>
      </c>
      <c r="U1111" s="5">
        <v>1.8392696925953401E-2</v>
      </c>
    </row>
    <row r="1112" spans="1:21" x14ac:dyDescent="0.3">
      <c r="A1112" s="5" t="s">
        <v>323</v>
      </c>
      <c r="B1112" s="5" t="s">
        <v>324</v>
      </c>
      <c r="C1112" s="5">
        <v>271</v>
      </c>
      <c r="D1112" s="5">
        <v>271</v>
      </c>
      <c r="E1112" s="5">
        <v>1</v>
      </c>
      <c r="F1112" s="6">
        <v>65.225499999999997</v>
      </c>
      <c r="G1112" s="7">
        <v>2.7534099999999999E-11</v>
      </c>
      <c r="H1112" s="5">
        <v>65.224999999999994</v>
      </c>
      <c r="I1112" s="5" t="s">
        <v>11</v>
      </c>
      <c r="J1112" s="5">
        <v>1</v>
      </c>
      <c r="K1112" s="5" t="s">
        <v>2</v>
      </c>
      <c r="L1112" s="5" t="s">
        <v>391</v>
      </c>
      <c r="M1112" s="5" t="s">
        <v>392</v>
      </c>
      <c r="N1112" s="5" t="s">
        <v>393</v>
      </c>
      <c r="O1112" s="5">
        <v>16</v>
      </c>
      <c r="P1112" s="6">
        <v>916070</v>
      </c>
      <c r="Q1112" s="5">
        <v>608390</v>
      </c>
      <c r="R1112" s="5">
        <v>307680</v>
      </c>
      <c r="S1112" s="5">
        <v>0.48048000000000002</v>
      </c>
      <c r="T1112" s="5">
        <f>LOG(Table2[[#This Row],[ratio heavy to light normalized]],2)</f>
        <v>-1.0574517148796621</v>
      </c>
      <c r="U1112" s="5">
        <v>3.0393689122948299E-2</v>
      </c>
    </row>
    <row r="1113" spans="1:21" x14ac:dyDescent="0.3">
      <c r="A1113" s="5" t="s">
        <v>273</v>
      </c>
      <c r="B1113" s="5" t="s">
        <v>274</v>
      </c>
      <c r="C1113" s="5">
        <v>306</v>
      </c>
      <c r="D1113" s="5">
        <v>306</v>
      </c>
      <c r="E1113" s="5">
        <v>1</v>
      </c>
      <c r="F1113" s="6">
        <v>56.563099999999999</v>
      </c>
      <c r="G1113" s="5">
        <v>4.5465499999999999E-3</v>
      </c>
      <c r="H1113" s="5">
        <v>56.563000000000002</v>
      </c>
      <c r="I1113" s="5"/>
      <c r="J1113" s="5">
        <v>1</v>
      </c>
      <c r="K1113" s="5" t="s">
        <v>2</v>
      </c>
      <c r="L1113" s="5" t="s">
        <v>275</v>
      </c>
      <c r="M1113" s="5" t="s">
        <v>276</v>
      </c>
      <c r="N1113" s="5" t="s">
        <v>277</v>
      </c>
      <c r="O1113" s="5">
        <v>6</v>
      </c>
      <c r="P1113" s="6">
        <v>1559800</v>
      </c>
      <c r="Q1113" s="5">
        <v>1131300</v>
      </c>
      <c r="R1113" s="5">
        <v>428550</v>
      </c>
      <c r="S1113" s="5">
        <v>0.46903</v>
      </c>
      <c r="T1113" s="5">
        <f>LOG(Table2[[#This Row],[ratio heavy to light normalized]],2)</f>
        <v>-1.0922478918331993</v>
      </c>
      <c r="U1113" s="5">
        <v>1.28244097568862E-2</v>
      </c>
    </row>
    <row r="1114" spans="1:21" x14ac:dyDescent="0.3">
      <c r="A1114" s="5" t="s">
        <v>253</v>
      </c>
      <c r="B1114" s="5" t="s">
        <v>254</v>
      </c>
      <c r="C1114" s="5">
        <v>677</v>
      </c>
      <c r="D1114" s="5">
        <v>677</v>
      </c>
      <c r="E1114" s="5">
        <v>1</v>
      </c>
      <c r="F1114" s="6">
        <v>29.9177</v>
      </c>
      <c r="G1114" s="7">
        <v>2.3110399999999998E-52</v>
      </c>
      <c r="H1114" s="5">
        <v>127.28</v>
      </c>
      <c r="I1114" s="5"/>
      <c r="J1114" s="5">
        <v>1</v>
      </c>
      <c r="K1114" s="5" t="s">
        <v>2</v>
      </c>
      <c r="L1114" s="5" t="s">
        <v>255</v>
      </c>
      <c r="M1114" s="5" t="s">
        <v>256</v>
      </c>
      <c r="N1114" s="5" t="s">
        <v>257</v>
      </c>
      <c r="O1114" s="5">
        <v>18</v>
      </c>
      <c r="P1114" s="6">
        <v>2592800</v>
      </c>
      <c r="Q1114" s="5">
        <v>1402800</v>
      </c>
      <c r="R1114" s="5">
        <v>1190000</v>
      </c>
      <c r="S1114" s="5">
        <v>0.46045000000000003</v>
      </c>
      <c r="T1114" s="5">
        <f>LOG(Table2[[#This Row],[ratio heavy to light normalized]],2)</f>
        <v>-1.1188835914880984</v>
      </c>
      <c r="U1114" s="5">
        <v>1.05672526697414E-2</v>
      </c>
    </row>
    <row r="1115" spans="1:21" x14ac:dyDescent="0.3">
      <c r="A1115" s="5" t="s">
        <v>243</v>
      </c>
      <c r="B1115" s="5" t="s">
        <v>244</v>
      </c>
      <c r="C1115" s="5">
        <v>21</v>
      </c>
      <c r="D1115" s="5">
        <v>21</v>
      </c>
      <c r="E1115" s="5">
        <v>1</v>
      </c>
      <c r="F1115" s="6">
        <v>61.369900000000001</v>
      </c>
      <c r="G1115" s="7">
        <v>4.5854500000000002E-11</v>
      </c>
      <c r="H1115" s="5">
        <v>61.37</v>
      </c>
      <c r="I1115" s="5"/>
      <c r="J1115" s="5">
        <v>1</v>
      </c>
      <c r="K1115" s="5" t="s">
        <v>2</v>
      </c>
      <c r="L1115" s="5" t="s">
        <v>245</v>
      </c>
      <c r="M1115" s="5" t="s">
        <v>246</v>
      </c>
      <c r="N1115" s="5" t="s">
        <v>247</v>
      </c>
      <c r="O1115" s="5">
        <v>12</v>
      </c>
      <c r="P1115" s="6">
        <v>1545100</v>
      </c>
      <c r="Q1115" s="5">
        <v>963040</v>
      </c>
      <c r="R1115" s="5">
        <v>582010</v>
      </c>
      <c r="S1115" s="5">
        <v>0.45949000000000001</v>
      </c>
      <c r="T1115" s="5">
        <f>LOG(Table2[[#This Row],[ratio heavy to light normalized]],2)</f>
        <v>-1.1218946307776152</v>
      </c>
      <c r="U1115" s="5">
        <v>1.0335754857971099E-2</v>
      </c>
    </row>
    <row r="1116" spans="1:21" x14ac:dyDescent="0.3">
      <c r="A1116" s="5" t="s">
        <v>318</v>
      </c>
      <c r="B1116" s="5" t="s">
        <v>319</v>
      </c>
      <c r="C1116" s="5">
        <v>87</v>
      </c>
      <c r="D1116" s="5">
        <v>87</v>
      </c>
      <c r="E1116" s="5">
        <v>1</v>
      </c>
      <c r="F1116" s="6">
        <v>50.0792</v>
      </c>
      <c r="G1116" s="7">
        <v>1.30137E-5</v>
      </c>
      <c r="H1116" s="5">
        <v>50.079000000000001</v>
      </c>
      <c r="I1116" s="5" t="s">
        <v>11</v>
      </c>
      <c r="J1116" s="5">
        <v>1</v>
      </c>
      <c r="K1116" s="5" t="s">
        <v>2</v>
      </c>
      <c r="L1116" s="5" t="s">
        <v>320</v>
      </c>
      <c r="M1116" s="5" t="s">
        <v>321</v>
      </c>
      <c r="N1116" s="5" t="s">
        <v>322</v>
      </c>
      <c r="O1116" s="5">
        <v>14</v>
      </c>
      <c r="P1116" s="6">
        <v>768710</v>
      </c>
      <c r="Q1116" s="5">
        <v>503680</v>
      </c>
      <c r="R1116" s="5">
        <v>265040</v>
      </c>
      <c r="S1116" s="5">
        <v>0.45449000000000001</v>
      </c>
      <c r="T1116" s="5">
        <f>LOG(Table2[[#This Row],[ratio heavy to light normalized]],2)</f>
        <v>-1.1376795432823332</v>
      </c>
      <c r="U1116" s="5">
        <v>1.78977742874116E-2</v>
      </c>
    </row>
    <row r="1117" spans="1:21" x14ac:dyDescent="0.3">
      <c r="A1117" s="5" t="s">
        <v>220</v>
      </c>
      <c r="B1117" s="5" t="s">
        <v>221</v>
      </c>
      <c r="C1117" s="5">
        <v>221</v>
      </c>
      <c r="D1117" s="5">
        <v>221</v>
      </c>
      <c r="E1117" s="5">
        <v>1</v>
      </c>
      <c r="F1117" s="6">
        <v>107.84699999999999</v>
      </c>
      <c r="G1117" s="7">
        <v>1.6302000000000001E-20</v>
      </c>
      <c r="H1117" s="5">
        <v>107.85</v>
      </c>
      <c r="I1117" s="5" t="s">
        <v>11</v>
      </c>
      <c r="J1117" s="5">
        <v>1</v>
      </c>
      <c r="K1117" s="5" t="s">
        <v>2</v>
      </c>
      <c r="L1117" s="5" t="s">
        <v>222</v>
      </c>
      <c r="M1117" s="5" t="s">
        <v>223</v>
      </c>
      <c r="N1117" s="5" t="s">
        <v>224</v>
      </c>
      <c r="O1117" s="5">
        <v>7</v>
      </c>
      <c r="P1117" s="6">
        <v>1340700</v>
      </c>
      <c r="Q1117" s="5">
        <v>893530</v>
      </c>
      <c r="R1117" s="5">
        <v>447150</v>
      </c>
      <c r="S1117" s="5">
        <v>0.45222000000000001</v>
      </c>
      <c r="T1117" s="5">
        <f>LOG(Table2[[#This Row],[ratio heavy to light normalized]],2)</f>
        <v>-1.1449032963787291</v>
      </c>
      <c r="U1117" s="5">
        <v>8.7107529254261302E-3</v>
      </c>
    </row>
    <row r="1118" spans="1:21" x14ac:dyDescent="0.3">
      <c r="A1118" s="5" t="s">
        <v>283</v>
      </c>
      <c r="B1118" s="5" t="s">
        <v>284</v>
      </c>
      <c r="C1118" s="5">
        <v>1408</v>
      </c>
      <c r="D1118" s="5">
        <v>1408</v>
      </c>
      <c r="E1118" s="5">
        <v>1</v>
      </c>
      <c r="F1118" s="6">
        <v>51.926699999999997</v>
      </c>
      <c r="G1118" s="5">
        <v>1.25463E-2</v>
      </c>
      <c r="H1118" s="5">
        <v>51.927</v>
      </c>
      <c r="I1118" s="5"/>
      <c r="J1118" s="5">
        <v>1</v>
      </c>
      <c r="K1118" s="5" t="s">
        <v>2</v>
      </c>
      <c r="L1118" s="5" t="s">
        <v>285</v>
      </c>
      <c r="M1118" s="5" t="s">
        <v>286</v>
      </c>
      <c r="N1118" s="5" t="s">
        <v>287</v>
      </c>
      <c r="O1118" s="5">
        <v>6</v>
      </c>
      <c r="P1118" s="6">
        <v>822080</v>
      </c>
      <c r="Q1118" s="5">
        <v>520830</v>
      </c>
      <c r="R1118" s="5">
        <v>301250</v>
      </c>
      <c r="S1118" s="5">
        <v>0.44270999999999999</v>
      </c>
      <c r="T1118" s="5">
        <f>LOG(Table2[[#This Row],[ratio heavy to light normalized]],2)</f>
        <v>-1.1755661332711713</v>
      </c>
      <c r="U1118" s="5">
        <v>1.3758859583957299E-2</v>
      </c>
    </row>
    <row r="1119" spans="1:21" x14ac:dyDescent="0.3">
      <c r="A1119" s="5" t="s">
        <v>268</v>
      </c>
      <c r="B1119" s="5" t="s">
        <v>269</v>
      </c>
      <c r="C1119" s="5">
        <v>49</v>
      </c>
      <c r="D1119" s="5">
        <v>49</v>
      </c>
      <c r="E1119" s="5">
        <v>1</v>
      </c>
      <c r="F1119" s="6">
        <v>103.54600000000001</v>
      </c>
      <c r="G1119" s="7">
        <v>1.11473E-14</v>
      </c>
      <c r="H1119" s="5">
        <v>103.55</v>
      </c>
      <c r="I1119" s="5" t="s">
        <v>11</v>
      </c>
      <c r="J1119" s="5">
        <v>1</v>
      </c>
      <c r="K1119" s="5" t="s">
        <v>2</v>
      </c>
      <c r="L1119" s="5" t="s">
        <v>270</v>
      </c>
      <c r="M1119" s="5" t="s">
        <v>271</v>
      </c>
      <c r="N1119" s="5" t="s">
        <v>272</v>
      </c>
      <c r="O1119" s="5">
        <v>9</v>
      </c>
      <c r="P1119" s="6">
        <v>993310</v>
      </c>
      <c r="Q1119" s="5">
        <v>607340</v>
      </c>
      <c r="R1119" s="5">
        <v>385970</v>
      </c>
      <c r="S1119" s="5">
        <v>0.43865999999999999</v>
      </c>
      <c r="T1119" s="5">
        <f>LOG(Table2[[#This Row],[ratio heavy to light normalized]],2)</f>
        <v>-1.1888249372711588</v>
      </c>
      <c r="U1119" s="5">
        <v>1.25243814513152E-2</v>
      </c>
    </row>
    <row r="1120" spans="1:21" x14ac:dyDescent="0.3">
      <c r="A1120" s="5" t="s">
        <v>48</v>
      </c>
      <c r="B1120" s="5" t="s">
        <v>49</v>
      </c>
      <c r="C1120" s="5">
        <v>498</v>
      </c>
      <c r="D1120" s="5">
        <v>498</v>
      </c>
      <c r="E1120" s="5">
        <v>1</v>
      </c>
      <c r="F1120" s="6">
        <v>44.299399999999999</v>
      </c>
      <c r="G1120" s="5">
        <v>1.15385E-2</v>
      </c>
      <c r="H1120" s="5">
        <v>44.298999999999999</v>
      </c>
      <c r="I1120" s="5"/>
      <c r="J1120" s="5">
        <v>1</v>
      </c>
      <c r="K1120" s="5" t="s">
        <v>2</v>
      </c>
      <c r="L1120" s="5" t="s">
        <v>115</v>
      </c>
      <c r="M1120" s="5" t="s">
        <v>116</v>
      </c>
      <c r="N1120" s="5" t="s">
        <v>117</v>
      </c>
      <c r="O1120" s="5">
        <v>8</v>
      </c>
      <c r="P1120" s="6">
        <v>7314500</v>
      </c>
      <c r="Q1120" s="5">
        <v>5032000</v>
      </c>
      <c r="R1120" s="5">
        <v>2282500</v>
      </c>
      <c r="S1120" s="5">
        <v>0.43768000000000001</v>
      </c>
      <c r="T1120" s="5">
        <f>LOG(Table2[[#This Row],[ratio heavy to light normalized]],2)</f>
        <v>-1.192051634054232</v>
      </c>
      <c r="U1120" s="5">
        <v>2.12371307453522E-4</v>
      </c>
    </row>
    <row r="1121" spans="1:21" x14ac:dyDescent="0.3">
      <c r="A1121" s="5" t="s">
        <v>48</v>
      </c>
      <c r="B1121" s="5" t="s">
        <v>49</v>
      </c>
      <c r="C1121" s="5">
        <v>118</v>
      </c>
      <c r="D1121" s="5">
        <v>118</v>
      </c>
      <c r="E1121" s="5">
        <v>1</v>
      </c>
      <c r="F1121" s="6">
        <v>64.4542</v>
      </c>
      <c r="G1121" s="7">
        <v>9.0723799999999998E-12</v>
      </c>
      <c r="H1121" s="5">
        <v>65.106999999999999</v>
      </c>
      <c r="I1121" s="5" t="s">
        <v>11</v>
      </c>
      <c r="J1121" s="5">
        <v>1</v>
      </c>
      <c r="K1121" s="5" t="s">
        <v>2</v>
      </c>
      <c r="L1121" s="5" t="s">
        <v>197</v>
      </c>
      <c r="M1121" s="5" t="s">
        <v>198</v>
      </c>
      <c r="N1121" s="5" t="s">
        <v>199</v>
      </c>
      <c r="O1121" s="5">
        <v>15</v>
      </c>
      <c r="P1121" s="6">
        <v>1561500</v>
      </c>
      <c r="Q1121" s="5">
        <v>1318600</v>
      </c>
      <c r="R1121" s="5">
        <v>242840</v>
      </c>
      <c r="S1121" s="5">
        <v>0.43736000000000003</v>
      </c>
      <c r="T1121" s="5">
        <f>LOG(Table2[[#This Row],[ratio heavy to light normalized]],2)</f>
        <v>-1.1931068142372283</v>
      </c>
      <c r="U1121" s="5">
        <v>6.0250212089701096E-3</v>
      </c>
    </row>
    <row r="1122" spans="1:21" x14ac:dyDescent="0.3">
      <c r="A1122" s="5" t="s">
        <v>263</v>
      </c>
      <c r="B1122" s="5" t="s">
        <v>264</v>
      </c>
      <c r="C1122" s="5">
        <v>214</v>
      </c>
      <c r="D1122" s="5">
        <v>214</v>
      </c>
      <c r="E1122" s="5">
        <v>1</v>
      </c>
      <c r="F1122" s="6">
        <v>67.562799999999996</v>
      </c>
      <c r="G1122" s="5">
        <v>1.82876E-4</v>
      </c>
      <c r="H1122" s="5">
        <v>67.563000000000002</v>
      </c>
      <c r="I1122" s="5" t="s">
        <v>11</v>
      </c>
      <c r="J1122" s="5">
        <v>1</v>
      </c>
      <c r="K1122" s="5" t="s">
        <v>2</v>
      </c>
      <c r="L1122" s="5" t="s">
        <v>265</v>
      </c>
      <c r="M1122" s="5" t="s">
        <v>266</v>
      </c>
      <c r="N1122" s="5" t="s">
        <v>267</v>
      </c>
      <c r="O1122" s="5">
        <v>4</v>
      </c>
      <c r="P1122" s="6">
        <v>609750</v>
      </c>
      <c r="Q1122" s="5">
        <v>367740</v>
      </c>
      <c r="R1122" s="5">
        <v>242010</v>
      </c>
      <c r="S1122" s="5">
        <v>0.43575000000000003</v>
      </c>
      <c r="T1122" s="5">
        <f>LOG(Table2[[#This Row],[ratio heavy to light normalized]],2)</f>
        <v>-1.198427430536402</v>
      </c>
      <c r="U1122" s="5">
        <v>1.1692600718791401E-2</v>
      </c>
    </row>
    <row r="1123" spans="1:21" x14ac:dyDescent="0.3">
      <c r="A1123" s="5" t="s">
        <v>258</v>
      </c>
      <c r="B1123" s="5" t="s">
        <v>259</v>
      </c>
      <c r="C1123" s="5">
        <v>28</v>
      </c>
      <c r="D1123" s="5">
        <v>28</v>
      </c>
      <c r="E1123" s="5">
        <v>1</v>
      </c>
      <c r="F1123" s="6">
        <v>44.563800000000001</v>
      </c>
      <c r="G1123" s="5">
        <v>1.12487E-2</v>
      </c>
      <c r="H1123" s="5">
        <v>44.564</v>
      </c>
      <c r="I1123" s="5"/>
      <c r="J1123" s="5">
        <v>1</v>
      </c>
      <c r="K1123" s="5" t="s">
        <v>2</v>
      </c>
      <c r="L1123" s="5" t="s">
        <v>260</v>
      </c>
      <c r="M1123" s="5" t="s">
        <v>261</v>
      </c>
      <c r="N1123" s="5" t="s">
        <v>262</v>
      </c>
      <c r="O1123" s="5">
        <v>9</v>
      </c>
      <c r="P1123" s="6">
        <v>440050</v>
      </c>
      <c r="Q1123" s="5">
        <v>302320</v>
      </c>
      <c r="R1123" s="5">
        <v>137730</v>
      </c>
      <c r="S1123" s="5">
        <v>0.43486000000000002</v>
      </c>
      <c r="T1123" s="5">
        <f>LOG(Table2[[#This Row],[ratio heavy to light normalized]],2)</f>
        <v>-1.2013770843048353</v>
      </c>
      <c r="U1123" s="5">
        <v>1.1447128760246301E-2</v>
      </c>
    </row>
    <row r="1124" spans="1:21" x14ac:dyDescent="0.3">
      <c r="A1124" s="5" t="s">
        <v>48</v>
      </c>
      <c r="B1124" s="5" t="s">
        <v>49</v>
      </c>
      <c r="C1124" s="5">
        <v>153</v>
      </c>
      <c r="D1124" s="5">
        <v>153</v>
      </c>
      <c r="E1124" s="5">
        <v>1</v>
      </c>
      <c r="F1124" s="6">
        <v>138.09800000000001</v>
      </c>
      <c r="G1124" s="7">
        <v>1.6979600000000001E-33</v>
      </c>
      <c r="H1124" s="5">
        <v>138.1</v>
      </c>
      <c r="I1124" s="5" t="s">
        <v>11</v>
      </c>
      <c r="J1124" s="5">
        <v>1</v>
      </c>
      <c r="K1124" s="5" t="s">
        <v>2</v>
      </c>
      <c r="L1124" s="5" t="s">
        <v>112</v>
      </c>
      <c r="M1124" s="5" t="s">
        <v>113</v>
      </c>
      <c r="N1124" s="5" t="s">
        <v>114</v>
      </c>
      <c r="O1124" s="5">
        <v>4</v>
      </c>
      <c r="P1124" s="6">
        <v>227520000</v>
      </c>
      <c r="Q1124" s="5">
        <v>148010000</v>
      </c>
      <c r="R1124" s="5">
        <v>79505000</v>
      </c>
      <c r="S1124" s="5">
        <v>0.43114000000000002</v>
      </c>
      <c r="T1124" s="5">
        <f>LOG(Table2[[#This Row],[ratio heavy to light normalized]],2)</f>
        <v>-1.213771676828006</v>
      </c>
      <c r="U1124" s="5">
        <v>1.5852618156571801E-4</v>
      </c>
    </row>
    <row r="1125" spans="1:21" x14ac:dyDescent="0.3">
      <c r="A1125" s="5" t="s">
        <v>233</v>
      </c>
      <c r="B1125" s="5" t="s">
        <v>234</v>
      </c>
      <c r="C1125" s="5">
        <v>182</v>
      </c>
      <c r="D1125" s="5">
        <v>182</v>
      </c>
      <c r="E1125" s="5">
        <v>1</v>
      </c>
      <c r="F1125" s="6">
        <v>70.977099999999993</v>
      </c>
      <c r="G1125" s="7">
        <v>3.5312799999999998E-5</v>
      </c>
      <c r="H1125" s="5">
        <v>70.977000000000004</v>
      </c>
      <c r="I1125" s="5" t="s">
        <v>11</v>
      </c>
      <c r="J1125" s="5">
        <v>1</v>
      </c>
      <c r="K1125" s="5" t="s">
        <v>2</v>
      </c>
      <c r="L1125" s="5" t="s">
        <v>235</v>
      </c>
      <c r="M1125" s="5" t="s">
        <v>236</v>
      </c>
      <c r="N1125" s="5" t="s">
        <v>237</v>
      </c>
      <c r="O1125" s="5">
        <v>2</v>
      </c>
      <c r="P1125" s="6">
        <v>348770</v>
      </c>
      <c r="Q1125" s="5">
        <v>210060</v>
      </c>
      <c r="R1125" s="5">
        <v>138710</v>
      </c>
      <c r="S1125" s="5">
        <v>0.42820000000000003</v>
      </c>
      <c r="T1125" s="5">
        <f>LOG(Table2[[#This Row],[ratio heavy to light normalized]],2)</f>
        <v>-1.2236432991639399</v>
      </c>
      <c r="U1125" s="5">
        <v>9.7370394864337798E-3</v>
      </c>
    </row>
    <row r="1126" spans="1:21" x14ac:dyDescent="0.3">
      <c r="A1126" s="5" t="s">
        <v>215</v>
      </c>
      <c r="B1126" s="5" t="s">
        <v>216</v>
      </c>
      <c r="C1126" s="5">
        <v>664</v>
      </c>
      <c r="D1126" s="5">
        <v>664</v>
      </c>
      <c r="E1126" s="5">
        <v>1</v>
      </c>
      <c r="F1126" s="6">
        <v>39.585500000000003</v>
      </c>
      <c r="G1126" s="5">
        <v>1.3475099999999999E-3</v>
      </c>
      <c r="H1126" s="5">
        <v>39.585000000000001</v>
      </c>
      <c r="I1126" s="5" t="s">
        <v>11</v>
      </c>
      <c r="J1126" s="5">
        <v>1</v>
      </c>
      <c r="K1126" s="5" t="s">
        <v>2</v>
      </c>
      <c r="L1126" s="5" t="s">
        <v>217</v>
      </c>
      <c r="M1126" s="5" t="s">
        <v>218</v>
      </c>
      <c r="N1126" s="5" t="s">
        <v>219</v>
      </c>
      <c r="O1126" s="5">
        <v>18</v>
      </c>
      <c r="P1126" s="6">
        <v>671700</v>
      </c>
      <c r="Q1126" s="5">
        <v>465910</v>
      </c>
      <c r="R1126" s="5">
        <v>205790</v>
      </c>
      <c r="S1126" s="5">
        <v>0.42371999999999999</v>
      </c>
      <c r="T1126" s="5">
        <f>LOG(Table2[[#This Row],[ratio heavy to light normalized]],2)</f>
        <v>-1.2388168679560552</v>
      </c>
      <c r="U1126" s="5">
        <v>8.7060294170517305E-3</v>
      </c>
    </row>
    <row r="1127" spans="1:21" x14ac:dyDescent="0.3">
      <c r="A1127" s="5" t="s">
        <v>96</v>
      </c>
      <c r="B1127" s="5" t="s">
        <v>97</v>
      </c>
      <c r="C1127" s="5">
        <v>33</v>
      </c>
      <c r="D1127" s="5">
        <v>33</v>
      </c>
      <c r="E1127" s="5">
        <v>1</v>
      </c>
      <c r="F1127" s="6">
        <v>47.574300000000001</v>
      </c>
      <c r="G1127" s="5">
        <v>1.2987299999999999E-3</v>
      </c>
      <c r="H1127" s="5">
        <v>47.573999999999998</v>
      </c>
      <c r="I1127" s="5"/>
      <c r="J1127" s="5">
        <v>1</v>
      </c>
      <c r="K1127" s="5" t="s">
        <v>2</v>
      </c>
      <c r="L1127" s="5" t="s">
        <v>98</v>
      </c>
      <c r="M1127" s="5" t="s">
        <v>99</v>
      </c>
      <c r="N1127" s="5" t="s">
        <v>100</v>
      </c>
      <c r="O1127" s="5">
        <v>5</v>
      </c>
      <c r="P1127" s="6">
        <v>3323700</v>
      </c>
      <c r="Q1127" s="5">
        <v>1957700</v>
      </c>
      <c r="R1127" s="5">
        <v>1365900</v>
      </c>
      <c r="S1127" s="5">
        <v>0.39849000000000001</v>
      </c>
      <c r="T1127" s="5">
        <f>LOG(Table2[[#This Row],[ratio heavy to light normalized]],2)</f>
        <v>-1.3273845742636543</v>
      </c>
      <c r="U1127" s="7">
        <v>3.1583770222700898E-5</v>
      </c>
    </row>
    <row r="1128" spans="1:21" x14ac:dyDescent="0.3">
      <c r="A1128" s="5" t="s">
        <v>179</v>
      </c>
      <c r="B1128" s="5" t="s">
        <v>180</v>
      </c>
      <c r="C1128" s="5">
        <v>170</v>
      </c>
      <c r="D1128" s="5">
        <v>170</v>
      </c>
      <c r="E1128" s="5">
        <v>1</v>
      </c>
      <c r="F1128" s="6">
        <v>65.092200000000005</v>
      </c>
      <c r="G1128" s="7">
        <v>1.7160700000000001E-9</v>
      </c>
      <c r="H1128" s="5">
        <v>65.091999999999999</v>
      </c>
      <c r="I1128" s="5"/>
      <c r="J1128" s="5">
        <v>1</v>
      </c>
      <c r="K1128" s="5" t="s">
        <v>2</v>
      </c>
      <c r="L1128" s="5" t="s">
        <v>181</v>
      </c>
      <c r="M1128" s="5" t="s">
        <v>182</v>
      </c>
      <c r="N1128" s="5" t="s">
        <v>183</v>
      </c>
      <c r="O1128" s="5">
        <v>14</v>
      </c>
      <c r="P1128" s="6">
        <v>457420</v>
      </c>
      <c r="Q1128" s="5">
        <v>185570</v>
      </c>
      <c r="R1128" s="5">
        <v>271850</v>
      </c>
      <c r="S1128" s="5">
        <v>0.39559</v>
      </c>
      <c r="T1128" s="5">
        <f>LOG(Table2[[#This Row],[ratio heavy to light normalized]],2)</f>
        <v>-1.3379221377811237</v>
      </c>
      <c r="U1128" s="5">
        <v>4.05422905609845E-3</v>
      </c>
    </row>
    <row r="1129" spans="1:21" x14ac:dyDescent="0.3">
      <c r="A1129" s="5" t="s">
        <v>4453</v>
      </c>
      <c r="B1129" s="5" t="s">
        <v>4454</v>
      </c>
      <c r="C1129" s="5">
        <v>203</v>
      </c>
      <c r="D1129" s="5">
        <v>203</v>
      </c>
      <c r="E1129" s="5">
        <v>1</v>
      </c>
      <c r="F1129" s="6">
        <v>21.420300000000001</v>
      </c>
      <c r="G1129" s="5">
        <v>0.292576</v>
      </c>
      <c r="H1129" s="5">
        <v>21.42</v>
      </c>
      <c r="I1129" s="5"/>
      <c r="J1129" s="5">
        <v>1</v>
      </c>
      <c r="K1129" s="5" t="s">
        <v>2</v>
      </c>
      <c r="L1129" s="5" t="s">
        <v>4455</v>
      </c>
      <c r="M1129" s="5" t="s">
        <v>4456</v>
      </c>
      <c r="N1129" s="5" t="s">
        <v>4457</v>
      </c>
      <c r="O1129" s="5">
        <v>11</v>
      </c>
      <c r="P1129" s="6">
        <v>898480</v>
      </c>
      <c r="Q1129" s="5">
        <v>536020</v>
      </c>
      <c r="R1129" s="5">
        <v>362470</v>
      </c>
      <c r="S1129" s="5">
        <v>0.87580999999999998</v>
      </c>
      <c r="T1129" s="5">
        <f>LOG(Table2[[#This Row],[ratio heavy to light normalized]],2)</f>
        <v>-0.19131017230843908</v>
      </c>
      <c r="U1129" s="5">
        <v>0.98259332908052999</v>
      </c>
    </row>
    <row r="1130" spans="1:21" x14ac:dyDescent="0.3">
      <c r="A1130" s="5" t="s">
        <v>3178</v>
      </c>
      <c r="B1130" s="5" t="s">
        <v>3179</v>
      </c>
      <c r="C1130" s="5">
        <v>28</v>
      </c>
      <c r="D1130" s="5">
        <v>28</v>
      </c>
      <c r="E1130" s="5">
        <v>1</v>
      </c>
      <c r="F1130" s="6">
        <v>17.465</v>
      </c>
      <c r="G1130" s="5">
        <v>0.99086200000000002</v>
      </c>
      <c r="H1130" s="5">
        <v>17.465</v>
      </c>
      <c r="I1130" s="5"/>
      <c r="J1130" s="5">
        <v>1</v>
      </c>
      <c r="K1130" s="5" t="s">
        <v>2</v>
      </c>
      <c r="L1130" s="5" t="s">
        <v>4458</v>
      </c>
      <c r="M1130" s="5" t="s">
        <v>4459</v>
      </c>
      <c r="N1130" s="5" t="s">
        <v>4460</v>
      </c>
      <c r="O1130" s="5">
        <v>12</v>
      </c>
      <c r="P1130" s="6">
        <v>641400</v>
      </c>
      <c r="Q1130" s="5">
        <v>371130</v>
      </c>
      <c r="R1130" s="5">
        <v>270270</v>
      </c>
      <c r="S1130" s="5">
        <v>0.86506000000000005</v>
      </c>
      <c r="T1130" s="5">
        <f>LOG(Table2[[#This Row],[ratio heavy to light normalized]],2)</f>
        <v>-0.20912789427620557</v>
      </c>
      <c r="U1130" s="5">
        <v>0.98366141708630805</v>
      </c>
    </row>
    <row r="1131" spans="1:21" x14ac:dyDescent="0.3">
      <c r="A1131" s="5" t="s">
        <v>174</v>
      </c>
      <c r="B1131" s="5" t="s">
        <v>175</v>
      </c>
      <c r="C1131" s="5">
        <v>82</v>
      </c>
      <c r="D1131" s="5">
        <v>82</v>
      </c>
      <c r="E1131" s="5">
        <v>1</v>
      </c>
      <c r="F1131" s="6">
        <v>63.708799999999997</v>
      </c>
      <c r="G1131" s="7">
        <v>1.72489E-7</v>
      </c>
      <c r="H1131" s="5">
        <v>63.709000000000003</v>
      </c>
      <c r="I1131" s="5" t="s">
        <v>11</v>
      </c>
      <c r="J1131" s="5">
        <v>1</v>
      </c>
      <c r="K1131" s="5" t="s">
        <v>2</v>
      </c>
      <c r="L1131" s="5" t="s">
        <v>176</v>
      </c>
      <c r="M1131" s="5" t="s">
        <v>177</v>
      </c>
      <c r="N1131" s="5" t="s">
        <v>178</v>
      </c>
      <c r="O1131" s="5">
        <v>8</v>
      </c>
      <c r="P1131" s="6">
        <v>156530</v>
      </c>
      <c r="Q1131" s="5">
        <v>99643</v>
      </c>
      <c r="R1131" s="5">
        <v>56886</v>
      </c>
      <c r="S1131" s="5">
        <v>0.39323999999999998</v>
      </c>
      <c r="T1131" s="5">
        <f>LOG(Table2[[#This Row],[ratio heavy to light normalized]],2)</f>
        <v>-1.3465180161728958</v>
      </c>
      <c r="U1131" s="5">
        <v>3.7838573576384998E-3</v>
      </c>
    </row>
    <row r="1132" spans="1:21" x14ac:dyDescent="0.3">
      <c r="A1132" s="5" t="s">
        <v>142</v>
      </c>
      <c r="B1132" s="5" t="s">
        <v>143</v>
      </c>
      <c r="C1132" s="5">
        <v>132</v>
      </c>
      <c r="D1132" s="5">
        <v>132</v>
      </c>
      <c r="E1132" s="5">
        <v>1</v>
      </c>
      <c r="F1132" s="6">
        <v>104.89400000000001</v>
      </c>
      <c r="G1132" s="7">
        <v>5.7300699999999997E-32</v>
      </c>
      <c r="H1132" s="5">
        <v>104.89</v>
      </c>
      <c r="I1132" s="5" t="s">
        <v>11</v>
      </c>
      <c r="J1132" s="5">
        <v>1</v>
      </c>
      <c r="K1132" s="5" t="s">
        <v>2</v>
      </c>
      <c r="L1132" s="5" t="s">
        <v>144</v>
      </c>
      <c r="M1132" s="5" t="s">
        <v>145</v>
      </c>
      <c r="N1132" s="5" t="s">
        <v>146</v>
      </c>
      <c r="O1132" s="5">
        <v>10</v>
      </c>
      <c r="P1132" s="6">
        <v>922540</v>
      </c>
      <c r="Q1132" s="5">
        <v>434510</v>
      </c>
      <c r="R1132" s="5">
        <v>488040</v>
      </c>
      <c r="S1132" s="5">
        <v>0.35930000000000001</v>
      </c>
      <c r="T1132" s="5">
        <f>LOG(Table2[[#This Row],[ratio heavy to light normalized]],2)</f>
        <v>-1.4767391595472852</v>
      </c>
      <c r="U1132" s="5">
        <v>1.2605143434640401E-3</v>
      </c>
    </row>
    <row r="1133" spans="1:21" x14ac:dyDescent="0.3">
      <c r="A1133" s="5" t="s">
        <v>76</v>
      </c>
      <c r="B1133" s="5" t="s">
        <v>77</v>
      </c>
      <c r="C1133" s="5">
        <v>282</v>
      </c>
      <c r="D1133" s="5">
        <v>282</v>
      </c>
      <c r="E1133" s="5">
        <v>1</v>
      </c>
      <c r="F1133" s="6">
        <v>34.9283</v>
      </c>
      <c r="G1133" s="7">
        <v>9.0593500000000004E-10</v>
      </c>
      <c r="H1133" s="5">
        <v>70.197000000000003</v>
      </c>
      <c r="I1133" s="5"/>
      <c r="J1133" s="5">
        <v>1</v>
      </c>
      <c r="K1133" s="5" t="s">
        <v>2</v>
      </c>
      <c r="L1133" s="5" t="s">
        <v>78</v>
      </c>
      <c r="M1133" s="5" t="s">
        <v>79</v>
      </c>
      <c r="N1133" s="5" t="s">
        <v>80</v>
      </c>
      <c r="O1133" s="5">
        <v>4</v>
      </c>
      <c r="P1133" s="6">
        <v>3614800</v>
      </c>
      <c r="Q1133" s="5">
        <v>2594300</v>
      </c>
      <c r="R1133" s="5">
        <v>1020400</v>
      </c>
      <c r="S1133" s="5">
        <v>0.35083999999999999</v>
      </c>
      <c r="T1133" s="5">
        <f>LOG(Table2[[#This Row],[ratio heavy to light normalized]],2)</f>
        <v>-1.5111148530573473</v>
      </c>
      <c r="U1133" s="7">
        <v>1.7235405790034801E-6</v>
      </c>
    </row>
    <row r="1134" spans="1:21" x14ac:dyDescent="0.3">
      <c r="A1134" s="5" t="s">
        <v>61</v>
      </c>
      <c r="B1134" s="5" t="s">
        <v>62</v>
      </c>
      <c r="C1134" s="5">
        <v>86</v>
      </c>
      <c r="D1134" s="5">
        <v>86</v>
      </c>
      <c r="E1134" s="5">
        <v>1</v>
      </c>
      <c r="F1134" s="6">
        <v>64.757400000000004</v>
      </c>
      <c r="G1134" s="7">
        <v>1.1943599999999999E-6</v>
      </c>
      <c r="H1134" s="5">
        <v>64.757000000000005</v>
      </c>
      <c r="I1134" s="5" t="s">
        <v>11</v>
      </c>
      <c r="J1134" s="5">
        <v>1</v>
      </c>
      <c r="K1134" s="5" t="s">
        <v>2</v>
      </c>
      <c r="L1134" s="5" t="s">
        <v>63</v>
      </c>
      <c r="M1134" s="5" t="s">
        <v>64</v>
      </c>
      <c r="N1134" s="5" t="s">
        <v>65</v>
      </c>
      <c r="O1134" s="5">
        <v>3</v>
      </c>
      <c r="P1134" s="6">
        <v>6076200</v>
      </c>
      <c r="Q1134" s="5">
        <v>3830000</v>
      </c>
      <c r="R1134" s="5">
        <v>2246200</v>
      </c>
      <c r="S1134" s="5">
        <v>0.32490999999999998</v>
      </c>
      <c r="T1134" s="5">
        <f>LOG(Table2[[#This Row],[ratio heavy to light normalized]],2)</f>
        <v>-1.6218879476238073</v>
      </c>
      <c r="U1134" s="7">
        <v>2.4932238859180201E-7</v>
      </c>
    </row>
    <row r="1135" spans="1:21" x14ac:dyDescent="0.3">
      <c r="A1135" s="5" t="s">
        <v>48</v>
      </c>
      <c r="B1135" s="5" t="s">
        <v>49</v>
      </c>
      <c r="C1135" s="5">
        <v>523</v>
      </c>
      <c r="D1135" s="5">
        <v>523</v>
      </c>
      <c r="E1135" s="5">
        <v>1</v>
      </c>
      <c r="F1135" s="6">
        <v>118.866</v>
      </c>
      <c r="G1135" s="7">
        <v>1.68769E-26</v>
      </c>
      <c r="H1135" s="5">
        <v>118.87</v>
      </c>
      <c r="I1135" s="5" t="s">
        <v>11</v>
      </c>
      <c r="J1135" s="5">
        <v>1</v>
      </c>
      <c r="K1135" s="5" t="s">
        <v>2</v>
      </c>
      <c r="L1135" s="5" t="s">
        <v>50</v>
      </c>
      <c r="M1135" s="5" t="s">
        <v>51</v>
      </c>
      <c r="N1135" s="5" t="s">
        <v>52</v>
      </c>
      <c r="O1135" s="5">
        <v>3</v>
      </c>
      <c r="P1135" s="6">
        <v>9096700</v>
      </c>
      <c r="Q1135" s="5">
        <v>7075200</v>
      </c>
      <c r="R1135" s="5">
        <v>2021500</v>
      </c>
      <c r="S1135" s="5">
        <v>0.29468</v>
      </c>
      <c r="T1135" s="5">
        <f>LOG(Table2[[#This Row],[ratio heavy to light normalized]],2)</f>
        <v>-1.7627789471501052</v>
      </c>
      <c r="U1135" s="7">
        <v>1.7513482983437599E-8</v>
      </c>
    </row>
    <row r="1136" spans="1:21" x14ac:dyDescent="0.3">
      <c r="A1136" s="5" t="s">
        <v>91</v>
      </c>
      <c r="B1136" s="5" t="s">
        <v>92</v>
      </c>
      <c r="C1136" s="5">
        <v>169</v>
      </c>
      <c r="D1136" s="5">
        <v>169</v>
      </c>
      <c r="E1136" s="5">
        <v>0.99571699999999996</v>
      </c>
      <c r="F1136" s="6">
        <v>23.664100000000001</v>
      </c>
      <c r="G1136" s="5">
        <v>5.5939399999999995E-4</v>
      </c>
      <c r="H1136" s="5">
        <v>37.56</v>
      </c>
      <c r="I1136" s="5" t="s">
        <v>11</v>
      </c>
      <c r="J1136" s="5">
        <v>1</v>
      </c>
      <c r="K1136" s="5" t="s">
        <v>2</v>
      </c>
      <c r="L1136" s="5" t="s">
        <v>93</v>
      </c>
      <c r="M1136" s="5" t="s">
        <v>94</v>
      </c>
      <c r="N1136" s="5" t="s">
        <v>95</v>
      </c>
      <c r="O1136" s="5">
        <v>23</v>
      </c>
      <c r="P1136" s="6">
        <v>1522400</v>
      </c>
      <c r="Q1136" s="5">
        <v>1124200</v>
      </c>
      <c r="R1136" s="5">
        <v>398160</v>
      </c>
      <c r="S1136" s="5">
        <v>0.29335</v>
      </c>
      <c r="T1136" s="5">
        <f>LOG(Table2[[#This Row],[ratio heavy to light normalized]],2)</f>
        <v>-1.7693051028780844</v>
      </c>
      <c r="U1136" s="7">
        <v>2.4511464986672799E-5</v>
      </c>
    </row>
    <row r="1137" spans="1:21" x14ac:dyDescent="0.3">
      <c r="A1137" s="5" t="s">
        <v>86</v>
      </c>
      <c r="B1137" s="5" t="s">
        <v>87</v>
      </c>
      <c r="C1137" s="5">
        <v>33</v>
      </c>
      <c r="D1137" s="5">
        <v>33</v>
      </c>
      <c r="E1137" s="5">
        <v>0.99998799999999999</v>
      </c>
      <c r="F1137" s="6">
        <v>49.137</v>
      </c>
      <c r="G1137" s="7">
        <v>2.72093E-9</v>
      </c>
      <c r="H1137" s="5">
        <v>91.855000000000004</v>
      </c>
      <c r="I1137" s="5" t="s">
        <v>11</v>
      </c>
      <c r="J1137" s="5">
        <v>1</v>
      </c>
      <c r="K1137" s="5" t="s">
        <v>2</v>
      </c>
      <c r="L1137" s="5" t="s">
        <v>88</v>
      </c>
      <c r="M1137" s="5" t="s">
        <v>89</v>
      </c>
      <c r="N1137" s="5" t="s">
        <v>90</v>
      </c>
      <c r="O1137" s="5">
        <v>10</v>
      </c>
      <c r="P1137" s="6">
        <v>1481200</v>
      </c>
      <c r="Q1137" s="5">
        <v>333040</v>
      </c>
      <c r="R1137" s="5">
        <v>1148100</v>
      </c>
      <c r="S1137" s="5">
        <v>0.27415</v>
      </c>
      <c r="T1137" s="5">
        <f>LOG(Table2[[#This Row],[ratio heavy to light normalized]],2)</f>
        <v>-1.8669626212526504</v>
      </c>
      <c r="U1137" s="7">
        <v>7.8631540235512094E-6</v>
      </c>
    </row>
    <row r="1138" spans="1:21" x14ac:dyDescent="0.3">
      <c r="A1138" s="5" t="s">
        <v>43</v>
      </c>
      <c r="B1138" s="5" t="s">
        <v>44</v>
      </c>
      <c r="C1138" s="5">
        <v>175</v>
      </c>
      <c r="D1138" s="5">
        <v>175</v>
      </c>
      <c r="E1138" s="5">
        <v>1</v>
      </c>
      <c r="F1138" s="6">
        <v>68.034000000000006</v>
      </c>
      <c r="G1138" s="7">
        <v>8.82934E-9</v>
      </c>
      <c r="H1138" s="5">
        <v>68.034000000000006</v>
      </c>
      <c r="I1138" s="5" t="s">
        <v>11</v>
      </c>
      <c r="J1138" s="5">
        <v>1</v>
      </c>
      <c r="K1138" s="5" t="s">
        <v>2</v>
      </c>
      <c r="L1138" s="5" t="s">
        <v>45</v>
      </c>
      <c r="M1138" s="5" t="s">
        <v>46</v>
      </c>
      <c r="N1138" s="5" t="s">
        <v>47</v>
      </c>
      <c r="O1138" s="5">
        <v>12</v>
      </c>
      <c r="P1138" s="6">
        <v>3879700</v>
      </c>
      <c r="Q1138" s="5">
        <v>3287400</v>
      </c>
      <c r="R1138" s="5">
        <v>592340</v>
      </c>
      <c r="S1138" s="5">
        <v>0.25927</v>
      </c>
      <c r="T1138" s="5">
        <f>LOG(Table2[[#This Row],[ratio heavy to light normalized]],2)</f>
        <v>-1.947472812549347</v>
      </c>
      <c r="U1138" s="7">
        <v>3.8534788416228799E-10</v>
      </c>
    </row>
    <row r="1139" spans="1:21" x14ac:dyDescent="0.3">
      <c r="A1139" s="5" t="s">
        <v>753</v>
      </c>
      <c r="B1139" s="5" t="s">
        <v>754</v>
      </c>
      <c r="C1139" s="5">
        <v>141</v>
      </c>
      <c r="D1139" s="5">
        <v>141</v>
      </c>
      <c r="E1139" s="5">
        <v>1</v>
      </c>
      <c r="F1139" s="6">
        <v>22.802700000000002</v>
      </c>
      <c r="G1139" s="5">
        <v>0.127273</v>
      </c>
      <c r="H1139" s="5">
        <v>29.722999999999999</v>
      </c>
      <c r="I1139" s="5" t="s">
        <v>11</v>
      </c>
      <c r="J1139" s="5">
        <v>1</v>
      </c>
      <c r="K1139" s="5" t="s">
        <v>2</v>
      </c>
      <c r="L1139" s="5" t="s">
        <v>4487</v>
      </c>
      <c r="M1139" s="5" t="s">
        <v>4488</v>
      </c>
      <c r="N1139" s="5" t="s">
        <v>4489</v>
      </c>
      <c r="O1139" s="5">
        <v>15</v>
      </c>
      <c r="P1139" s="6">
        <v>2164700</v>
      </c>
      <c r="Q1139" s="5">
        <v>1192900</v>
      </c>
      <c r="R1139" s="5">
        <v>971800</v>
      </c>
      <c r="S1139" s="5">
        <v>0.91857999999999995</v>
      </c>
      <c r="T1139" s="5">
        <f>LOG(Table2[[#This Row],[ratio heavy to light normalized]],2)</f>
        <v>-0.12252272240506726</v>
      </c>
      <c r="U1139" s="5">
        <v>0.99212543088040395</v>
      </c>
    </row>
    <row r="1140" spans="1:21" x14ac:dyDescent="0.3">
      <c r="A1140" s="5" t="s">
        <v>15</v>
      </c>
      <c r="B1140" s="5" t="s">
        <v>16</v>
      </c>
      <c r="C1140" s="5">
        <v>55</v>
      </c>
      <c r="D1140" s="5">
        <v>55</v>
      </c>
      <c r="E1140" s="5">
        <v>1</v>
      </c>
      <c r="F1140" s="6">
        <v>22.475000000000001</v>
      </c>
      <c r="G1140" s="7">
        <v>3.0167599999999998E-7</v>
      </c>
      <c r="H1140" s="5">
        <v>63.036999999999999</v>
      </c>
      <c r="I1140" s="5"/>
      <c r="J1140" s="5">
        <v>1</v>
      </c>
      <c r="K1140" s="5" t="s">
        <v>2</v>
      </c>
      <c r="L1140" s="5" t="s">
        <v>17</v>
      </c>
      <c r="M1140" s="5" t="s">
        <v>18</v>
      </c>
      <c r="N1140" s="5" t="s">
        <v>19</v>
      </c>
      <c r="O1140" s="5">
        <v>10</v>
      </c>
      <c r="P1140" s="6">
        <v>2713300</v>
      </c>
      <c r="Q1140" s="5">
        <v>2016100</v>
      </c>
      <c r="R1140" s="5">
        <v>697250</v>
      </c>
      <c r="S1140" s="5">
        <v>4.6890000000000001E-2</v>
      </c>
      <c r="T1140" s="5">
        <f>LOG(Table2[[#This Row],[ratio heavy to light normalized]],2)</f>
        <v>-4.4145759107159916</v>
      </c>
      <c r="U1140" s="7">
        <v>4.7222090308885599E-28</v>
      </c>
    </row>
    <row r="1141" spans="1:21" x14ac:dyDescent="0.3">
      <c r="A1141" s="5" t="s">
        <v>9</v>
      </c>
      <c r="B1141" s="5" t="s">
        <v>10</v>
      </c>
      <c r="C1141" s="5">
        <v>501</v>
      </c>
      <c r="D1141" s="5">
        <v>501</v>
      </c>
      <c r="E1141" s="5">
        <v>1</v>
      </c>
      <c r="F1141" s="6">
        <v>62.880200000000002</v>
      </c>
      <c r="G1141" s="5">
        <v>1.64439E-4</v>
      </c>
      <c r="H1141" s="5">
        <v>62.88</v>
      </c>
      <c r="I1141" s="5" t="s">
        <v>11</v>
      </c>
      <c r="J1141" s="5">
        <v>1</v>
      </c>
      <c r="K1141" s="5" t="s">
        <v>2</v>
      </c>
      <c r="L1141" s="5" t="s">
        <v>12</v>
      </c>
      <c r="M1141" s="5" t="s">
        <v>13</v>
      </c>
      <c r="N1141" s="5" t="s">
        <v>14</v>
      </c>
      <c r="O1141" s="5">
        <v>4</v>
      </c>
      <c r="P1141" s="6">
        <v>4227700</v>
      </c>
      <c r="Q1141" s="5">
        <v>4039800</v>
      </c>
      <c r="R1141" s="5">
        <v>187960</v>
      </c>
      <c r="S1141" s="5">
        <v>3.6922000000000003E-2</v>
      </c>
      <c r="T1141" s="5">
        <f>LOG(Table2[[#This Row],[ratio heavy to light normalized]],2)</f>
        <v>-4.7593754864136786</v>
      </c>
      <c r="U1141" s="7">
        <v>1.8591972872769E-32</v>
      </c>
    </row>
    <row r="1142" spans="1:21" x14ac:dyDescent="0.3">
      <c r="A1142" s="5" t="s">
        <v>4496</v>
      </c>
      <c r="B1142" s="5" t="s">
        <v>4497</v>
      </c>
      <c r="C1142" s="5">
        <v>234</v>
      </c>
      <c r="D1142" s="5">
        <v>234</v>
      </c>
      <c r="E1142" s="5">
        <v>1</v>
      </c>
      <c r="F1142" s="6">
        <v>32.564700000000002</v>
      </c>
      <c r="G1142" s="5">
        <v>0.25342700000000001</v>
      </c>
      <c r="H1142" s="5">
        <v>32.564999999999998</v>
      </c>
      <c r="I1142" s="5" t="s">
        <v>11</v>
      </c>
      <c r="J1142" s="5">
        <v>1</v>
      </c>
      <c r="K1142" s="5" t="s">
        <v>2</v>
      </c>
      <c r="L1142" s="5" t="s">
        <v>4498</v>
      </c>
      <c r="M1142" s="5" t="s">
        <v>4499</v>
      </c>
      <c r="N1142" s="5" t="s">
        <v>4500</v>
      </c>
      <c r="O1142" s="5">
        <v>10</v>
      </c>
      <c r="P1142" s="6">
        <v>0</v>
      </c>
      <c r="Q1142" s="5">
        <v>0</v>
      </c>
      <c r="R1142" s="5">
        <v>0</v>
      </c>
      <c r="S1142" s="5"/>
      <c r="T1142" s="5" t="e">
        <f>LOG(Table2[[#This Row],[ratio heavy to light normalized]],2)</f>
        <v>#NUM!</v>
      </c>
      <c r="U1142" s="5"/>
    </row>
    <row r="1143" spans="1:21" x14ac:dyDescent="0.3">
      <c r="A1143" s="5" t="s">
        <v>4501</v>
      </c>
      <c r="B1143" s="5" t="s">
        <v>4502</v>
      </c>
      <c r="C1143" s="5">
        <v>360</v>
      </c>
      <c r="D1143" s="5">
        <v>360</v>
      </c>
      <c r="E1143" s="5">
        <v>1</v>
      </c>
      <c r="F1143" s="6">
        <v>78.285399999999996</v>
      </c>
      <c r="G1143" s="7">
        <v>1.6920599999999999E-10</v>
      </c>
      <c r="H1143" s="5">
        <v>78.284999999999997</v>
      </c>
      <c r="I1143" s="5" t="s">
        <v>11</v>
      </c>
      <c r="J1143" s="5">
        <v>1</v>
      </c>
      <c r="K1143" s="5" t="s">
        <v>2</v>
      </c>
      <c r="L1143" s="5" t="s">
        <v>4503</v>
      </c>
      <c r="M1143" s="5" t="s">
        <v>4504</v>
      </c>
      <c r="N1143" s="5" t="s">
        <v>4505</v>
      </c>
      <c r="O1143" s="5">
        <v>5</v>
      </c>
      <c r="P1143" s="6">
        <v>186850</v>
      </c>
      <c r="Q1143" s="5">
        <v>186850</v>
      </c>
      <c r="R1143" s="5">
        <v>0</v>
      </c>
      <c r="S1143" s="5"/>
      <c r="T1143" s="5" t="e">
        <f>LOG(Table2[[#This Row],[ratio heavy to light normalized]],2)</f>
        <v>#NUM!</v>
      </c>
      <c r="U1143" s="5"/>
    </row>
    <row r="1144" spans="1:21" x14ac:dyDescent="0.3">
      <c r="A1144" s="5" t="s">
        <v>4501</v>
      </c>
      <c r="B1144" s="5" t="s">
        <v>4502</v>
      </c>
      <c r="C1144" s="5">
        <v>135</v>
      </c>
      <c r="D1144" s="5">
        <v>135</v>
      </c>
      <c r="E1144" s="5">
        <v>1</v>
      </c>
      <c r="F1144" s="6">
        <v>26.123999999999999</v>
      </c>
      <c r="G1144" s="5">
        <v>0.7419</v>
      </c>
      <c r="H1144" s="5">
        <v>26.123999999999999</v>
      </c>
      <c r="I1144" s="5"/>
      <c r="J1144" s="5">
        <v>1</v>
      </c>
      <c r="K1144" s="5" t="s">
        <v>2</v>
      </c>
      <c r="L1144" s="5" t="s">
        <v>4506</v>
      </c>
      <c r="M1144" s="5" t="s">
        <v>4507</v>
      </c>
      <c r="N1144" s="5" t="s">
        <v>4508</v>
      </c>
      <c r="O1144" s="5">
        <v>11</v>
      </c>
      <c r="P1144" s="6">
        <v>126980</v>
      </c>
      <c r="Q1144" s="5">
        <v>126980</v>
      </c>
      <c r="R1144" s="5">
        <v>0</v>
      </c>
      <c r="S1144" s="5"/>
      <c r="T1144" s="5" t="e">
        <f>LOG(Table2[[#This Row],[ratio heavy to light normalized]],2)</f>
        <v>#NUM!</v>
      </c>
      <c r="U1144" s="5"/>
    </row>
    <row r="1145" spans="1:21" x14ac:dyDescent="0.3">
      <c r="A1145" s="5" t="s">
        <v>1548</v>
      </c>
      <c r="B1145" s="5" t="s">
        <v>1549</v>
      </c>
      <c r="C1145" s="5">
        <v>45</v>
      </c>
      <c r="D1145" s="5">
        <v>45</v>
      </c>
      <c r="E1145" s="5">
        <v>1</v>
      </c>
      <c r="F1145" s="6">
        <v>42.6402</v>
      </c>
      <c r="G1145" s="5">
        <v>1.03349E-3</v>
      </c>
      <c r="H1145" s="5">
        <v>42.64</v>
      </c>
      <c r="I1145" s="5" t="s">
        <v>11</v>
      </c>
      <c r="J1145" s="5">
        <v>1</v>
      </c>
      <c r="K1145" s="5" t="s">
        <v>2</v>
      </c>
      <c r="L1145" s="5" t="s">
        <v>4509</v>
      </c>
      <c r="M1145" s="5" t="s">
        <v>4510</v>
      </c>
      <c r="N1145" s="5" t="s">
        <v>4511</v>
      </c>
      <c r="O1145" s="5">
        <v>8</v>
      </c>
      <c r="P1145" s="6">
        <v>321840</v>
      </c>
      <c r="Q1145" s="5">
        <v>321840</v>
      </c>
      <c r="R1145" s="5">
        <v>0</v>
      </c>
      <c r="S1145" s="5"/>
      <c r="T1145" s="5" t="e">
        <f>LOG(Table2[[#This Row],[ratio heavy to light normalized]],2)</f>
        <v>#NUM!</v>
      </c>
      <c r="U1145" s="5"/>
    </row>
    <row r="1146" spans="1:21" x14ac:dyDescent="0.3">
      <c r="A1146" s="5" t="s">
        <v>1548</v>
      </c>
      <c r="B1146" s="5" t="s">
        <v>1549</v>
      </c>
      <c r="C1146" s="5">
        <v>26</v>
      </c>
      <c r="D1146" s="5">
        <v>26</v>
      </c>
      <c r="E1146" s="5">
        <v>1</v>
      </c>
      <c r="F1146" s="6">
        <v>40.778199999999998</v>
      </c>
      <c r="G1146" s="5">
        <v>0.27735599999999999</v>
      </c>
      <c r="H1146" s="5">
        <v>40.777999999999999</v>
      </c>
      <c r="I1146" s="5" t="s">
        <v>11</v>
      </c>
      <c r="J1146" s="5">
        <v>1</v>
      </c>
      <c r="K1146" s="5" t="s">
        <v>2</v>
      </c>
      <c r="L1146" s="5" t="s">
        <v>4512</v>
      </c>
      <c r="M1146" s="5" t="s">
        <v>4513</v>
      </c>
      <c r="N1146" s="5" t="s">
        <v>4514</v>
      </c>
      <c r="O1146" s="5">
        <v>5</v>
      </c>
      <c r="P1146" s="6">
        <v>470790</v>
      </c>
      <c r="Q1146" s="5">
        <v>470790</v>
      </c>
      <c r="R1146" s="5">
        <v>0</v>
      </c>
      <c r="S1146" s="5"/>
      <c r="T1146" s="5" t="e">
        <f>LOG(Table2[[#This Row],[ratio heavy to light normalized]],2)</f>
        <v>#NUM!</v>
      </c>
      <c r="U1146" s="5"/>
    </row>
    <row r="1147" spans="1:21" x14ac:dyDescent="0.3">
      <c r="A1147" s="5" t="s">
        <v>643</v>
      </c>
      <c r="B1147" s="5" t="s">
        <v>644</v>
      </c>
      <c r="C1147" s="5">
        <v>36</v>
      </c>
      <c r="D1147" s="5">
        <v>36</v>
      </c>
      <c r="E1147" s="5">
        <v>1</v>
      </c>
      <c r="F1147" s="6">
        <v>142.97399999999999</v>
      </c>
      <c r="G1147" s="7">
        <v>5.9359399999999998E-118</v>
      </c>
      <c r="H1147" s="5">
        <v>142.97</v>
      </c>
      <c r="I1147" s="5"/>
      <c r="J1147" s="5">
        <v>1</v>
      </c>
      <c r="K1147" s="5" t="s">
        <v>2</v>
      </c>
      <c r="L1147" s="5" t="s">
        <v>4515</v>
      </c>
      <c r="M1147" s="5" t="s">
        <v>4516</v>
      </c>
      <c r="N1147" s="5" t="s">
        <v>4517</v>
      </c>
      <c r="O1147" s="5">
        <v>11</v>
      </c>
      <c r="P1147" s="6">
        <v>0</v>
      </c>
      <c r="Q1147" s="5">
        <v>0</v>
      </c>
      <c r="R1147" s="5">
        <v>0</v>
      </c>
      <c r="S1147" s="5"/>
      <c r="T1147" s="5" t="e">
        <f>LOG(Table2[[#This Row],[ratio heavy to light normalized]],2)</f>
        <v>#NUM!</v>
      </c>
      <c r="U1147" s="5"/>
    </row>
    <row r="1148" spans="1:21" x14ac:dyDescent="0.3">
      <c r="A1148" s="5" t="s">
        <v>4518</v>
      </c>
      <c r="B1148" s="5" t="s">
        <v>4519</v>
      </c>
      <c r="C1148" s="5">
        <v>180</v>
      </c>
      <c r="D1148" s="5">
        <v>180</v>
      </c>
      <c r="E1148" s="5">
        <v>1</v>
      </c>
      <c r="F1148" s="6">
        <v>28.2117</v>
      </c>
      <c r="G1148" s="5">
        <v>0.211008</v>
      </c>
      <c r="H1148" s="5">
        <v>28.212</v>
      </c>
      <c r="I1148" s="5" t="s">
        <v>11</v>
      </c>
      <c r="J1148" s="5">
        <v>1</v>
      </c>
      <c r="K1148" s="5" t="s">
        <v>2</v>
      </c>
      <c r="L1148" s="5" t="s">
        <v>4520</v>
      </c>
      <c r="M1148" s="5" t="s">
        <v>4521</v>
      </c>
      <c r="N1148" s="5" t="s">
        <v>4522</v>
      </c>
      <c r="O1148" s="5">
        <v>11</v>
      </c>
      <c r="P1148" s="6">
        <v>181770</v>
      </c>
      <c r="Q1148" s="5">
        <v>181770</v>
      </c>
      <c r="R1148" s="5">
        <v>0</v>
      </c>
      <c r="S1148" s="5"/>
      <c r="T1148" s="5" t="e">
        <f>LOG(Table2[[#This Row],[ratio heavy to light normalized]],2)</f>
        <v>#NUM!</v>
      </c>
      <c r="U1148" s="5"/>
    </row>
    <row r="1149" spans="1:21" x14ac:dyDescent="0.3">
      <c r="A1149" s="5" t="s">
        <v>4523</v>
      </c>
      <c r="B1149" s="5" t="s">
        <v>4524</v>
      </c>
      <c r="C1149" s="5">
        <v>12</v>
      </c>
      <c r="D1149" s="5">
        <v>12</v>
      </c>
      <c r="E1149" s="5">
        <v>1</v>
      </c>
      <c r="F1149" s="6">
        <v>96.947699999999998</v>
      </c>
      <c r="G1149" s="7">
        <v>3.2870700000000002E-11</v>
      </c>
      <c r="H1149" s="5">
        <v>96.947999999999993</v>
      </c>
      <c r="I1149" s="5" t="s">
        <v>11</v>
      </c>
      <c r="J1149" s="5">
        <v>1</v>
      </c>
      <c r="K1149" s="5" t="s">
        <v>2</v>
      </c>
      <c r="L1149" s="5" t="s">
        <v>4525</v>
      </c>
      <c r="M1149" s="5" t="s">
        <v>4526</v>
      </c>
      <c r="N1149" s="5" t="s">
        <v>4527</v>
      </c>
      <c r="O1149" s="5">
        <v>5</v>
      </c>
      <c r="P1149" s="6">
        <v>324220</v>
      </c>
      <c r="Q1149" s="5">
        <v>324220</v>
      </c>
      <c r="R1149" s="5">
        <v>0</v>
      </c>
      <c r="S1149" s="5"/>
      <c r="T1149" s="5" t="e">
        <f>LOG(Table2[[#This Row],[ratio heavy to light normalized]],2)</f>
        <v>#NUM!</v>
      </c>
      <c r="U1149" s="5"/>
    </row>
    <row r="1150" spans="1:21" x14ac:dyDescent="0.3">
      <c r="A1150" s="5" t="s">
        <v>293</v>
      </c>
      <c r="B1150" s="5" t="s">
        <v>294</v>
      </c>
      <c r="C1150" s="5">
        <v>284</v>
      </c>
      <c r="D1150" s="5">
        <v>284</v>
      </c>
      <c r="E1150" s="5">
        <v>1</v>
      </c>
      <c r="F1150" s="6">
        <v>20.736899999999999</v>
      </c>
      <c r="G1150" s="5">
        <v>1.5012799999999999</v>
      </c>
      <c r="H1150" s="5">
        <v>20.736999999999998</v>
      </c>
      <c r="I1150" s="5" t="s">
        <v>11</v>
      </c>
      <c r="J1150" s="5">
        <v>1</v>
      </c>
      <c r="K1150" s="5" t="s">
        <v>2</v>
      </c>
      <c r="L1150" s="5" t="s">
        <v>4528</v>
      </c>
      <c r="M1150" s="5" t="s">
        <v>4529</v>
      </c>
      <c r="N1150" s="5" t="s">
        <v>4530</v>
      </c>
      <c r="O1150" s="5">
        <v>14</v>
      </c>
      <c r="P1150" s="6">
        <v>291770</v>
      </c>
      <c r="Q1150" s="5">
        <v>291770</v>
      </c>
      <c r="R1150" s="5">
        <v>0</v>
      </c>
      <c r="S1150" s="5"/>
      <c r="T1150" s="5" t="e">
        <f>LOG(Table2[[#This Row],[ratio heavy to light normalized]],2)</f>
        <v>#NUM!</v>
      </c>
      <c r="U1150" s="5"/>
    </row>
    <row r="1151" spans="1:21" x14ac:dyDescent="0.3">
      <c r="A1151" s="5" t="s">
        <v>544</v>
      </c>
      <c r="B1151" s="5" t="s">
        <v>545</v>
      </c>
      <c r="C1151" s="5">
        <v>267</v>
      </c>
      <c r="D1151" s="5">
        <v>267</v>
      </c>
      <c r="E1151" s="5">
        <v>1</v>
      </c>
      <c r="F1151" s="6">
        <v>37.637300000000003</v>
      </c>
      <c r="G1151" s="5">
        <v>2.7674399999999998E-2</v>
      </c>
      <c r="H1151" s="5">
        <v>37.637</v>
      </c>
      <c r="I1151" s="5" t="s">
        <v>11</v>
      </c>
      <c r="J1151" s="5">
        <v>1</v>
      </c>
      <c r="K1151" s="5" t="s">
        <v>2</v>
      </c>
      <c r="L1151" s="5" t="s">
        <v>4531</v>
      </c>
      <c r="M1151" s="5" t="s">
        <v>4532</v>
      </c>
      <c r="N1151" s="5" t="s">
        <v>4533</v>
      </c>
      <c r="O1151" s="5">
        <v>7</v>
      </c>
      <c r="P1151" s="6">
        <v>443930</v>
      </c>
      <c r="Q1151" s="5">
        <v>443930</v>
      </c>
      <c r="R1151" s="5">
        <v>0</v>
      </c>
      <c r="S1151" s="5"/>
      <c r="T1151" s="5" t="e">
        <f>LOG(Table2[[#This Row],[ratio heavy to light normalized]],2)</f>
        <v>#NUM!</v>
      </c>
      <c r="U1151" s="5"/>
    </row>
    <row r="1152" spans="1:21" x14ac:dyDescent="0.3">
      <c r="A1152" s="5" t="s">
        <v>846</v>
      </c>
      <c r="B1152" s="5" t="s">
        <v>847</v>
      </c>
      <c r="C1152" s="5">
        <v>371</v>
      </c>
      <c r="D1152" s="5">
        <v>371</v>
      </c>
      <c r="E1152" s="5">
        <v>1</v>
      </c>
      <c r="F1152" s="6">
        <v>43.604500000000002</v>
      </c>
      <c r="G1152" s="5">
        <v>1.9846600000000001</v>
      </c>
      <c r="H1152" s="5">
        <v>43.603999999999999</v>
      </c>
      <c r="I1152" s="5" t="s">
        <v>11</v>
      </c>
      <c r="J1152" s="5">
        <v>1</v>
      </c>
      <c r="K1152" s="5" t="s">
        <v>2</v>
      </c>
      <c r="L1152" s="5" t="s">
        <v>4534</v>
      </c>
      <c r="M1152" s="5" t="s">
        <v>4535</v>
      </c>
      <c r="N1152" s="5" t="s">
        <v>4536</v>
      </c>
      <c r="O1152" s="5">
        <v>3</v>
      </c>
      <c r="P1152" s="6">
        <v>0</v>
      </c>
      <c r="Q1152" s="5">
        <v>0</v>
      </c>
      <c r="R1152" s="5">
        <v>0</v>
      </c>
      <c r="S1152" s="5"/>
      <c r="T1152" s="5" t="e">
        <f>LOG(Table2[[#This Row],[ratio heavy to light normalized]],2)</f>
        <v>#NUM!</v>
      </c>
      <c r="U1152" s="5"/>
    </row>
    <row r="1153" spans="1:21" x14ac:dyDescent="0.3">
      <c r="A1153" s="5" t="s">
        <v>4537</v>
      </c>
      <c r="B1153" s="5" t="s">
        <v>4538</v>
      </c>
      <c r="C1153" s="5">
        <v>407</v>
      </c>
      <c r="D1153" s="5">
        <v>407</v>
      </c>
      <c r="E1153" s="5">
        <v>1</v>
      </c>
      <c r="F1153" s="6">
        <v>42.209299999999999</v>
      </c>
      <c r="G1153" s="5">
        <v>5.48081E-3</v>
      </c>
      <c r="H1153" s="5">
        <v>42.209000000000003</v>
      </c>
      <c r="I1153" s="5" t="s">
        <v>11</v>
      </c>
      <c r="J1153" s="5">
        <v>1</v>
      </c>
      <c r="K1153" s="5" t="s">
        <v>2</v>
      </c>
      <c r="L1153" s="5" t="s">
        <v>4539</v>
      </c>
      <c r="M1153" s="5" t="s">
        <v>4540</v>
      </c>
      <c r="N1153" s="5" t="s">
        <v>4541</v>
      </c>
      <c r="O1153" s="5">
        <v>9</v>
      </c>
      <c r="P1153" s="6">
        <v>156480</v>
      </c>
      <c r="Q1153" s="5">
        <v>156480</v>
      </c>
      <c r="R1153" s="5">
        <v>0</v>
      </c>
      <c r="S1153" s="5"/>
      <c r="T1153" s="5" t="e">
        <f>LOG(Table2[[#This Row],[ratio heavy to light normalized]],2)</f>
        <v>#NUM!</v>
      </c>
      <c r="U1153" s="5"/>
    </row>
    <row r="1154" spans="1:21" x14ac:dyDescent="0.3">
      <c r="A1154" s="5" t="s">
        <v>4542</v>
      </c>
      <c r="B1154" s="5" t="s">
        <v>4543</v>
      </c>
      <c r="C1154" s="5">
        <v>91</v>
      </c>
      <c r="D1154" s="5">
        <v>91</v>
      </c>
      <c r="E1154" s="5">
        <v>1</v>
      </c>
      <c r="F1154" s="6">
        <v>64.203000000000003</v>
      </c>
      <c r="G1154" s="7">
        <v>3.5299700000000002E-7</v>
      </c>
      <c r="H1154" s="5">
        <v>64.203000000000003</v>
      </c>
      <c r="I1154" s="5" t="s">
        <v>11</v>
      </c>
      <c r="J1154" s="5">
        <v>1</v>
      </c>
      <c r="K1154" s="5" t="s">
        <v>2</v>
      </c>
      <c r="L1154" s="5" t="s">
        <v>4544</v>
      </c>
      <c r="M1154" s="5" t="s">
        <v>4545</v>
      </c>
      <c r="N1154" s="5" t="s">
        <v>4546</v>
      </c>
      <c r="O1154" s="5">
        <v>10</v>
      </c>
      <c r="P1154" s="6">
        <v>355040</v>
      </c>
      <c r="Q1154" s="5">
        <v>355040</v>
      </c>
      <c r="R1154" s="5">
        <v>0</v>
      </c>
      <c r="S1154" s="5"/>
      <c r="T1154" s="5" t="e">
        <f>LOG(Table2[[#This Row],[ratio heavy to light normalized]],2)</f>
        <v>#NUM!</v>
      </c>
      <c r="U1154" s="5"/>
    </row>
    <row r="1155" spans="1:21" x14ac:dyDescent="0.3">
      <c r="A1155" s="5" t="s">
        <v>4547</v>
      </c>
      <c r="B1155" s="5" t="s">
        <v>4548</v>
      </c>
      <c r="C1155" s="5">
        <v>149</v>
      </c>
      <c r="D1155" s="5">
        <v>149</v>
      </c>
      <c r="E1155" s="5">
        <v>1</v>
      </c>
      <c r="F1155" s="6">
        <v>37.053800000000003</v>
      </c>
      <c r="G1155" s="5">
        <v>3.1166699999999999E-2</v>
      </c>
      <c r="H1155" s="5">
        <v>37.054000000000002</v>
      </c>
      <c r="I1155" s="5" t="s">
        <v>11</v>
      </c>
      <c r="J1155" s="5">
        <v>1</v>
      </c>
      <c r="K1155" s="5" t="s">
        <v>2</v>
      </c>
      <c r="L1155" s="5" t="s">
        <v>4549</v>
      </c>
      <c r="M1155" s="5" t="s">
        <v>4550</v>
      </c>
      <c r="N1155" s="5" t="s">
        <v>4551</v>
      </c>
      <c r="O1155" s="5">
        <v>9</v>
      </c>
      <c r="P1155" s="6">
        <v>1072700</v>
      </c>
      <c r="Q1155" s="5">
        <v>1072700</v>
      </c>
      <c r="R1155" s="5">
        <v>0</v>
      </c>
      <c r="S1155" s="5"/>
      <c r="T1155" s="5" t="e">
        <f>LOG(Table2[[#This Row],[ratio heavy to light normalized]],2)</f>
        <v>#NUM!</v>
      </c>
      <c r="U1155" s="5"/>
    </row>
    <row r="1156" spans="1:21" x14ac:dyDescent="0.3">
      <c r="A1156" s="5" t="s">
        <v>996</v>
      </c>
      <c r="B1156" s="5" t="s">
        <v>997</v>
      </c>
      <c r="C1156" s="5">
        <v>605</v>
      </c>
      <c r="D1156" s="5">
        <v>605</v>
      </c>
      <c r="E1156" s="5">
        <v>1</v>
      </c>
      <c r="F1156" s="6">
        <v>67.416499999999999</v>
      </c>
      <c r="G1156" s="7">
        <v>1.65838E-9</v>
      </c>
      <c r="H1156" s="5">
        <v>67.415999999999997</v>
      </c>
      <c r="I1156" s="5" t="s">
        <v>11</v>
      </c>
      <c r="J1156" s="5">
        <v>1</v>
      </c>
      <c r="K1156" s="5" t="s">
        <v>2</v>
      </c>
      <c r="L1156" s="5" t="s">
        <v>4552</v>
      </c>
      <c r="M1156" s="5" t="s">
        <v>4553</v>
      </c>
      <c r="N1156" s="5" t="s">
        <v>4554</v>
      </c>
      <c r="O1156" s="5">
        <v>14</v>
      </c>
      <c r="P1156" s="6">
        <v>580510</v>
      </c>
      <c r="Q1156" s="5">
        <v>580510</v>
      </c>
      <c r="R1156" s="5">
        <v>0</v>
      </c>
      <c r="S1156" s="5"/>
      <c r="T1156" s="5" t="e">
        <f>LOG(Table2[[#This Row],[ratio heavy to light normalized]],2)</f>
        <v>#NUM!</v>
      </c>
      <c r="U1156" s="5"/>
    </row>
    <row r="1157" spans="1:21" x14ac:dyDescent="0.3">
      <c r="A1157" s="5" t="s">
        <v>331</v>
      </c>
      <c r="B1157" s="5" t="s">
        <v>332</v>
      </c>
      <c r="C1157" s="5">
        <v>28</v>
      </c>
      <c r="D1157" s="5">
        <v>28</v>
      </c>
      <c r="E1157" s="5">
        <v>1</v>
      </c>
      <c r="F1157" s="6">
        <v>51.345799999999997</v>
      </c>
      <c r="G1157" s="5">
        <v>4.9964000000000001E-2</v>
      </c>
      <c r="H1157" s="5">
        <v>51.345999999999997</v>
      </c>
      <c r="I1157" s="5" t="s">
        <v>11</v>
      </c>
      <c r="J1157" s="5">
        <v>1</v>
      </c>
      <c r="K1157" s="5" t="s">
        <v>2</v>
      </c>
      <c r="L1157" s="5" t="s">
        <v>4555</v>
      </c>
      <c r="M1157" s="5" t="s">
        <v>4556</v>
      </c>
      <c r="N1157" s="5" t="s">
        <v>4557</v>
      </c>
      <c r="O1157" s="5">
        <v>7</v>
      </c>
      <c r="P1157" s="6">
        <v>358180</v>
      </c>
      <c r="Q1157" s="5">
        <v>358180</v>
      </c>
      <c r="R1157" s="5">
        <v>0</v>
      </c>
      <c r="S1157" s="5"/>
      <c r="T1157" s="5" t="e">
        <f>LOG(Table2[[#This Row],[ratio heavy to light normalized]],2)</f>
        <v>#NUM!</v>
      </c>
      <c r="U1157" s="5"/>
    </row>
    <row r="1158" spans="1:21" x14ac:dyDescent="0.3">
      <c r="A1158" s="5" t="s">
        <v>331</v>
      </c>
      <c r="B1158" s="5" t="s">
        <v>332</v>
      </c>
      <c r="C1158" s="5">
        <v>17</v>
      </c>
      <c r="D1158" s="5">
        <v>17</v>
      </c>
      <c r="E1158" s="5">
        <v>1</v>
      </c>
      <c r="F1158" s="6">
        <v>105.863</v>
      </c>
      <c r="G1158" s="7">
        <v>1.4180100000000001E-33</v>
      </c>
      <c r="H1158" s="5">
        <v>105.86</v>
      </c>
      <c r="I1158" s="5" t="s">
        <v>11</v>
      </c>
      <c r="J1158" s="5">
        <v>1</v>
      </c>
      <c r="K1158" s="5" t="s">
        <v>2</v>
      </c>
      <c r="L1158" s="5" t="s">
        <v>4558</v>
      </c>
      <c r="M1158" s="5" t="s">
        <v>4559</v>
      </c>
      <c r="N1158" s="5" t="s">
        <v>4560</v>
      </c>
      <c r="O1158" s="5">
        <v>8</v>
      </c>
      <c r="P1158" s="6">
        <v>0</v>
      </c>
      <c r="Q1158" s="5">
        <v>0</v>
      </c>
      <c r="R1158" s="5">
        <v>0</v>
      </c>
      <c r="S1158" s="5"/>
      <c r="T1158" s="5" t="e">
        <f>LOG(Table2[[#This Row],[ratio heavy to light normalized]],2)</f>
        <v>#NUM!</v>
      </c>
      <c r="U1158" s="5"/>
    </row>
    <row r="1159" spans="1:21" x14ac:dyDescent="0.3">
      <c r="A1159" s="5" t="s">
        <v>2099</v>
      </c>
      <c r="B1159" s="5" t="s">
        <v>2100</v>
      </c>
      <c r="C1159" s="5">
        <v>76</v>
      </c>
      <c r="D1159" s="5">
        <v>76</v>
      </c>
      <c r="E1159" s="5">
        <v>1</v>
      </c>
      <c r="F1159" s="6">
        <v>32.391199999999998</v>
      </c>
      <c r="G1159" s="5">
        <v>7.6049900000000004E-2</v>
      </c>
      <c r="H1159" s="5">
        <v>32.390999999999998</v>
      </c>
      <c r="I1159" s="5"/>
      <c r="J1159" s="5">
        <v>1</v>
      </c>
      <c r="K1159" s="5" t="s">
        <v>2</v>
      </c>
      <c r="L1159" s="5" t="s">
        <v>4561</v>
      </c>
      <c r="M1159" s="5" t="s">
        <v>4562</v>
      </c>
      <c r="N1159" s="5" t="s">
        <v>4563</v>
      </c>
      <c r="O1159" s="5">
        <v>8</v>
      </c>
      <c r="P1159" s="6">
        <v>663200</v>
      </c>
      <c r="Q1159" s="5">
        <v>663200</v>
      </c>
      <c r="R1159" s="5">
        <v>0</v>
      </c>
      <c r="S1159" s="5"/>
      <c r="T1159" s="5" t="e">
        <f>LOG(Table2[[#This Row],[ratio heavy to light normalized]],2)</f>
        <v>#NUM!</v>
      </c>
      <c r="U1159" s="5"/>
    </row>
    <row r="1160" spans="1:21" x14ac:dyDescent="0.3">
      <c r="A1160" s="5" t="s">
        <v>4564</v>
      </c>
      <c r="B1160" s="5" t="s">
        <v>4565</v>
      </c>
      <c r="C1160" s="5">
        <v>398</v>
      </c>
      <c r="D1160" s="5">
        <v>398</v>
      </c>
      <c r="E1160" s="5">
        <v>1</v>
      </c>
      <c r="F1160" s="6">
        <v>17.895499999999998</v>
      </c>
      <c r="G1160" s="5">
        <v>1.8989100000000001</v>
      </c>
      <c r="H1160" s="5">
        <v>17.895</v>
      </c>
      <c r="I1160" s="5" t="s">
        <v>11</v>
      </c>
      <c r="J1160" s="5">
        <v>1</v>
      </c>
      <c r="K1160" s="5" t="s">
        <v>2</v>
      </c>
      <c r="L1160" s="5" t="s">
        <v>4566</v>
      </c>
      <c r="M1160" s="5" t="s">
        <v>4567</v>
      </c>
      <c r="N1160" s="5" t="s">
        <v>4568</v>
      </c>
      <c r="O1160" s="5">
        <v>11</v>
      </c>
      <c r="P1160" s="6">
        <v>241700</v>
      </c>
      <c r="Q1160" s="5">
        <v>241700</v>
      </c>
      <c r="R1160" s="5">
        <v>0</v>
      </c>
      <c r="S1160" s="5"/>
      <c r="T1160" s="5" t="e">
        <f>LOG(Table2[[#This Row],[ratio heavy to light normalized]],2)</f>
        <v>#NUM!</v>
      </c>
      <c r="U1160" s="5"/>
    </row>
    <row r="1161" spans="1:21" x14ac:dyDescent="0.3">
      <c r="A1161" s="5" t="s">
        <v>970</v>
      </c>
      <c r="B1161" s="5" t="s">
        <v>971</v>
      </c>
      <c r="C1161" s="5">
        <v>128</v>
      </c>
      <c r="D1161" s="5">
        <v>128</v>
      </c>
      <c r="E1161" s="5">
        <v>1</v>
      </c>
      <c r="F1161" s="6">
        <v>48.822800000000001</v>
      </c>
      <c r="G1161" s="5">
        <v>8.6039799999999996E-4</v>
      </c>
      <c r="H1161" s="5">
        <v>48.823</v>
      </c>
      <c r="I1161" s="5" t="s">
        <v>11</v>
      </c>
      <c r="J1161" s="5">
        <v>1</v>
      </c>
      <c r="K1161" s="5" t="s">
        <v>2</v>
      </c>
      <c r="L1161" s="5" t="s">
        <v>4569</v>
      </c>
      <c r="M1161" s="5" t="s">
        <v>4570</v>
      </c>
      <c r="N1161" s="5" t="s">
        <v>4571</v>
      </c>
      <c r="O1161" s="5">
        <v>15</v>
      </c>
      <c r="P1161" s="6">
        <v>644280</v>
      </c>
      <c r="Q1161" s="5">
        <v>644280</v>
      </c>
      <c r="R1161" s="5">
        <v>0</v>
      </c>
      <c r="S1161" s="5"/>
      <c r="T1161" s="5" t="e">
        <f>LOG(Table2[[#This Row],[ratio heavy to light normalized]],2)</f>
        <v>#NUM!</v>
      </c>
      <c r="U1161" s="5"/>
    </row>
    <row r="1162" spans="1:21" x14ac:dyDescent="0.3">
      <c r="A1162" s="5" t="s">
        <v>4572</v>
      </c>
      <c r="B1162" s="5" t="s">
        <v>4573</v>
      </c>
      <c r="C1162" s="5">
        <v>240</v>
      </c>
      <c r="D1162" s="5">
        <v>240</v>
      </c>
      <c r="E1162" s="5">
        <v>1</v>
      </c>
      <c r="F1162" s="6">
        <v>42.095399999999998</v>
      </c>
      <c r="G1162" s="5">
        <v>1.41549E-2</v>
      </c>
      <c r="H1162" s="5">
        <v>42.094999999999999</v>
      </c>
      <c r="I1162" s="5" t="s">
        <v>11</v>
      </c>
      <c r="J1162" s="5">
        <v>1</v>
      </c>
      <c r="K1162" s="5" t="s">
        <v>2</v>
      </c>
      <c r="L1162" s="5" t="s">
        <v>4574</v>
      </c>
      <c r="M1162" s="5" t="s">
        <v>4575</v>
      </c>
      <c r="N1162" s="5" t="s">
        <v>4576</v>
      </c>
      <c r="O1162" s="5">
        <v>5</v>
      </c>
      <c r="P1162" s="6">
        <v>298930</v>
      </c>
      <c r="Q1162" s="5">
        <v>298930</v>
      </c>
      <c r="R1162" s="5">
        <v>0</v>
      </c>
      <c r="S1162" s="5"/>
      <c r="T1162" s="5" t="e">
        <f>LOG(Table2[[#This Row],[ratio heavy to light normalized]],2)</f>
        <v>#NUM!</v>
      </c>
      <c r="U1162" s="5"/>
    </row>
    <row r="1163" spans="1:21" x14ac:dyDescent="0.3">
      <c r="A1163" s="5" t="s">
        <v>1675</v>
      </c>
      <c r="B1163" s="5" t="s">
        <v>1676</v>
      </c>
      <c r="C1163" s="5">
        <v>448</v>
      </c>
      <c r="D1163" s="5">
        <v>448</v>
      </c>
      <c r="E1163" s="5">
        <v>1</v>
      </c>
      <c r="F1163" s="6">
        <v>27.6434</v>
      </c>
      <c r="G1163" s="5">
        <v>0.37300699999999998</v>
      </c>
      <c r="H1163" s="5">
        <v>27.643000000000001</v>
      </c>
      <c r="I1163" s="5" t="s">
        <v>11</v>
      </c>
      <c r="J1163" s="5">
        <v>1</v>
      </c>
      <c r="K1163" s="5" t="s">
        <v>2</v>
      </c>
      <c r="L1163" s="5" t="s">
        <v>4577</v>
      </c>
      <c r="M1163" s="5" t="s">
        <v>4578</v>
      </c>
      <c r="N1163" s="5" t="s">
        <v>4579</v>
      </c>
      <c r="O1163" s="5">
        <v>2</v>
      </c>
      <c r="P1163" s="6">
        <v>137000</v>
      </c>
      <c r="Q1163" s="5">
        <v>137000</v>
      </c>
      <c r="R1163" s="5">
        <v>0</v>
      </c>
      <c r="S1163" s="5"/>
      <c r="T1163" s="5" t="e">
        <f>LOG(Table2[[#This Row],[ratio heavy to light normalized]],2)</f>
        <v>#NUM!</v>
      </c>
      <c r="U1163" s="5"/>
    </row>
    <row r="1164" spans="1:21" x14ac:dyDescent="0.3">
      <c r="A1164" s="5" t="s">
        <v>4580</v>
      </c>
      <c r="B1164" s="5" t="s">
        <v>4581</v>
      </c>
      <c r="C1164" s="5">
        <v>147</v>
      </c>
      <c r="D1164" s="5">
        <v>147</v>
      </c>
      <c r="E1164" s="5">
        <v>1</v>
      </c>
      <c r="F1164" s="6">
        <v>44.317500000000003</v>
      </c>
      <c r="G1164" s="5">
        <v>3.8362800000000002E-2</v>
      </c>
      <c r="H1164" s="5">
        <v>44.317999999999998</v>
      </c>
      <c r="I1164" s="5" t="s">
        <v>11</v>
      </c>
      <c r="J1164" s="5">
        <v>1</v>
      </c>
      <c r="K1164" s="5" t="s">
        <v>2</v>
      </c>
      <c r="L1164" s="5" t="s">
        <v>4582</v>
      </c>
      <c r="M1164" s="5" t="s">
        <v>4583</v>
      </c>
      <c r="N1164" s="5" t="s">
        <v>4584</v>
      </c>
      <c r="O1164" s="5">
        <v>7</v>
      </c>
      <c r="P1164" s="6">
        <v>206040</v>
      </c>
      <c r="Q1164" s="5">
        <v>206040</v>
      </c>
      <c r="R1164" s="5">
        <v>0</v>
      </c>
      <c r="S1164" s="5"/>
      <c r="T1164" s="5" t="e">
        <f>LOG(Table2[[#This Row],[ratio heavy to light normalized]],2)</f>
        <v>#NUM!</v>
      </c>
      <c r="U1164" s="5"/>
    </row>
    <row r="1165" spans="1:21" x14ac:dyDescent="0.3">
      <c r="A1165" s="5" t="s">
        <v>3851</v>
      </c>
      <c r="B1165" s="5" t="s">
        <v>3852</v>
      </c>
      <c r="C1165" s="5">
        <v>277</v>
      </c>
      <c r="D1165" s="5">
        <v>277</v>
      </c>
      <c r="E1165" s="5">
        <v>1</v>
      </c>
      <c r="F1165" s="6">
        <v>36.028700000000001</v>
      </c>
      <c r="G1165" s="5">
        <v>8.55765E-2</v>
      </c>
      <c r="H1165" s="5">
        <v>36.029000000000003</v>
      </c>
      <c r="I1165" s="5"/>
      <c r="J1165" s="5">
        <v>1</v>
      </c>
      <c r="K1165" s="5" t="s">
        <v>2</v>
      </c>
      <c r="L1165" s="5" t="s">
        <v>4585</v>
      </c>
      <c r="M1165" s="5" t="s">
        <v>4586</v>
      </c>
      <c r="N1165" s="5" t="s">
        <v>4587</v>
      </c>
      <c r="O1165" s="5">
        <v>7</v>
      </c>
      <c r="P1165" s="6">
        <v>304440</v>
      </c>
      <c r="Q1165" s="5">
        <v>304440</v>
      </c>
      <c r="R1165" s="5">
        <v>0</v>
      </c>
      <c r="S1165" s="5"/>
      <c r="T1165" s="5" t="e">
        <f>LOG(Table2[[#This Row],[ratio heavy to light normalized]],2)</f>
        <v>#NUM!</v>
      </c>
      <c r="U1165" s="5"/>
    </row>
    <row r="1166" spans="1:21" x14ac:dyDescent="0.3">
      <c r="A1166" s="5" t="s">
        <v>922</v>
      </c>
      <c r="B1166" s="5" t="s">
        <v>923</v>
      </c>
      <c r="C1166" s="5">
        <v>387</v>
      </c>
      <c r="D1166" s="5">
        <v>387</v>
      </c>
      <c r="E1166" s="5">
        <v>1</v>
      </c>
      <c r="F1166" s="6">
        <v>52.823300000000003</v>
      </c>
      <c r="G1166" s="5">
        <v>2.6642499999999998E-4</v>
      </c>
      <c r="H1166" s="5">
        <v>52.823</v>
      </c>
      <c r="I1166" s="5" t="s">
        <v>11</v>
      </c>
      <c r="J1166" s="5">
        <v>1</v>
      </c>
      <c r="K1166" s="5" t="s">
        <v>2</v>
      </c>
      <c r="L1166" s="5" t="s">
        <v>4588</v>
      </c>
      <c r="M1166" s="5" t="s">
        <v>4589</v>
      </c>
      <c r="N1166" s="5" t="s">
        <v>4590</v>
      </c>
      <c r="O1166" s="5">
        <v>5</v>
      </c>
      <c r="P1166" s="6">
        <v>167330</v>
      </c>
      <c r="Q1166" s="5">
        <v>167330</v>
      </c>
      <c r="R1166" s="5">
        <v>0</v>
      </c>
      <c r="S1166" s="5"/>
      <c r="T1166" s="5" t="e">
        <f>LOG(Table2[[#This Row],[ratio heavy to light normalized]],2)</f>
        <v>#NUM!</v>
      </c>
      <c r="U1166" s="5"/>
    </row>
    <row r="1167" spans="1:21" x14ac:dyDescent="0.3">
      <c r="A1167" s="5" t="s">
        <v>922</v>
      </c>
      <c r="B1167" s="5" t="s">
        <v>923</v>
      </c>
      <c r="C1167" s="5">
        <v>375</v>
      </c>
      <c r="D1167" s="5">
        <v>375</v>
      </c>
      <c r="E1167" s="5">
        <v>1</v>
      </c>
      <c r="F1167" s="6">
        <v>56.225099999999998</v>
      </c>
      <c r="G1167" s="5">
        <v>1.4546699999999999E-2</v>
      </c>
      <c r="H1167" s="5">
        <v>56.225000000000001</v>
      </c>
      <c r="I1167" s="5" t="s">
        <v>11</v>
      </c>
      <c r="J1167" s="5">
        <v>1</v>
      </c>
      <c r="K1167" s="5" t="s">
        <v>2</v>
      </c>
      <c r="L1167" s="5" t="s">
        <v>4591</v>
      </c>
      <c r="M1167" s="5" t="s">
        <v>4592</v>
      </c>
      <c r="N1167" s="5" t="s">
        <v>4593</v>
      </c>
      <c r="O1167" s="5">
        <v>5</v>
      </c>
      <c r="P1167" s="6">
        <v>0</v>
      </c>
      <c r="Q1167" s="5">
        <v>0</v>
      </c>
      <c r="R1167" s="5">
        <v>0</v>
      </c>
      <c r="S1167" s="5"/>
      <c r="T1167" s="5" t="e">
        <f>LOG(Table2[[#This Row],[ratio heavy to light normalized]],2)</f>
        <v>#NUM!</v>
      </c>
      <c r="U1167" s="5"/>
    </row>
    <row r="1168" spans="1:21" x14ac:dyDescent="0.3">
      <c r="A1168" s="5" t="s">
        <v>4594</v>
      </c>
      <c r="B1168" s="5" t="s">
        <v>4595</v>
      </c>
      <c r="C1168" s="5">
        <v>291</v>
      </c>
      <c r="D1168" s="5">
        <v>291</v>
      </c>
      <c r="E1168" s="5">
        <v>1</v>
      </c>
      <c r="F1168" s="6">
        <v>90.220500000000001</v>
      </c>
      <c r="G1168" s="7">
        <v>7.1061699999999993E-15</v>
      </c>
      <c r="H1168" s="5">
        <v>90.22</v>
      </c>
      <c r="I1168" s="5" t="s">
        <v>11</v>
      </c>
      <c r="J1168" s="5">
        <v>1</v>
      </c>
      <c r="K1168" s="5" t="s">
        <v>2</v>
      </c>
      <c r="L1168" s="5" t="s">
        <v>4596</v>
      </c>
      <c r="M1168" s="5" t="s">
        <v>4597</v>
      </c>
      <c r="N1168" s="5" t="s">
        <v>4598</v>
      </c>
      <c r="O1168" s="5">
        <v>17</v>
      </c>
      <c r="P1168" s="6">
        <v>2636700</v>
      </c>
      <c r="Q1168" s="5">
        <v>2636700</v>
      </c>
      <c r="R1168" s="5">
        <v>0</v>
      </c>
      <c r="S1168" s="5"/>
      <c r="T1168" s="5" t="e">
        <f>LOG(Table2[[#This Row],[ratio heavy to light normalized]],2)</f>
        <v>#NUM!</v>
      </c>
      <c r="U1168" s="5"/>
    </row>
    <row r="1169" spans="1:21" x14ac:dyDescent="0.3">
      <c r="A1169" s="5" t="s">
        <v>1136</v>
      </c>
      <c r="B1169" s="5" t="s">
        <v>1137</v>
      </c>
      <c r="C1169" s="5">
        <v>342</v>
      </c>
      <c r="D1169" s="5">
        <v>342</v>
      </c>
      <c r="E1169" s="5">
        <v>1</v>
      </c>
      <c r="F1169" s="6">
        <v>33.3005</v>
      </c>
      <c r="G1169" s="5">
        <v>0.144647</v>
      </c>
      <c r="H1169" s="5">
        <v>33.301000000000002</v>
      </c>
      <c r="I1169" s="5" t="s">
        <v>11</v>
      </c>
      <c r="J1169" s="5">
        <v>1</v>
      </c>
      <c r="K1169" s="5" t="s">
        <v>2</v>
      </c>
      <c r="L1169" s="5" t="s">
        <v>4599</v>
      </c>
      <c r="M1169" s="5" t="s">
        <v>4600</v>
      </c>
      <c r="N1169" s="5" t="s">
        <v>4601</v>
      </c>
      <c r="O1169" s="5">
        <v>8</v>
      </c>
      <c r="P1169" s="6">
        <v>312230</v>
      </c>
      <c r="Q1169" s="5">
        <v>312230</v>
      </c>
      <c r="R1169" s="5">
        <v>0</v>
      </c>
      <c r="S1169" s="5"/>
      <c r="T1169" s="5" t="e">
        <f>LOG(Table2[[#This Row],[ratio heavy to light normalized]],2)</f>
        <v>#NUM!</v>
      </c>
      <c r="U1169" s="5"/>
    </row>
    <row r="1170" spans="1:21" x14ac:dyDescent="0.3">
      <c r="A1170" s="5" t="s">
        <v>4602</v>
      </c>
      <c r="B1170" s="5" t="s">
        <v>4603</v>
      </c>
      <c r="C1170" s="5">
        <v>81</v>
      </c>
      <c r="D1170" s="5">
        <v>81</v>
      </c>
      <c r="E1170" s="5">
        <v>1</v>
      </c>
      <c r="F1170" s="6">
        <v>48.283000000000001</v>
      </c>
      <c r="G1170" s="5">
        <v>5.3026499999999997E-2</v>
      </c>
      <c r="H1170" s="5">
        <v>48.283000000000001</v>
      </c>
      <c r="I1170" s="5"/>
      <c r="J1170" s="5">
        <v>1</v>
      </c>
      <c r="K1170" s="5" t="s">
        <v>2</v>
      </c>
      <c r="L1170" s="5" t="s">
        <v>4604</v>
      </c>
      <c r="M1170" s="5" t="s">
        <v>4605</v>
      </c>
      <c r="N1170" s="5" t="s">
        <v>4606</v>
      </c>
      <c r="O1170" s="5">
        <v>6</v>
      </c>
      <c r="P1170" s="6">
        <v>177520</v>
      </c>
      <c r="Q1170" s="5">
        <v>177520</v>
      </c>
      <c r="R1170" s="5">
        <v>0</v>
      </c>
      <c r="S1170" s="5"/>
      <c r="T1170" s="5" t="e">
        <f>LOG(Table2[[#This Row],[ratio heavy to light normalized]],2)</f>
        <v>#NUM!</v>
      </c>
      <c r="U1170" s="5"/>
    </row>
    <row r="1171" spans="1:21" x14ac:dyDescent="0.3">
      <c r="A1171" s="5" t="s">
        <v>268</v>
      </c>
      <c r="B1171" s="5" t="s">
        <v>269</v>
      </c>
      <c r="C1171" s="5">
        <v>164</v>
      </c>
      <c r="D1171" s="5">
        <v>164</v>
      </c>
      <c r="E1171" s="5">
        <v>1</v>
      </c>
      <c r="F1171" s="6">
        <v>61.212000000000003</v>
      </c>
      <c r="G1171" s="7">
        <v>1.2355600000000001E-5</v>
      </c>
      <c r="H1171" s="5">
        <v>61.212000000000003</v>
      </c>
      <c r="I1171" s="5"/>
      <c r="J1171" s="5">
        <v>1</v>
      </c>
      <c r="K1171" s="5" t="s">
        <v>2</v>
      </c>
      <c r="L1171" s="5" t="s">
        <v>4607</v>
      </c>
      <c r="M1171" s="5" t="s">
        <v>4608</v>
      </c>
      <c r="N1171" s="5" t="s">
        <v>4609</v>
      </c>
      <c r="O1171" s="5">
        <v>11</v>
      </c>
      <c r="P1171" s="6">
        <v>193060</v>
      </c>
      <c r="Q1171" s="5">
        <v>193060</v>
      </c>
      <c r="R1171" s="5">
        <v>0</v>
      </c>
      <c r="S1171" s="5"/>
      <c r="T1171" s="5" t="e">
        <f>LOG(Table2[[#This Row],[ratio heavy to light normalized]],2)</f>
        <v>#NUM!</v>
      </c>
      <c r="U1171" s="5"/>
    </row>
    <row r="1172" spans="1:21" x14ac:dyDescent="0.3">
      <c r="A1172" s="5" t="s">
        <v>407</v>
      </c>
      <c r="B1172" s="5" t="s">
        <v>408</v>
      </c>
      <c r="C1172" s="5">
        <v>1189</v>
      </c>
      <c r="D1172" s="5">
        <v>1189</v>
      </c>
      <c r="E1172" s="5">
        <v>1</v>
      </c>
      <c r="F1172" s="6">
        <v>52.576599999999999</v>
      </c>
      <c r="G1172" s="5">
        <v>2.6308400000000002E-4</v>
      </c>
      <c r="H1172" s="5">
        <v>52.576999999999998</v>
      </c>
      <c r="I1172" s="5"/>
      <c r="J1172" s="5">
        <v>1</v>
      </c>
      <c r="K1172" s="5" t="s">
        <v>2</v>
      </c>
      <c r="L1172" s="5" t="s">
        <v>4610</v>
      </c>
      <c r="M1172" s="5" t="s">
        <v>4611</v>
      </c>
      <c r="N1172" s="5" t="s">
        <v>4612</v>
      </c>
      <c r="O1172" s="5">
        <v>29</v>
      </c>
      <c r="P1172" s="6">
        <v>18766000</v>
      </c>
      <c r="Q1172" s="5">
        <v>18766000</v>
      </c>
      <c r="R1172" s="5">
        <v>0</v>
      </c>
      <c r="S1172" s="5"/>
      <c r="T1172" s="5" t="e">
        <f>LOG(Table2[[#This Row],[ratio heavy to light normalized]],2)</f>
        <v>#NUM!</v>
      </c>
      <c r="U1172" s="5"/>
    </row>
    <row r="1173" spans="1:21" x14ac:dyDescent="0.3">
      <c r="A1173" s="5" t="s">
        <v>407</v>
      </c>
      <c r="B1173" s="5" t="s">
        <v>408</v>
      </c>
      <c r="C1173" s="5">
        <v>1082</v>
      </c>
      <c r="D1173" s="5">
        <v>1082</v>
      </c>
      <c r="E1173" s="5">
        <v>1</v>
      </c>
      <c r="F1173" s="6">
        <v>70.100099999999998</v>
      </c>
      <c r="G1173" s="7">
        <v>2.2419700000000002E-5</v>
      </c>
      <c r="H1173" s="5">
        <v>70.099999999999994</v>
      </c>
      <c r="I1173" s="5" t="s">
        <v>11</v>
      </c>
      <c r="J1173" s="5">
        <v>1</v>
      </c>
      <c r="K1173" s="5" t="s">
        <v>2</v>
      </c>
      <c r="L1173" s="5" t="s">
        <v>4613</v>
      </c>
      <c r="M1173" s="5" t="s">
        <v>4614</v>
      </c>
      <c r="N1173" s="5" t="s">
        <v>4615</v>
      </c>
      <c r="O1173" s="5">
        <v>6</v>
      </c>
      <c r="P1173" s="6">
        <v>746720</v>
      </c>
      <c r="Q1173" s="5">
        <v>746720</v>
      </c>
      <c r="R1173" s="5">
        <v>0</v>
      </c>
      <c r="S1173" s="5"/>
      <c r="T1173" s="5" t="e">
        <f>LOG(Table2[[#This Row],[ratio heavy to light normalized]],2)</f>
        <v>#NUM!</v>
      </c>
      <c r="U1173" s="5"/>
    </row>
    <row r="1174" spans="1:21" x14ac:dyDescent="0.3">
      <c r="A1174" s="5" t="s">
        <v>15</v>
      </c>
      <c r="B1174" s="5" t="s">
        <v>16</v>
      </c>
      <c r="C1174" s="5">
        <v>29</v>
      </c>
      <c r="D1174" s="5">
        <v>29</v>
      </c>
      <c r="E1174" s="5">
        <v>1</v>
      </c>
      <c r="F1174" s="6">
        <v>71.295699999999997</v>
      </c>
      <c r="G1174" s="5">
        <v>3.9271100000000001E-4</v>
      </c>
      <c r="H1174" s="5">
        <v>71.296000000000006</v>
      </c>
      <c r="I1174" s="5" t="s">
        <v>11</v>
      </c>
      <c r="J1174" s="5">
        <v>1</v>
      </c>
      <c r="K1174" s="5" t="s">
        <v>2</v>
      </c>
      <c r="L1174" s="5" t="s">
        <v>4616</v>
      </c>
      <c r="M1174" s="5" t="s">
        <v>4617</v>
      </c>
      <c r="N1174" s="5" t="s">
        <v>4618</v>
      </c>
      <c r="O1174" s="5">
        <v>3</v>
      </c>
      <c r="P1174" s="6">
        <v>0</v>
      </c>
      <c r="Q1174" s="5">
        <v>0</v>
      </c>
      <c r="R1174" s="5">
        <v>0</v>
      </c>
      <c r="S1174" s="5"/>
      <c r="T1174" s="5" t="e">
        <f>LOG(Table2[[#This Row],[ratio heavy to light normalized]],2)</f>
        <v>#NUM!</v>
      </c>
      <c r="U1174" s="5"/>
    </row>
    <row r="1175" spans="1:21" x14ac:dyDescent="0.3">
      <c r="A1175" s="5" t="s">
        <v>564</v>
      </c>
      <c r="B1175" s="5" t="s">
        <v>565</v>
      </c>
      <c r="C1175" s="5">
        <v>814</v>
      </c>
      <c r="D1175" s="5">
        <v>814</v>
      </c>
      <c r="E1175" s="5">
        <v>1</v>
      </c>
      <c r="F1175" s="6">
        <v>47.959499999999998</v>
      </c>
      <c r="G1175" s="5">
        <v>5.5445000000000001E-2</v>
      </c>
      <c r="H1175" s="5">
        <v>47.96</v>
      </c>
      <c r="I1175" s="5" t="s">
        <v>11</v>
      </c>
      <c r="J1175" s="5">
        <v>1</v>
      </c>
      <c r="K1175" s="5" t="s">
        <v>2</v>
      </c>
      <c r="L1175" s="5" t="s">
        <v>4619</v>
      </c>
      <c r="M1175" s="5" t="s">
        <v>4620</v>
      </c>
      <c r="N1175" s="5" t="s">
        <v>4621</v>
      </c>
      <c r="O1175" s="5">
        <v>6</v>
      </c>
      <c r="P1175" s="6">
        <v>234840</v>
      </c>
      <c r="Q1175" s="5">
        <v>234840</v>
      </c>
      <c r="R1175" s="5">
        <v>0</v>
      </c>
      <c r="S1175" s="5"/>
      <c r="T1175" s="5" t="e">
        <f>LOG(Table2[[#This Row],[ratio heavy to light normalized]],2)</f>
        <v>#NUM!</v>
      </c>
      <c r="U1175" s="5"/>
    </row>
    <row r="1176" spans="1:21" x14ac:dyDescent="0.3">
      <c r="A1176" s="5" t="s">
        <v>1090</v>
      </c>
      <c r="B1176" s="5" t="s">
        <v>1091</v>
      </c>
      <c r="C1176" s="5">
        <v>119</v>
      </c>
      <c r="D1176" s="5">
        <v>119</v>
      </c>
      <c r="E1176" s="5">
        <v>1</v>
      </c>
      <c r="F1176" s="6">
        <v>24.409600000000001</v>
      </c>
      <c r="G1176" s="5">
        <v>0.81626399999999999</v>
      </c>
      <c r="H1176" s="5">
        <v>24.41</v>
      </c>
      <c r="I1176" s="5" t="s">
        <v>11</v>
      </c>
      <c r="J1176" s="5">
        <v>1</v>
      </c>
      <c r="K1176" s="5" t="s">
        <v>2</v>
      </c>
      <c r="L1176" s="5" t="s">
        <v>4622</v>
      </c>
      <c r="M1176" s="5" t="s">
        <v>4623</v>
      </c>
      <c r="N1176" s="5" t="s">
        <v>4624</v>
      </c>
      <c r="O1176" s="5">
        <v>12</v>
      </c>
      <c r="P1176" s="6">
        <v>139940</v>
      </c>
      <c r="Q1176" s="5">
        <v>139940</v>
      </c>
      <c r="R1176" s="5">
        <v>0</v>
      </c>
      <c r="S1176" s="5"/>
      <c r="T1176" s="5" t="e">
        <f>LOG(Table2[[#This Row],[ratio heavy to light normalized]],2)</f>
        <v>#NUM!</v>
      </c>
      <c r="U1176" s="5"/>
    </row>
    <row r="1177" spans="1:21" x14ac:dyDescent="0.3">
      <c r="A1177" s="5" t="s">
        <v>730</v>
      </c>
      <c r="B1177" s="5" t="s">
        <v>731</v>
      </c>
      <c r="C1177" s="5">
        <v>62</v>
      </c>
      <c r="D1177" s="5">
        <v>62</v>
      </c>
      <c r="E1177" s="5">
        <v>1</v>
      </c>
      <c r="F1177" s="6">
        <v>87.363</v>
      </c>
      <c r="G1177" s="7">
        <v>1.7682899999999999E-10</v>
      </c>
      <c r="H1177" s="5">
        <v>87.363</v>
      </c>
      <c r="I1177" s="5"/>
      <c r="J1177" s="5">
        <v>1</v>
      </c>
      <c r="K1177" s="5" t="s">
        <v>2</v>
      </c>
      <c r="L1177" s="5" t="s">
        <v>4625</v>
      </c>
      <c r="M1177" s="5" t="s">
        <v>4626</v>
      </c>
      <c r="N1177" s="5" t="s">
        <v>4627</v>
      </c>
      <c r="O1177" s="5">
        <v>11</v>
      </c>
      <c r="P1177" s="6">
        <v>802570</v>
      </c>
      <c r="Q1177" s="5">
        <v>802570</v>
      </c>
      <c r="R1177" s="5">
        <v>0</v>
      </c>
      <c r="S1177" s="5"/>
      <c r="T1177" s="5" t="e">
        <f>LOG(Table2[[#This Row],[ratio heavy to light normalized]],2)</f>
        <v>#NUM!</v>
      </c>
      <c r="U1177" s="5"/>
    </row>
    <row r="1178" spans="1:21" x14ac:dyDescent="0.3">
      <c r="A1178" s="5" t="s">
        <v>4628</v>
      </c>
      <c r="B1178" s="5" t="s">
        <v>4629</v>
      </c>
      <c r="C1178" s="5">
        <v>533</v>
      </c>
      <c r="D1178" s="5">
        <v>533</v>
      </c>
      <c r="E1178" s="5">
        <v>1</v>
      </c>
      <c r="F1178" s="6">
        <v>46.818899999999999</v>
      </c>
      <c r="G1178" s="5">
        <v>6.3971700000000006E-2</v>
      </c>
      <c r="H1178" s="5">
        <v>46.819000000000003</v>
      </c>
      <c r="I1178" s="5" t="s">
        <v>11</v>
      </c>
      <c r="J1178" s="5">
        <v>1</v>
      </c>
      <c r="K1178" s="5" t="s">
        <v>2</v>
      </c>
      <c r="L1178" s="5" t="s">
        <v>4630</v>
      </c>
      <c r="M1178" s="5" t="s">
        <v>4631</v>
      </c>
      <c r="N1178" s="5" t="s">
        <v>4632</v>
      </c>
      <c r="O1178" s="5">
        <v>2</v>
      </c>
      <c r="P1178" s="6">
        <v>177930</v>
      </c>
      <c r="Q1178" s="5">
        <v>177930</v>
      </c>
      <c r="R1178" s="5">
        <v>0</v>
      </c>
      <c r="S1178" s="5"/>
      <c r="T1178" s="5" t="e">
        <f>LOG(Table2[[#This Row],[ratio heavy to light normalized]],2)</f>
        <v>#NUM!</v>
      </c>
      <c r="U1178" s="5"/>
    </row>
    <row r="1179" spans="1:21" x14ac:dyDescent="0.3">
      <c r="A1179" s="5" t="s">
        <v>2372</v>
      </c>
      <c r="B1179" s="5" t="s">
        <v>2373</v>
      </c>
      <c r="C1179" s="5">
        <v>292</v>
      </c>
      <c r="D1179" s="5">
        <v>292</v>
      </c>
      <c r="E1179" s="5">
        <v>1</v>
      </c>
      <c r="F1179" s="6">
        <v>24.558399999999999</v>
      </c>
      <c r="G1179" s="5">
        <v>1.0628200000000001</v>
      </c>
      <c r="H1179" s="5">
        <v>24.558</v>
      </c>
      <c r="I1179" s="5"/>
      <c r="J1179" s="5">
        <v>1</v>
      </c>
      <c r="K1179" s="5" t="s">
        <v>2</v>
      </c>
      <c r="L1179" s="5" t="s">
        <v>4633</v>
      </c>
      <c r="M1179" s="5" t="s">
        <v>4634</v>
      </c>
      <c r="N1179" s="5" t="s">
        <v>4635</v>
      </c>
      <c r="O1179" s="5">
        <v>8</v>
      </c>
      <c r="P1179" s="6">
        <v>133990</v>
      </c>
      <c r="Q1179" s="5">
        <v>133990</v>
      </c>
      <c r="R1179" s="5">
        <v>0</v>
      </c>
      <c r="S1179" s="5"/>
      <c r="T1179" s="5" t="e">
        <f>LOG(Table2[[#This Row],[ratio heavy to light normalized]],2)</f>
        <v>#NUM!</v>
      </c>
      <c r="U1179" s="5"/>
    </row>
    <row r="1180" spans="1:21" x14ac:dyDescent="0.3">
      <c r="A1180" s="5" t="s">
        <v>468</v>
      </c>
      <c r="B1180" s="5" t="s">
        <v>469</v>
      </c>
      <c r="C1180" s="5">
        <v>842</v>
      </c>
      <c r="D1180" s="5">
        <v>842</v>
      </c>
      <c r="E1180" s="5">
        <v>1</v>
      </c>
      <c r="F1180" s="6">
        <v>27.8504</v>
      </c>
      <c r="G1180" s="5">
        <v>0.15338299999999999</v>
      </c>
      <c r="H1180" s="5">
        <v>27.85</v>
      </c>
      <c r="I1180" s="5"/>
      <c r="J1180" s="5">
        <v>1</v>
      </c>
      <c r="K1180" s="5" t="s">
        <v>2</v>
      </c>
      <c r="L1180" s="5" t="s">
        <v>4636</v>
      </c>
      <c r="M1180" s="5" t="s">
        <v>4637</v>
      </c>
      <c r="N1180" s="5" t="s">
        <v>4638</v>
      </c>
      <c r="O1180" s="5">
        <v>16</v>
      </c>
      <c r="P1180" s="6">
        <v>0</v>
      </c>
      <c r="Q1180" s="5">
        <v>0</v>
      </c>
      <c r="R1180" s="5">
        <v>0</v>
      </c>
      <c r="S1180" s="5"/>
      <c r="T1180" s="5" t="e">
        <f>LOG(Table2[[#This Row],[ratio heavy to light normalized]],2)</f>
        <v>#NUM!</v>
      </c>
      <c r="U1180" s="5"/>
    </row>
    <row r="1181" spans="1:21" x14ac:dyDescent="0.3">
      <c r="A1181" s="5" t="s">
        <v>4639</v>
      </c>
      <c r="B1181" s="5" t="s">
        <v>4640</v>
      </c>
      <c r="C1181" s="5">
        <v>22</v>
      </c>
      <c r="D1181" s="5">
        <v>22</v>
      </c>
      <c r="E1181" s="5">
        <v>1</v>
      </c>
      <c r="F1181" s="6">
        <v>57.019300000000001</v>
      </c>
      <c r="G1181" s="5">
        <v>1.2797899999999999E-2</v>
      </c>
      <c r="H1181" s="5">
        <v>57.018999999999998</v>
      </c>
      <c r="I1181" s="5"/>
      <c r="J1181" s="5">
        <v>1</v>
      </c>
      <c r="K1181" s="5" t="s">
        <v>2</v>
      </c>
      <c r="L1181" s="5" t="s">
        <v>4641</v>
      </c>
      <c r="M1181" s="5" t="s">
        <v>4642</v>
      </c>
      <c r="N1181" s="5" t="s">
        <v>4643</v>
      </c>
      <c r="O1181" s="5">
        <v>9</v>
      </c>
      <c r="P1181" s="6">
        <v>0</v>
      </c>
      <c r="Q1181" s="5">
        <v>0</v>
      </c>
      <c r="R1181" s="5">
        <v>0</v>
      </c>
      <c r="S1181" s="5"/>
      <c r="T1181" s="5" t="e">
        <f>LOG(Table2[[#This Row],[ratio heavy to light normalized]],2)</f>
        <v>#NUM!</v>
      </c>
      <c r="U1181" s="5"/>
    </row>
    <row r="1182" spans="1:21" x14ac:dyDescent="0.3">
      <c r="A1182" s="5" t="s">
        <v>4644</v>
      </c>
      <c r="B1182" s="5" t="s">
        <v>4645</v>
      </c>
      <c r="C1182" s="5">
        <v>232</v>
      </c>
      <c r="D1182" s="5">
        <v>232</v>
      </c>
      <c r="E1182" s="5">
        <v>1</v>
      </c>
      <c r="F1182" s="6">
        <v>26.123999999999999</v>
      </c>
      <c r="G1182" s="5">
        <v>1.68927</v>
      </c>
      <c r="H1182" s="5">
        <v>26.123999999999999</v>
      </c>
      <c r="I1182" s="5"/>
      <c r="J1182" s="5">
        <v>1</v>
      </c>
      <c r="K1182" s="5" t="s">
        <v>2</v>
      </c>
      <c r="L1182" s="5" t="s">
        <v>4646</v>
      </c>
      <c r="M1182" s="5" t="s">
        <v>4647</v>
      </c>
      <c r="N1182" s="5" t="s">
        <v>4648</v>
      </c>
      <c r="O1182" s="5">
        <v>10</v>
      </c>
      <c r="P1182" s="6">
        <v>0</v>
      </c>
      <c r="Q1182" s="5">
        <v>0</v>
      </c>
      <c r="R1182" s="5">
        <v>0</v>
      </c>
      <c r="S1182" s="5"/>
      <c r="T1182" s="5" t="e">
        <f>LOG(Table2[[#This Row],[ratio heavy to light normalized]],2)</f>
        <v>#NUM!</v>
      </c>
      <c r="U1182" s="5"/>
    </row>
    <row r="1183" spans="1:21" x14ac:dyDescent="0.3">
      <c r="A1183" s="5" t="s">
        <v>3002</v>
      </c>
      <c r="B1183" s="5" t="s">
        <v>3003</v>
      </c>
      <c r="C1183" s="5">
        <v>479</v>
      </c>
      <c r="D1183" s="5">
        <v>479</v>
      </c>
      <c r="E1183" s="5">
        <v>1</v>
      </c>
      <c r="F1183" s="6">
        <v>24.1906</v>
      </c>
      <c r="G1183" s="5">
        <v>1.13822</v>
      </c>
      <c r="H1183" s="5">
        <v>24.190999999999999</v>
      </c>
      <c r="I1183" s="5" t="s">
        <v>11</v>
      </c>
      <c r="J1183" s="5">
        <v>1</v>
      </c>
      <c r="K1183" s="5" t="s">
        <v>2</v>
      </c>
      <c r="L1183" s="5" t="s">
        <v>4649</v>
      </c>
      <c r="M1183" s="5" t="s">
        <v>4650</v>
      </c>
      <c r="N1183" s="5" t="s">
        <v>4651</v>
      </c>
      <c r="O1183" s="5">
        <v>6</v>
      </c>
      <c r="P1183" s="6">
        <v>351590</v>
      </c>
      <c r="Q1183" s="5">
        <v>351590</v>
      </c>
      <c r="R1183" s="5">
        <v>0</v>
      </c>
      <c r="S1183" s="5"/>
      <c r="T1183" s="5" t="e">
        <f>LOG(Table2[[#This Row],[ratio heavy to light normalized]],2)</f>
        <v>#NUM!</v>
      </c>
      <c r="U1183" s="5"/>
    </row>
    <row r="1184" spans="1:21" x14ac:dyDescent="0.3">
      <c r="A1184" s="5" t="s">
        <v>4652</v>
      </c>
      <c r="B1184" s="5" t="s">
        <v>4653</v>
      </c>
      <c r="C1184" s="5">
        <v>70</v>
      </c>
      <c r="D1184" s="5">
        <v>70</v>
      </c>
      <c r="E1184" s="5">
        <v>1</v>
      </c>
      <c r="F1184" s="6">
        <v>24.558399999999999</v>
      </c>
      <c r="G1184" s="5">
        <v>1.0628200000000001</v>
      </c>
      <c r="H1184" s="5">
        <v>24.558</v>
      </c>
      <c r="I1184" s="5"/>
      <c r="J1184" s="5">
        <v>1</v>
      </c>
      <c r="K1184" s="5" t="s">
        <v>2</v>
      </c>
      <c r="L1184" s="5" t="s">
        <v>4654</v>
      </c>
      <c r="M1184" s="5" t="s">
        <v>4655</v>
      </c>
      <c r="N1184" s="5" t="s">
        <v>4656</v>
      </c>
      <c r="O1184" s="5">
        <v>9</v>
      </c>
      <c r="P1184" s="6">
        <v>160740</v>
      </c>
      <c r="Q1184" s="5">
        <v>160740</v>
      </c>
      <c r="R1184" s="5">
        <v>0</v>
      </c>
      <c r="S1184" s="5"/>
      <c r="T1184" s="5" t="e">
        <f>LOG(Table2[[#This Row],[ratio heavy to light normalized]],2)</f>
        <v>#NUM!</v>
      </c>
      <c r="U1184" s="5"/>
    </row>
    <row r="1185" spans="1:21" x14ac:dyDescent="0.3">
      <c r="A1185" s="5" t="s">
        <v>2640</v>
      </c>
      <c r="B1185" s="5" t="s">
        <v>2641</v>
      </c>
      <c r="C1185" s="5">
        <v>58</v>
      </c>
      <c r="D1185" s="5">
        <v>58</v>
      </c>
      <c r="E1185" s="5">
        <v>1</v>
      </c>
      <c r="F1185" s="6">
        <v>99.170500000000004</v>
      </c>
      <c r="G1185" s="7">
        <v>7.6518100000000003E-9</v>
      </c>
      <c r="H1185" s="5">
        <v>99.171000000000006</v>
      </c>
      <c r="I1185" s="5" t="s">
        <v>11</v>
      </c>
      <c r="J1185" s="5">
        <v>1</v>
      </c>
      <c r="K1185" s="5" t="s">
        <v>2</v>
      </c>
      <c r="L1185" s="5" t="s">
        <v>4657</v>
      </c>
      <c r="M1185" s="5" t="s">
        <v>4658</v>
      </c>
      <c r="N1185" s="5" t="s">
        <v>4659</v>
      </c>
      <c r="O1185" s="5">
        <v>5</v>
      </c>
      <c r="P1185" s="6">
        <v>392490</v>
      </c>
      <c r="Q1185" s="5">
        <v>392490</v>
      </c>
      <c r="R1185" s="5">
        <v>0</v>
      </c>
      <c r="S1185" s="5"/>
      <c r="T1185" s="5" t="e">
        <f>LOG(Table2[[#This Row],[ratio heavy to light normalized]],2)</f>
        <v>#NUM!</v>
      </c>
      <c r="U1185" s="5"/>
    </row>
    <row r="1186" spans="1:21" x14ac:dyDescent="0.3">
      <c r="A1186" s="5" t="s">
        <v>1267</v>
      </c>
      <c r="B1186" s="5" t="s">
        <v>1268</v>
      </c>
      <c r="C1186" s="5">
        <v>368</v>
      </c>
      <c r="D1186" s="5">
        <v>368</v>
      </c>
      <c r="E1186" s="5">
        <v>1</v>
      </c>
      <c r="F1186" s="6">
        <v>53.277900000000002</v>
      </c>
      <c r="G1186" s="7">
        <v>1.19662E-6</v>
      </c>
      <c r="H1186" s="5">
        <v>61.648000000000003</v>
      </c>
      <c r="I1186" s="5" t="s">
        <v>11</v>
      </c>
      <c r="J1186" s="5">
        <v>1</v>
      </c>
      <c r="K1186" s="5" t="s">
        <v>2</v>
      </c>
      <c r="L1186" s="5" t="s">
        <v>4660</v>
      </c>
      <c r="M1186" s="5" t="s">
        <v>4661</v>
      </c>
      <c r="N1186" s="5" t="s">
        <v>4662</v>
      </c>
      <c r="O1186" s="5">
        <v>15</v>
      </c>
      <c r="P1186" s="6">
        <v>969590</v>
      </c>
      <c r="Q1186" s="5">
        <v>969590</v>
      </c>
      <c r="R1186" s="5">
        <v>0</v>
      </c>
      <c r="S1186" s="5"/>
      <c r="T1186" s="5" t="e">
        <f>LOG(Table2[[#This Row],[ratio heavy to light normalized]],2)</f>
        <v>#NUM!</v>
      </c>
      <c r="U1186" s="5"/>
    </row>
    <row r="1187" spans="1:21" x14ac:dyDescent="0.3">
      <c r="A1187" s="5" t="s">
        <v>3529</v>
      </c>
      <c r="B1187" s="5" t="s">
        <v>3530</v>
      </c>
      <c r="C1187" s="5">
        <v>98</v>
      </c>
      <c r="D1187" s="5">
        <v>98</v>
      </c>
      <c r="E1187" s="5">
        <v>1</v>
      </c>
      <c r="F1187" s="6">
        <v>51.527799999999999</v>
      </c>
      <c r="G1187" s="5">
        <v>1.2700700000000001E-2</v>
      </c>
      <c r="H1187" s="5">
        <v>51.527999999999999</v>
      </c>
      <c r="I1187" s="5" t="s">
        <v>11</v>
      </c>
      <c r="J1187" s="5">
        <v>1</v>
      </c>
      <c r="K1187" s="5" t="s">
        <v>2</v>
      </c>
      <c r="L1187" s="5" t="s">
        <v>4663</v>
      </c>
      <c r="M1187" s="5" t="s">
        <v>4664</v>
      </c>
      <c r="N1187" s="5" t="s">
        <v>4665</v>
      </c>
      <c r="O1187" s="5">
        <v>4</v>
      </c>
      <c r="P1187" s="6">
        <v>207460</v>
      </c>
      <c r="Q1187" s="5">
        <v>207460</v>
      </c>
      <c r="R1187" s="5">
        <v>0</v>
      </c>
      <c r="S1187" s="5"/>
      <c r="T1187" s="5" t="e">
        <f>LOG(Table2[[#This Row],[ratio heavy to light normalized]],2)</f>
        <v>#NUM!</v>
      </c>
      <c r="U1187" s="5"/>
    </row>
    <row r="1188" spans="1:21" x14ac:dyDescent="0.3">
      <c r="A1188" s="5" t="s">
        <v>4666</v>
      </c>
      <c r="B1188" s="5" t="s">
        <v>4667</v>
      </c>
      <c r="C1188" s="5">
        <v>564</v>
      </c>
      <c r="D1188" s="5">
        <v>564</v>
      </c>
      <c r="E1188" s="5">
        <v>1</v>
      </c>
      <c r="F1188" s="6">
        <v>48.948300000000003</v>
      </c>
      <c r="G1188" s="5">
        <v>4.0164900000000002E-3</v>
      </c>
      <c r="H1188" s="5">
        <v>48.948</v>
      </c>
      <c r="I1188" s="5" t="s">
        <v>11</v>
      </c>
      <c r="J1188" s="5">
        <v>1</v>
      </c>
      <c r="K1188" s="5" t="s">
        <v>2</v>
      </c>
      <c r="L1188" s="5" t="s">
        <v>4668</v>
      </c>
      <c r="M1188" s="5" t="s">
        <v>4669</v>
      </c>
      <c r="N1188" s="5" t="s">
        <v>4670</v>
      </c>
      <c r="O1188" s="5">
        <v>9</v>
      </c>
      <c r="P1188" s="6">
        <v>211610</v>
      </c>
      <c r="Q1188" s="5">
        <v>211610</v>
      </c>
      <c r="R1188" s="5">
        <v>0</v>
      </c>
      <c r="S1188" s="5"/>
      <c r="T1188" s="5" t="e">
        <f>LOG(Table2[[#This Row],[ratio heavy to light normalized]],2)</f>
        <v>#NUM!</v>
      </c>
      <c r="U1188" s="5"/>
    </row>
    <row r="1189" spans="1:21" x14ac:dyDescent="0.3">
      <c r="A1189" s="5" t="s">
        <v>574</v>
      </c>
      <c r="B1189" s="5" t="s">
        <v>575</v>
      </c>
      <c r="C1189" s="5">
        <v>17</v>
      </c>
      <c r="D1189" s="5">
        <v>17</v>
      </c>
      <c r="E1189" s="5">
        <v>1</v>
      </c>
      <c r="F1189" s="6">
        <v>44.299399999999999</v>
      </c>
      <c r="G1189" s="5">
        <v>1.16407E-2</v>
      </c>
      <c r="H1189" s="5">
        <v>44.298999999999999</v>
      </c>
      <c r="I1189" s="5" t="s">
        <v>11</v>
      </c>
      <c r="J1189" s="5">
        <v>1</v>
      </c>
      <c r="K1189" s="5" t="s">
        <v>2</v>
      </c>
      <c r="L1189" s="5" t="s">
        <v>4671</v>
      </c>
      <c r="M1189" s="5" t="s">
        <v>4672</v>
      </c>
      <c r="N1189" s="5" t="s">
        <v>4673</v>
      </c>
      <c r="O1189" s="5">
        <v>4</v>
      </c>
      <c r="P1189" s="6">
        <v>140080</v>
      </c>
      <c r="Q1189" s="5">
        <v>140080</v>
      </c>
      <c r="R1189" s="5">
        <v>0</v>
      </c>
      <c r="S1189" s="5"/>
      <c r="T1189" s="5" t="e">
        <f>LOG(Table2[[#This Row],[ratio heavy to light normalized]],2)</f>
        <v>#NUM!</v>
      </c>
      <c r="U1189" s="5"/>
    </row>
    <row r="1190" spans="1:21" x14ac:dyDescent="0.3">
      <c r="A1190" s="5" t="s">
        <v>4674</v>
      </c>
      <c r="B1190" s="5" t="s">
        <v>4675</v>
      </c>
      <c r="C1190" s="5">
        <v>284</v>
      </c>
      <c r="D1190" s="5">
        <v>284</v>
      </c>
      <c r="E1190" s="5">
        <v>1</v>
      </c>
      <c r="F1190" s="6">
        <v>24.775600000000001</v>
      </c>
      <c r="G1190" s="5">
        <v>1.84179</v>
      </c>
      <c r="H1190" s="5">
        <v>24.776</v>
      </c>
      <c r="I1190" s="5"/>
      <c r="J1190" s="5">
        <v>1</v>
      </c>
      <c r="K1190" s="5" t="s">
        <v>2</v>
      </c>
      <c r="L1190" s="5" t="s">
        <v>4676</v>
      </c>
      <c r="M1190" s="5" t="s">
        <v>4677</v>
      </c>
      <c r="N1190" s="5" t="s">
        <v>4678</v>
      </c>
      <c r="O1190" s="5">
        <v>3</v>
      </c>
      <c r="P1190" s="6">
        <v>135910</v>
      </c>
      <c r="Q1190" s="5">
        <v>135910</v>
      </c>
      <c r="R1190" s="5">
        <v>0</v>
      </c>
      <c r="S1190" s="5"/>
      <c r="T1190" s="5" t="e">
        <f>LOG(Table2[[#This Row],[ratio heavy to light normalized]],2)</f>
        <v>#NUM!</v>
      </c>
      <c r="U1190" s="5"/>
    </row>
    <row r="1191" spans="1:21" x14ac:dyDescent="0.3">
      <c r="A1191" s="5" t="s">
        <v>1513</v>
      </c>
      <c r="B1191" s="5" t="s">
        <v>1514</v>
      </c>
      <c r="C1191" s="5">
        <v>253</v>
      </c>
      <c r="D1191" s="5">
        <v>253</v>
      </c>
      <c r="E1191" s="5">
        <v>1</v>
      </c>
      <c r="F1191" s="6">
        <v>48.111499999999999</v>
      </c>
      <c r="G1191" s="5">
        <v>2.0376399999999999E-3</v>
      </c>
      <c r="H1191" s="5">
        <v>48.112000000000002</v>
      </c>
      <c r="I1191" s="5" t="s">
        <v>11</v>
      </c>
      <c r="J1191" s="5">
        <v>1</v>
      </c>
      <c r="K1191" s="5" t="s">
        <v>2</v>
      </c>
      <c r="L1191" s="5" t="s">
        <v>4679</v>
      </c>
      <c r="M1191" s="5" t="s">
        <v>4680</v>
      </c>
      <c r="N1191" s="5" t="s">
        <v>4681</v>
      </c>
      <c r="O1191" s="5">
        <v>7</v>
      </c>
      <c r="P1191" s="6">
        <v>250120</v>
      </c>
      <c r="Q1191" s="5">
        <v>250120</v>
      </c>
      <c r="R1191" s="5">
        <v>0</v>
      </c>
      <c r="S1191" s="5"/>
      <c r="T1191" s="5" t="e">
        <f>LOG(Table2[[#This Row],[ratio heavy to light normalized]],2)</f>
        <v>#NUM!</v>
      </c>
      <c r="U1191" s="5"/>
    </row>
    <row r="1192" spans="1:21" x14ac:dyDescent="0.3">
      <c r="A1192" s="5" t="s">
        <v>1513</v>
      </c>
      <c r="B1192" s="5" t="s">
        <v>1514</v>
      </c>
      <c r="C1192" s="5">
        <v>456</v>
      </c>
      <c r="D1192" s="5">
        <v>456</v>
      </c>
      <c r="E1192" s="5">
        <v>1</v>
      </c>
      <c r="F1192" s="6">
        <v>96.591499999999996</v>
      </c>
      <c r="G1192" s="7">
        <v>2.63712E-17</v>
      </c>
      <c r="H1192" s="5">
        <v>96.590999999999994</v>
      </c>
      <c r="I1192" s="5" t="s">
        <v>11</v>
      </c>
      <c r="J1192" s="5">
        <v>1</v>
      </c>
      <c r="K1192" s="5" t="s">
        <v>2</v>
      </c>
      <c r="L1192" s="5" t="s">
        <v>4682</v>
      </c>
      <c r="M1192" s="5" t="s">
        <v>4683</v>
      </c>
      <c r="N1192" s="5" t="s">
        <v>4684</v>
      </c>
      <c r="O1192" s="5">
        <v>4</v>
      </c>
      <c r="P1192" s="6">
        <v>786590</v>
      </c>
      <c r="Q1192" s="5">
        <v>786590</v>
      </c>
      <c r="R1192" s="5">
        <v>0</v>
      </c>
      <c r="S1192" s="5"/>
      <c r="T1192" s="5" t="e">
        <f>LOG(Table2[[#This Row],[ratio heavy to light normalized]],2)</f>
        <v>#NUM!</v>
      </c>
      <c r="U1192" s="5"/>
    </row>
    <row r="1193" spans="1:21" x14ac:dyDescent="0.3">
      <c r="A1193" s="5" t="s">
        <v>3109</v>
      </c>
      <c r="B1193" s="5" t="s">
        <v>3110</v>
      </c>
      <c r="C1193" s="5">
        <v>78</v>
      </c>
      <c r="D1193" s="5">
        <v>78</v>
      </c>
      <c r="E1193" s="5">
        <v>1</v>
      </c>
      <c r="F1193" s="6">
        <v>92.470399999999998</v>
      </c>
      <c r="G1193" s="7">
        <v>1.0756E-7</v>
      </c>
      <c r="H1193" s="5">
        <v>92.47</v>
      </c>
      <c r="I1193" s="5" t="s">
        <v>11</v>
      </c>
      <c r="J1193" s="5">
        <v>1</v>
      </c>
      <c r="K1193" s="5" t="s">
        <v>2</v>
      </c>
      <c r="L1193" s="5" t="s">
        <v>4685</v>
      </c>
      <c r="M1193" s="5" t="s">
        <v>4686</v>
      </c>
      <c r="N1193" s="5" t="s">
        <v>4687</v>
      </c>
      <c r="O1193" s="5">
        <v>7</v>
      </c>
      <c r="P1193" s="6">
        <v>1047500</v>
      </c>
      <c r="Q1193" s="5">
        <v>1047500</v>
      </c>
      <c r="R1193" s="5">
        <v>0</v>
      </c>
      <c r="S1193" s="5"/>
      <c r="T1193" s="5" t="e">
        <f>LOG(Table2[[#This Row],[ratio heavy to light normalized]],2)</f>
        <v>#NUM!</v>
      </c>
      <c r="U1193" s="5"/>
    </row>
    <row r="1194" spans="1:21" x14ac:dyDescent="0.3">
      <c r="A1194" s="5" t="s">
        <v>4688</v>
      </c>
      <c r="B1194" s="5" t="s">
        <v>4689</v>
      </c>
      <c r="C1194" s="5">
        <v>3</v>
      </c>
      <c r="D1194" s="5">
        <v>3</v>
      </c>
      <c r="E1194" s="5">
        <v>1</v>
      </c>
      <c r="F1194" s="6">
        <v>11.768800000000001</v>
      </c>
      <c r="G1194" s="5">
        <v>1.9693099999999999</v>
      </c>
      <c r="H1194" s="5">
        <v>11.769</v>
      </c>
      <c r="I1194" s="5"/>
      <c r="J1194" s="5">
        <v>2</v>
      </c>
      <c r="K1194" s="5" t="s">
        <v>2</v>
      </c>
      <c r="L1194" s="5" t="s">
        <v>4690</v>
      </c>
      <c r="M1194" s="5" t="s">
        <v>4691</v>
      </c>
      <c r="N1194" s="5" t="s">
        <v>4692</v>
      </c>
      <c r="O1194" s="5">
        <v>3</v>
      </c>
      <c r="P1194" s="6">
        <v>0</v>
      </c>
      <c r="Q1194" s="5">
        <v>0</v>
      </c>
      <c r="R1194" s="5">
        <v>0</v>
      </c>
      <c r="S1194" s="5"/>
      <c r="T1194" s="5" t="e">
        <f>LOG(Table2[[#This Row],[ratio heavy to light normalized]],2)</f>
        <v>#NUM!</v>
      </c>
      <c r="U1194" s="5"/>
    </row>
    <row r="1195" spans="1:21" x14ac:dyDescent="0.3">
      <c r="A1195" s="5" t="s">
        <v>4688</v>
      </c>
      <c r="B1195" s="5" t="s">
        <v>4689</v>
      </c>
      <c r="C1195" s="5">
        <v>6</v>
      </c>
      <c r="D1195" s="5">
        <v>6</v>
      </c>
      <c r="E1195" s="5">
        <v>1</v>
      </c>
      <c r="F1195" s="6">
        <v>11.768800000000001</v>
      </c>
      <c r="G1195" s="5">
        <v>1.9693099999999999</v>
      </c>
      <c r="H1195" s="5">
        <v>11.769</v>
      </c>
      <c r="I1195" s="5"/>
      <c r="J1195" s="5">
        <v>2</v>
      </c>
      <c r="K1195" s="5" t="s">
        <v>2</v>
      </c>
      <c r="L1195" s="5" t="s">
        <v>4690</v>
      </c>
      <c r="M1195" s="5" t="s">
        <v>4691</v>
      </c>
      <c r="N1195" s="5" t="s">
        <v>4692</v>
      </c>
      <c r="O1195" s="5">
        <v>6</v>
      </c>
      <c r="P1195" s="6">
        <v>0</v>
      </c>
      <c r="Q1195" s="5">
        <v>0</v>
      </c>
      <c r="R1195" s="5">
        <v>0</v>
      </c>
      <c r="S1195" s="5"/>
      <c r="T1195" s="5" t="e">
        <f>LOG(Table2[[#This Row],[ratio heavy to light normalized]],2)</f>
        <v>#NUM!</v>
      </c>
      <c r="U1195" s="5"/>
    </row>
    <row r="1196" spans="1:21" x14ac:dyDescent="0.3">
      <c r="A1196" s="5" t="s">
        <v>1620</v>
      </c>
      <c r="B1196" s="5" t="s">
        <v>1621</v>
      </c>
      <c r="C1196" s="5">
        <v>198</v>
      </c>
      <c r="D1196" s="5">
        <v>198</v>
      </c>
      <c r="E1196" s="5">
        <v>1</v>
      </c>
      <c r="F1196" s="6">
        <v>54.607799999999997</v>
      </c>
      <c r="G1196" s="5">
        <v>3.4093600000000002E-4</v>
      </c>
      <c r="H1196" s="5">
        <v>59.8</v>
      </c>
      <c r="I1196" s="5" t="s">
        <v>11</v>
      </c>
      <c r="J1196" s="5">
        <v>1</v>
      </c>
      <c r="K1196" s="5" t="s">
        <v>2</v>
      </c>
      <c r="L1196" s="5" t="s">
        <v>4693</v>
      </c>
      <c r="M1196" s="5" t="s">
        <v>4694</v>
      </c>
      <c r="N1196" s="5" t="s">
        <v>4695</v>
      </c>
      <c r="O1196" s="5">
        <v>5</v>
      </c>
      <c r="P1196" s="6">
        <v>221270</v>
      </c>
      <c r="Q1196" s="5">
        <v>221270</v>
      </c>
      <c r="R1196" s="5">
        <v>0</v>
      </c>
      <c r="S1196" s="5"/>
      <c r="T1196" s="5" t="e">
        <f>LOG(Table2[[#This Row],[ratio heavy to light normalized]],2)</f>
        <v>#NUM!</v>
      </c>
      <c r="U1196" s="5"/>
    </row>
    <row r="1197" spans="1:21" x14ac:dyDescent="0.3">
      <c r="A1197" s="5" t="s">
        <v>4696</v>
      </c>
      <c r="B1197" s="5" t="s">
        <v>4697</v>
      </c>
      <c r="C1197" s="5">
        <v>672</v>
      </c>
      <c r="D1197" s="5">
        <v>672</v>
      </c>
      <c r="E1197" s="5">
        <v>1</v>
      </c>
      <c r="F1197" s="6">
        <v>30.331199999999999</v>
      </c>
      <c r="G1197" s="5">
        <v>0.454791</v>
      </c>
      <c r="H1197" s="5">
        <v>30.331</v>
      </c>
      <c r="I1197" s="5"/>
      <c r="J1197" s="5">
        <v>1</v>
      </c>
      <c r="K1197" s="5" t="s">
        <v>2</v>
      </c>
      <c r="L1197" s="5" t="s">
        <v>4698</v>
      </c>
      <c r="M1197" s="5" t="s">
        <v>4699</v>
      </c>
      <c r="N1197" s="5" t="s">
        <v>4700</v>
      </c>
      <c r="O1197" s="5">
        <v>8</v>
      </c>
      <c r="P1197" s="6">
        <v>157010</v>
      </c>
      <c r="Q1197" s="5">
        <v>157010</v>
      </c>
      <c r="R1197" s="5">
        <v>0</v>
      </c>
      <c r="S1197" s="5"/>
      <c r="T1197" s="5" t="e">
        <f>LOG(Table2[[#This Row],[ratio heavy to light normalized]],2)</f>
        <v>#NUM!</v>
      </c>
      <c r="U1197" s="5"/>
    </row>
    <row r="1198" spans="1:21" x14ac:dyDescent="0.3">
      <c r="A1198" s="5" t="s">
        <v>126</v>
      </c>
      <c r="B1198" s="5" t="s">
        <v>127</v>
      </c>
      <c r="C1198" s="5">
        <v>374</v>
      </c>
      <c r="D1198" s="5">
        <v>374</v>
      </c>
      <c r="E1198" s="5">
        <v>1</v>
      </c>
      <c r="F1198" s="6">
        <v>98.299300000000002</v>
      </c>
      <c r="G1198" s="7">
        <v>3.7769199999999997E-21</v>
      </c>
      <c r="H1198" s="5">
        <v>98.299000000000007</v>
      </c>
      <c r="I1198" s="5" t="s">
        <v>11</v>
      </c>
      <c r="J1198" s="5">
        <v>1</v>
      </c>
      <c r="K1198" s="5" t="s">
        <v>2</v>
      </c>
      <c r="L1198" s="5" t="s">
        <v>4701</v>
      </c>
      <c r="M1198" s="5" t="s">
        <v>4702</v>
      </c>
      <c r="N1198" s="5" t="s">
        <v>4703</v>
      </c>
      <c r="O1198" s="5">
        <v>3</v>
      </c>
      <c r="P1198" s="6">
        <v>0</v>
      </c>
      <c r="Q1198" s="5">
        <v>0</v>
      </c>
      <c r="R1198" s="5">
        <v>0</v>
      </c>
      <c r="S1198" s="5"/>
      <c r="T1198" s="5" t="e">
        <f>LOG(Table2[[#This Row],[ratio heavy to light normalized]],2)</f>
        <v>#NUM!</v>
      </c>
      <c r="U1198" s="5"/>
    </row>
    <row r="1199" spans="1:21" x14ac:dyDescent="0.3">
      <c r="A1199" s="5" t="s">
        <v>867</v>
      </c>
      <c r="B1199" s="5" t="s">
        <v>868</v>
      </c>
      <c r="C1199" s="5">
        <v>268</v>
      </c>
      <c r="D1199" s="5">
        <v>268</v>
      </c>
      <c r="E1199" s="5">
        <v>1</v>
      </c>
      <c r="F1199" s="6">
        <v>45.915399999999998</v>
      </c>
      <c r="G1199" s="5">
        <v>1.3449899999999999</v>
      </c>
      <c r="H1199" s="5">
        <v>45.914999999999999</v>
      </c>
      <c r="I1199" s="5" t="s">
        <v>11</v>
      </c>
      <c r="J1199" s="5">
        <v>1</v>
      </c>
      <c r="K1199" s="5" t="s">
        <v>2</v>
      </c>
      <c r="L1199" s="5" t="s">
        <v>4704</v>
      </c>
      <c r="M1199" s="5" t="s">
        <v>4705</v>
      </c>
      <c r="N1199" s="5" t="s">
        <v>4706</v>
      </c>
      <c r="O1199" s="5">
        <v>8</v>
      </c>
      <c r="P1199" s="6">
        <v>0</v>
      </c>
      <c r="Q1199" s="5">
        <v>0</v>
      </c>
      <c r="R1199" s="5">
        <v>0</v>
      </c>
      <c r="S1199" s="5"/>
      <c r="T1199" s="5" t="e">
        <f>LOG(Table2[[#This Row],[ratio heavy to light normalized]],2)</f>
        <v>#NUM!</v>
      </c>
      <c r="U1199" s="5"/>
    </row>
    <row r="1200" spans="1:21" x14ac:dyDescent="0.3">
      <c r="A1200" s="5" t="s">
        <v>867</v>
      </c>
      <c r="B1200" s="5" t="s">
        <v>868</v>
      </c>
      <c r="C1200" s="5">
        <v>640</v>
      </c>
      <c r="D1200" s="5">
        <v>640</v>
      </c>
      <c r="E1200" s="5">
        <v>1</v>
      </c>
      <c r="F1200" s="6">
        <v>78.485900000000001</v>
      </c>
      <c r="G1200" s="7">
        <v>3.6276599999999999E-9</v>
      </c>
      <c r="H1200" s="5">
        <v>78.486000000000004</v>
      </c>
      <c r="I1200" s="5" t="s">
        <v>11</v>
      </c>
      <c r="J1200" s="5">
        <v>1</v>
      </c>
      <c r="K1200" s="5" t="s">
        <v>2</v>
      </c>
      <c r="L1200" s="5" t="s">
        <v>4707</v>
      </c>
      <c r="M1200" s="5" t="s">
        <v>4708</v>
      </c>
      <c r="N1200" s="5" t="s">
        <v>4709</v>
      </c>
      <c r="O1200" s="5">
        <v>9</v>
      </c>
      <c r="P1200" s="6">
        <v>957690</v>
      </c>
      <c r="Q1200" s="5">
        <v>957690</v>
      </c>
      <c r="R1200" s="5">
        <v>0</v>
      </c>
      <c r="S1200" s="5"/>
      <c r="T1200" s="5" t="e">
        <f>LOG(Table2[[#This Row],[ratio heavy to light normalized]],2)</f>
        <v>#NUM!</v>
      </c>
      <c r="U1200" s="5"/>
    </row>
    <row r="1201" spans="1:21" x14ac:dyDescent="0.3">
      <c r="A1201" s="5" t="s">
        <v>4710</v>
      </c>
      <c r="B1201" s="5" t="s">
        <v>4711</v>
      </c>
      <c r="C1201" s="5">
        <v>17</v>
      </c>
      <c r="D1201" s="5">
        <v>17</v>
      </c>
      <c r="E1201" s="5">
        <v>1</v>
      </c>
      <c r="F1201" s="6">
        <v>80.959500000000006</v>
      </c>
      <c r="G1201" s="7">
        <v>1.7321599999999999E-16</v>
      </c>
      <c r="H1201" s="5">
        <v>80.959999999999994</v>
      </c>
      <c r="I1201" s="5" t="s">
        <v>11</v>
      </c>
      <c r="J1201" s="5">
        <v>1</v>
      </c>
      <c r="K1201" s="5" t="s">
        <v>2</v>
      </c>
      <c r="L1201" s="5" t="s">
        <v>4712</v>
      </c>
      <c r="M1201" s="5" t="s">
        <v>4713</v>
      </c>
      <c r="N1201" s="5" t="s">
        <v>4714</v>
      </c>
      <c r="O1201" s="5">
        <v>5</v>
      </c>
      <c r="P1201" s="6">
        <v>0</v>
      </c>
      <c r="Q1201" s="5">
        <v>0</v>
      </c>
      <c r="R1201" s="5">
        <v>0</v>
      </c>
      <c r="S1201" s="5"/>
      <c r="T1201" s="5" t="e">
        <f>LOG(Table2[[#This Row],[ratio heavy to light normalized]],2)</f>
        <v>#NUM!</v>
      </c>
      <c r="U1201" s="5"/>
    </row>
    <row r="1202" spans="1:21" x14ac:dyDescent="0.3">
      <c r="A1202" s="5" t="s">
        <v>753</v>
      </c>
      <c r="B1202" s="5" t="s">
        <v>754</v>
      </c>
      <c r="C1202" s="5">
        <v>91</v>
      </c>
      <c r="D1202" s="5">
        <v>91</v>
      </c>
      <c r="E1202" s="5">
        <v>1</v>
      </c>
      <c r="F1202" s="6">
        <v>50.107599999999998</v>
      </c>
      <c r="G1202" s="5">
        <v>1.7755300000000002E-2</v>
      </c>
      <c r="H1202" s="5">
        <v>50.107999999999997</v>
      </c>
      <c r="I1202" s="5" t="s">
        <v>11</v>
      </c>
      <c r="J1202" s="5">
        <v>1</v>
      </c>
      <c r="K1202" s="5" t="s">
        <v>2</v>
      </c>
      <c r="L1202" s="5" t="s">
        <v>4715</v>
      </c>
      <c r="M1202" s="5" t="s">
        <v>4716</v>
      </c>
      <c r="N1202" s="5" t="s">
        <v>4717</v>
      </c>
      <c r="O1202" s="5">
        <v>6</v>
      </c>
      <c r="P1202" s="6">
        <v>889670</v>
      </c>
      <c r="Q1202" s="5">
        <v>889670</v>
      </c>
      <c r="R1202" s="5">
        <v>0</v>
      </c>
      <c r="S1202" s="5"/>
      <c r="T1202" s="5" t="e">
        <f>LOG(Table2[[#This Row],[ratio heavy to light normalized]],2)</f>
        <v>#NUM!</v>
      </c>
      <c r="U1202" s="5"/>
    </row>
    <row r="1203" spans="1:21" x14ac:dyDescent="0.3">
      <c r="A1203" s="5" t="s">
        <v>96</v>
      </c>
      <c r="B1203" s="5" t="s">
        <v>97</v>
      </c>
      <c r="C1203" s="5">
        <v>41</v>
      </c>
      <c r="D1203" s="5">
        <v>41</v>
      </c>
      <c r="E1203" s="5">
        <v>1</v>
      </c>
      <c r="F1203" s="6">
        <v>72.547300000000007</v>
      </c>
      <c r="G1203" s="5">
        <v>4.0246800000000001E-4</v>
      </c>
      <c r="H1203" s="5">
        <v>72.546999999999997</v>
      </c>
      <c r="I1203" s="5" t="s">
        <v>11</v>
      </c>
      <c r="J1203" s="5">
        <v>1</v>
      </c>
      <c r="K1203" s="5" t="s">
        <v>2</v>
      </c>
      <c r="L1203" s="5" t="s">
        <v>4718</v>
      </c>
      <c r="M1203" s="5" t="s">
        <v>4719</v>
      </c>
      <c r="N1203" s="5" t="s">
        <v>4720</v>
      </c>
      <c r="O1203" s="5">
        <v>6</v>
      </c>
      <c r="P1203" s="6">
        <v>1387600</v>
      </c>
      <c r="Q1203" s="5">
        <v>1387600</v>
      </c>
      <c r="R1203" s="5">
        <v>0</v>
      </c>
      <c r="S1203" s="5"/>
      <c r="T1203" s="5" t="e">
        <f>LOG(Table2[[#This Row],[ratio heavy to light normalized]],2)</f>
        <v>#NUM!</v>
      </c>
      <c r="U1203" s="5"/>
    </row>
    <row r="1204" spans="1:21" x14ac:dyDescent="0.3">
      <c r="A1204" s="5" t="s">
        <v>595</v>
      </c>
      <c r="B1204" s="5" t="s">
        <v>596</v>
      </c>
      <c r="C1204" s="5">
        <v>1130</v>
      </c>
      <c r="D1204" s="5">
        <v>1130</v>
      </c>
      <c r="E1204" s="5">
        <v>1</v>
      </c>
      <c r="F1204" s="6">
        <v>68.734700000000004</v>
      </c>
      <c r="G1204" s="7">
        <v>9.8043599999999998E-5</v>
      </c>
      <c r="H1204" s="5">
        <v>68.734999999999999</v>
      </c>
      <c r="I1204" s="5" t="s">
        <v>11</v>
      </c>
      <c r="J1204" s="5">
        <v>1</v>
      </c>
      <c r="K1204" s="5" t="s">
        <v>2</v>
      </c>
      <c r="L1204" s="5" t="s">
        <v>4721</v>
      </c>
      <c r="M1204" s="5" t="s">
        <v>4722</v>
      </c>
      <c r="N1204" s="5" t="s">
        <v>4723</v>
      </c>
      <c r="O1204" s="5">
        <v>7</v>
      </c>
      <c r="P1204" s="6">
        <v>372120</v>
      </c>
      <c r="Q1204" s="5">
        <v>372120</v>
      </c>
      <c r="R1204" s="5">
        <v>0</v>
      </c>
      <c r="S1204" s="5"/>
      <c r="T1204" s="5" t="e">
        <f>LOG(Table2[[#This Row],[ratio heavy to light normalized]],2)</f>
        <v>#NUM!</v>
      </c>
      <c r="U1204" s="5"/>
    </row>
    <row r="1205" spans="1:21" x14ac:dyDescent="0.3">
      <c r="A1205" s="5" t="s">
        <v>323</v>
      </c>
      <c r="B1205" s="5" t="s">
        <v>324</v>
      </c>
      <c r="C1205" s="5">
        <v>389</v>
      </c>
      <c r="D1205" s="5">
        <v>389</v>
      </c>
      <c r="E1205" s="5">
        <v>1</v>
      </c>
      <c r="F1205" s="6">
        <v>54.671799999999998</v>
      </c>
      <c r="G1205" s="7">
        <v>9.6790500000000001E-7</v>
      </c>
      <c r="H1205" s="5">
        <v>54.671999999999997</v>
      </c>
      <c r="I1205" s="5" t="s">
        <v>11</v>
      </c>
      <c r="J1205" s="5">
        <v>1</v>
      </c>
      <c r="K1205" s="5" t="s">
        <v>2</v>
      </c>
      <c r="L1205" s="5" t="s">
        <v>4724</v>
      </c>
      <c r="M1205" s="5" t="s">
        <v>4725</v>
      </c>
      <c r="N1205" s="5" t="s">
        <v>4726</v>
      </c>
      <c r="O1205" s="5">
        <v>11</v>
      </c>
      <c r="P1205" s="6">
        <v>661470</v>
      </c>
      <c r="Q1205" s="5">
        <v>661470</v>
      </c>
      <c r="R1205" s="5">
        <v>0</v>
      </c>
      <c r="S1205" s="5"/>
      <c r="T1205" s="5" t="e">
        <f>LOG(Table2[[#This Row],[ratio heavy to light normalized]],2)</f>
        <v>#NUM!</v>
      </c>
      <c r="U1205" s="5"/>
    </row>
    <row r="1206" spans="1:21" x14ac:dyDescent="0.3">
      <c r="A1206" s="5" t="s">
        <v>323</v>
      </c>
      <c r="B1206" s="5" t="s">
        <v>324</v>
      </c>
      <c r="C1206" s="5">
        <v>605</v>
      </c>
      <c r="D1206" s="5">
        <v>605</v>
      </c>
      <c r="E1206" s="5">
        <v>1</v>
      </c>
      <c r="F1206" s="6">
        <v>42.809399999999997</v>
      </c>
      <c r="G1206" s="5">
        <v>8.5251600000000004E-3</v>
      </c>
      <c r="H1206" s="5">
        <v>42.808999999999997</v>
      </c>
      <c r="I1206" s="5"/>
      <c r="J1206" s="5">
        <v>1</v>
      </c>
      <c r="K1206" s="5" t="s">
        <v>2</v>
      </c>
      <c r="L1206" s="5" t="s">
        <v>4727</v>
      </c>
      <c r="M1206" s="5" t="s">
        <v>4728</v>
      </c>
      <c r="N1206" s="5" t="s">
        <v>4729</v>
      </c>
      <c r="O1206" s="5">
        <v>8</v>
      </c>
      <c r="P1206" s="6">
        <v>99018</v>
      </c>
      <c r="Q1206" s="5">
        <v>99018</v>
      </c>
      <c r="R1206" s="5">
        <v>0</v>
      </c>
      <c r="S1206" s="5"/>
      <c r="T1206" s="5" t="e">
        <f>LOG(Table2[[#This Row],[ratio heavy to light normalized]],2)</f>
        <v>#NUM!</v>
      </c>
      <c r="U1206" s="5"/>
    </row>
    <row r="1207" spans="1:21" x14ac:dyDescent="0.3">
      <c r="A1207" s="5" t="s">
        <v>1019</v>
      </c>
      <c r="B1207" s="5" t="s">
        <v>1020</v>
      </c>
      <c r="C1207" s="5">
        <v>15</v>
      </c>
      <c r="D1207" s="5">
        <v>15</v>
      </c>
      <c r="E1207" s="5">
        <v>1</v>
      </c>
      <c r="F1207" s="6">
        <v>52.5991</v>
      </c>
      <c r="G1207" s="7">
        <v>1.8581300000000001E-15</v>
      </c>
      <c r="H1207" s="5">
        <v>95.263999999999996</v>
      </c>
      <c r="I1207" s="5" t="s">
        <v>11</v>
      </c>
      <c r="J1207" s="5">
        <v>1</v>
      </c>
      <c r="K1207" s="5" t="s">
        <v>2</v>
      </c>
      <c r="L1207" s="5" t="s">
        <v>4730</v>
      </c>
      <c r="M1207" s="5" t="s">
        <v>4731</v>
      </c>
      <c r="N1207" s="5" t="s">
        <v>4732</v>
      </c>
      <c r="O1207" s="5">
        <v>8</v>
      </c>
      <c r="P1207" s="6">
        <v>355540</v>
      </c>
      <c r="Q1207" s="5">
        <v>355540</v>
      </c>
      <c r="R1207" s="5">
        <v>0</v>
      </c>
      <c r="S1207" s="5"/>
      <c r="T1207" s="5" t="e">
        <f>LOG(Table2[[#This Row],[ratio heavy to light normalized]],2)</f>
        <v>#NUM!</v>
      </c>
      <c r="U1207" s="5"/>
    </row>
    <row r="1208" spans="1:21" x14ac:dyDescent="0.3">
      <c r="A1208" s="5" t="s">
        <v>4733</v>
      </c>
      <c r="B1208" s="5" t="s">
        <v>4734</v>
      </c>
      <c r="C1208" s="5">
        <v>44</v>
      </c>
      <c r="D1208" s="5">
        <v>44</v>
      </c>
      <c r="E1208" s="5">
        <v>1</v>
      </c>
      <c r="F1208" s="6">
        <v>35.176200000000001</v>
      </c>
      <c r="G1208" s="5">
        <v>8.2081200000000007E-2</v>
      </c>
      <c r="H1208" s="5">
        <v>35.176000000000002</v>
      </c>
      <c r="I1208" s="5" t="s">
        <v>11</v>
      </c>
      <c r="J1208" s="5">
        <v>1</v>
      </c>
      <c r="K1208" s="5" t="s">
        <v>2</v>
      </c>
      <c r="L1208" s="5" t="s">
        <v>4735</v>
      </c>
      <c r="M1208" s="5" t="s">
        <v>4736</v>
      </c>
      <c r="N1208" s="5" t="s">
        <v>4737</v>
      </c>
      <c r="O1208" s="5">
        <v>17</v>
      </c>
      <c r="P1208" s="6">
        <v>398940</v>
      </c>
      <c r="Q1208" s="5">
        <v>398940</v>
      </c>
      <c r="R1208" s="5">
        <v>0</v>
      </c>
      <c r="S1208" s="5"/>
      <c r="T1208" s="5" t="e">
        <f>LOG(Table2[[#This Row],[ratio heavy to light normalized]],2)</f>
        <v>#NUM!</v>
      </c>
      <c r="U1208" s="5"/>
    </row>
    <row r="1209" spans="1:21" x14ac:dyDescent="0.3">
      <c r="A1209" s="5" t="s">
        <v>4738</v>
      </c>
      <c r="B1209" s="5" t="s">
        <v>4739</v>
      </c>
      <c r="C1209" s="5">
        <v>111</v>
      </c>
      <c r="D1209" s="5">
        <v>111</v>
      </c>
      <c r="E1209" s="5">
        <v>1</v>
      </c>
      <c r="F1209" s="6">
        <v>81.4315</v>
      </c>
      <c r="G1209" s="7">
        <v>3.9242799999999999E-12</v>
      </c>
      <c r="H1209" s="5">
        <v>81.430999999999997</v>
      </c>
      <c r="I1209" s="5" t="s">
        <v>11</v>
      </c>
      <c r="J1209" s="5">
        <v>1</v>
      </c>
      <c r="K1209" s="5" t="s">
        <v>2</v>
      </c>
      <c r="L1209" s="5" t="s">
        <v>4740</v>
      </c>
      <c r="M1209" s="5" t="s">
        <v>4741</v>
      </c>
      <c r="N1209" s="5" t="s">
        <v>4742</v>
      </c>
      <c r="O1209" s="5">
        <v>9</v>
      </c>
      <c r="P1209" s="6">
        <v>216160</v>
      </c>
      <c r="Q1209" s="5">
        <v>216160</v>
      </c>
      <c r="R1209" s="5">
        <v>0</v>
      </c>
      <c r="S1209" s="5"/>
      <c r="T1209" s="5" t="e">
        <f>LOG(Table2[[#This Row],[ratio heavy to light normalized]],2)</f>
        <v>#NUM!</v>
      </c>
      <c r="U1209" s="5"/>
    </row>
    <row r="1210" spans="1:21" x14ac:dyDescent="0.3">
      <c r="A1210" s="5" t="s">
        <v>4743</v>
      </c>
      <c r="B1210" s="5" t="s">
        <v>4744</v>
      </c>
      <c r="C1210" s="5">
        <v>71</v>
      </c>
      <c r="D1210" s="5">
        <v>71</v>
      </c>
      <c r="E1210" s="5">
        <v>1</v>
      </c>
      <c r="F1210" s="6">
        <v>34.1785</v>
      </c>
      <c r="G1210" s="5">
        <v>0.21404599999999999</v>
      </c>
      <c r="H1210" s="5">
        <v>34.179000000000002</v>
      </c>
      <c r="I1210" s="5"/>
      <c r="J1210" s="5">
        <v>1</v>
      </c>
      <c r="K1210" s="5" t="s">
        <v>2</v>
      </c>
      <c r="L1210" s="5" t="s">
        <v>4745</v>
      </c>
      <c r="M1210" s="5" t="s">
        <v>4746</v>
      </c>
      <c r="N1210" s="5" t="s">
        <v>4747</v>
      </c>
      <c r="O1210" s="5">
        <v>8</v>
      </c>
      <c r="P1210" s="6">
        <v>207580</v>
      </c>
      <c r="Q1210" s="5">
        <v>207580</v>
      </c>
      <c r="R1210" s="5">
        <v>0</v>
      </c>
      <c r="S1210" s="5"/>
      <c r="T1210" s="5" t="e">
        <f>LOG(Table2[[#This Row],[ratio heavy to light normalized]],2)</f>
        <v>#NUM!</v>
      </c>
      <c r="U1210" s="5"/>
    </row>
    <row r="1211" spans="1:21" x14ac:dyDescent="0.3">
      <c r="A1211" s="5" t="s">
        <v>1236</v>
      </c>
      <c r="B1211" s="5" t="s">
        <v>1237</v>
      </c>
      <c r="C1211" s="5">
        <v>168</v>
      </c>
      <c r="D1211" s="5">
        <v>168</v>
      </c>
      <c r="E1211" s="5">
        <v>1</v>
      </c>
      <c r="F1211" s="6">
        <v>45.077500000000001</v>
      </c>
      <c r="G1211" s="7">
        <v>1.5235899999999999E-5</v>
      </c>
      <c r="H1211" s="5">
        <v>67.153000000000006</v>
      </c>
      <c r="I1211" s="5" t="s">
        <v>11</v>
      </c>
      <c r="J1211" s="5">
        <v>1</v>
      </c>
      <c r="K1211" s="5" t="s">
        <v>2</v>
      </c>
      <c r="L1211" s="5" t="s">
        <v>4748</v>
      </c>
      <c r="M1211" s="5" t="s">
        <v>4749</v>
      </c>
      <c r="N1211" s="5" t="s">
        <v>4750</v>
      </c>
      <c r="O1211" s="5">
        <v>5</v>
      </c>
      <c r="P1211" s="6">
        <v>0</v>
      </c>
      <c r="Q1211" s="5">
        <v>0</v>
      </c>
      <c r="R1211" s="5">
        <v>0</v>
      </c>
      <c r="S1211" s="5"/>
      <c r="T1211" s="5" t="e">
        <f>LOG(Table2[[#This Row],[ratio heavy to light normalized]],2)</f>
        <v>#NUM!</v>
      </c>
      <c r="U1211" s="5"/>
    </row>
    <row r="1212" spans="1:21" x14ac:dyDescent="0.3">
      <c r="A1212" s="5" t="s">
        <v>4751</v>
      </c>
      <c r="B1212" s="5" t="s">
        <v>4752</v>
      </c>
      <c r="C1212" s="5">
        <v>89</v>
      </c>
      <c r="D1212" s="5">
        <v>89</v>
      </c>
      <c r="E1212" s="5">
        <v>1</v>
      </c>
      <c r="F1212" s="6">
        <v>40.0246</v>
      </c>
      <c r="G1212" s="5">
        <v>0.566882</v>
      </c>
      <c r="H1212" s="5">
        <v>40.024999999999999</v>
      </c>
      <c r="I1212" s="5" t="s">
        <v>11</v>
      </c>
      <c r="J1212" s="5">
        <v>1</v>
      </c>
      <c r="K1212" s="5" t="s">
        <v>2</v>
      </c>
      <c r="L1212" s="5" t="s">
        <v>4753</v>
      </c>
      <c r="M1212" s="5" t="s">
        <v>4754</v>
      </c>
      <c r="N1212" s="5" t="s">
        <v>4755</v>
      </c>
      <c r="O1212" s="5">
        <v>8</v>
      </c>
      <c r="P1212" s="6">
        <v>0</v>
      </c>
      <c r="Q1212" s="5">
        <v>0</v>
      </c>
      <c r="R1212" s="5">
        <v>0</v>
      </c>
      <c r="S1212" s="5"/>
      <c r="T1212" s="5" t="e">
        <f>LOG(Table2[[#This Row],[ratio heavy to light normalized]],2)</f>
        <v>#NUM!</v>
      </c>
      <c r="U1212" s="5"/>
    </row>
    <row r="1213" spans="1:21" x14ac:dyDescent="0.3">
      <c r="A1213" s="5" t="s">
        <v>2925</v>
      </c>
      <c r="B1213" s="5" t="s">
        <v>2926</v>
      </c>
      <c r="C1213" s="5">
        <v>381</v>
      </c>
      <c r="D1213" s="5">
        <v>381</v>
      </c>
      <c r="E1213" s="5">
        <v>1</v>
      </c>
      <c r="F1213" s="6">
        <v>57.598399999999998</v>
      </c>
      <c r="G1213" s="5">
        <v>1.7206599999999999E-2</v>
      </c>
      <c r="H1213" s="5">
        <v>57.597999999999999</v>
      </c>
      <c r="I1213" s="5" t="s">
        <v>11</v>
      </c>
      <c r="J1213" s="5">
        <v>1</v>
      </c>
      <c r="K1213" s="5" t="s">
        <v>2</v>
      </c>
      <c r="L1213" s="5" t="s">
        <v>4756</v>
      </c>
      <c r="M1213" s="5" t="s">
        <v>4757</v>
      </c>
      <c r="N1213" s="5" t="s">
        <v>4758</v>
      </c>
      <c r="O1213" s="5">
        <v>4</v>
      </c>
      <c r="P1213" s="6">
        <v>0</v>
      </c>
      <c r="Q1213" s="5">
        <v>0</v>
      </c>
      <c r="R1213" s="5">
        <v>0</v>
      </c>
      <c r="S1213" s="5"/>
      <c r="T1213" s="5" t="e">
        <f>LOG(Table2[[#This Row],[ratio heavy to light normalized]],2)</f>
        <v>#NUM!</v>
      </c>
      <c r="U1213" s="5"/>
    </row>
    <row r="1214" spans="1:21" x14ac:dyDescent="0.3">
      <c r="A1214" s="5" t="s">
        <v>1303</v>
      </c>
      <c r="B1214" s="5" t="s">
        <v>1304</v>
      </c>
      <c r="C1214" s="5">
        <v>101</v>
      </c>
      <c r="D1214" s="5">
        <v>101</v>
      </c>
      <c r="E1214" s="5">
        <v>1</v>
      </c>
      <c r="F1214" s="6">
        <v>54.416400000000003</v>
      </c>
      <c r="G1214" s="5">
        <v>8.2604800000000006E-3</v>
      </c>
      <c r="H1214" s="5">
        <v>54.415999999999997</v>
      </c>
      <c r="I1214" s="5"/>
      <c r="J1214" s="5">
        <v>1</v>
      </c>
      <c r="K1214" s="5" t="s">
        <v>2</v>
      </c>
      <c r="L1214" s="5" t="s">
        <v>4759</v>
      </c>
      <c r="M1214" s="5" t="s">
        <v>4760</v>
      </c>
      <c r="N1214" s="5" t="s">
        <v>4761</v>
      </c>
      <c r="O1214" s="5">
        <v>6</v>
      </c>
      <c r="P1214" s="6">
        <v>179820</v>
      </c>
      <c r="Q1214" s="5">
        <v>179820</v>
      </c>
      <c r="R1214" s="5">
        <v>0</v>
      </c>
      <c r="S1214" s="5"/>
      <c r="T1214" s="5" t="e">
        <f>LOG(Table2[[#This Row],[ratio heavy to light normalized]],2)</f>
        <v>#NUM!</v>
      </c>
      <c r="U1214" s="5"/>
    </row>
    <row r="1215" spans="1:21" x14ac:dyDescent="0.3">
      <c r="A1215" s="5" t="s">
        <v>4762</v>
      </c>
      <c r="B1215" s="5" t="s">
        <v>4763</v>
      </c>
      <c r="C1215" s="5">
        <v>125</v>
      </c>
      <c r="D1215" s="5">
        <v>125</v>
      </c>
      <c r="E1215" s="5">
        <v>1</v>
      </c>
      <c r="F1215" s="6">
        <v>42.209299999999999</v>
      </c>
      <c r="G1215" s="5">
        <v>0.83385600000000004</v>
      </c>
      <c r="H1215" s="5">
        <v>42.209000000000003</v>
      </c>
      <c r="I1215" s="5" t="s">
        <v>11</v>
      </c>
      <c r="J1215" s="5">
        <v>1</v>
      </c>
      <c r="K1215" s="5" t="s">
        <v>2</v>
      </c>
      <c r="L1215" s="5" t="s">
        <v>4764</v>
      </c>
      <c r="M1215" s="5" t="s">
        <v>4765</v>
      </c>
      <c r="N1215" s="5" t="s">
        <v>4766</v>
      </c>
      <c r="O1215" s="5">
        <v>4</v>
      </c>
      <c r="P1215" s="6">
        <v>0</v>
      </c>
      <c r="Q1215" s="5">
        <v>0</v>
      </c>
      <c r="R1215" s="5">
        <v>0</v>
      </c>
      <c r="S1215" s="5"/>
      <c r="T1215" s="5" t="e">
        <f>LOG(Table2[[#This Row],[ratio heavy to light normalized]],2)</f>
        <v>#NUM!</v>
      </c>
      <c r="U1215" s="5"/>
    </row>
    <row r="1216" spans="1:21" x14ac:dyDescent="0.3">
      <c r="A1216" s="5" t="s">
        <v>4767</v>
      </c>
      <c r="B1216" s="5" t="s">
        <v>4768</v>
      </c>
      <c r="C1216" s="5">
        <v>322</v>
      </c>
      <c r="D1216" s="5">
        <v>322</v>
      </c>
      <c r="E1216" s="5">
        <v>1</v>
      </c>
      <c r="F1216" s="6">
        <v>26.672899999999998</v>
      </c>
      <c r="G1216" s="5">
        <v>1.0057499999999999</v>
      </c>
      <c r="H1216" s="5">
        <v>26.672999999999998</v>
      </c>
      <c r="I1216" s="5"/>
      <c r="J1216" s="5">
        <v>1</v>
      </c>
      <c r="K1216" s="5" t="s">
        <v>2</v>
      </c>
      <c r="L1216" s="5" t="s">
        <v>4769</v>
      </c>
      <c r="M1216" s="5" t="s">
        <v>4770</v>
      </c>
      <c r="N1216" s="5" t="s">
        <v>4771</v>
      </c>
      <c r="O1216" s="5">
        <v>4</v>
      </c>
      <c r="P1216" s="6">
        <v>358700</v>
      </c>
      <c r="Q1216" s="5">
        <v>358700</v>
      </c>
      <c r="R1216" s="5">
        <v>0</v>
      </c>
      <c r="S1216" s="5"/>
      <c r="T1216" s="5" t="e">
        <f>LOG(Table2[[#This Row],[ratio heavy to light normalized]],2)</f>
        <v>#NUM!</v>
      </c>
      <c r="U1216" s="5"/>
    </row>
    <row r="1217" spans="1:21" x14ac:dyDescent="0.3">
      <c r="A1217" s="5" t="s">
        <v>917</v>
      </c>
      <c r="B1217" s="5" t="s">
        <v>918</v>
      </c>
      <c r="C1217" s="5">
        <v>191</v>
      </c>
      <c r="D1217" s="5">
        <v>191</v>
      </c>
      <c r="E1217" s="5">
        <v>1</v>
      </c>
      <c r="F1217" s="6">
        <v>72.819000000000003</v>
      </c>
      <c r="G1217" s="7">
        <v>5.3562200000000003E-18</v>
      </c>
      <c r="H1217" s="5">
        <v>72.819000000000003</v>
      </c>
      <c r="I1217" s="5" t="s">
        <v>11</v>
      </c>
      <c r="J1217" s="5">
        <v>1</v>
      </c>
      <c r="K1217" s="5" t="s">
        <v>2</v>
      </c>
      <c r="L1217" s="5" t="s">
        <v>4772</v>
      </c>
      <c r="M1217" s="5" t="s">
        <v>4773</v>
      </c>
      <c r="N1217" s="5" t="s">
        <v>4774</v>
      </c>
      <c r="O1217" s="5">
        <v>11</v>
      </c>
      <c r="P1217" s="6">
        <v>0</v>
      </c>
      <c r="Q1217" s="5">
        <v>0</v>
      </c>
      <c r="R1217" s="5">
        <v>0</v>
      </c>
      <c r="S1217" s="5"/>
      <c r="T1217" s="5" t="e">
        <f>LOG(Table2[[#This Row],[ratio heavy to light normalized]],2)</f>
        <v>#NUM!</v>
      </c>
      <c r="U1217" s="5"/>
    </row>
    <row r="1218" spans="1:21" x14ac:dyDescent="0.3">
      <c r="A1218" s="5" t="s">
        <v>4775</v>
      </c>
      <c r="B1218" s="5" t="s">
        <v>4776</v>
      </c>
      <c r="C1218" s="5">
        <v>94</v>
      </c>
      <c r="D1218" s="5">
        <v>94</v>
      </c>
      <c r="E1218" s="5">
        <v>1</v>
      </c>
      <c r="F1218" s="6">
        <v>55.452199999999998</v>
      </c>
      <c r="G1218" s="5">
        <v>2.5483500000000002E-4</v>
      </c>
      <c r="H1218" s="5">
        <v>55.451999999999998</v>
      </c>
      <c r="I1218" s="5" t="s">
        <v>11</v>
      </c>
      <c r="J1218" s="5">
        <v>1</v>
      </c>
      <c r="K1218" s="5" t="s">
        <v>2</v>
      </c>
      <c r="L1218" s="5" t="s">
        <v>4777</v>
      </c>
      <c r="M1218" s="5" t="s">
        <v>4778</v>
      </c>
      <c r="N1218" s="5" t="s">
        <v>4779</v>
      </c>
      <c r="O1218" s="5">
        <v>8</v>
      </c>
      <c r="P1218" s="6">
        <v>164450</v>
      </c>
      <c r="Q1218" s="5">
        <v>164450</v>
      </c>
      <c r="R1218" s="5">
        <v>0</v>
      </c>
      <c r="S1218" s="5"/>
      <c r="T1218" s="5" t="e">
        <f>LOG(Table2[[#This Row],[ratio heavy to light normalized]],2)</f>
        <v>#NUM!</v>
      </c>
      <c r="U1218" s="5"/>
    </row>
    <row r="1219" spans="1:21" x14ac:dyDescent="0.3">
      <c r="A1219" s="5" t="s">
        <v>2545</v>
      </c>
      <c r="B1219" s="5" t="s">
        <v>2546</v>
      </c>
      <c r="C1219" s="5">
        <v>493</v>
      </c>
      <c r="D1219" s="5">
        <v>493</v>
      </c>
      <c r="E1219" s="5">
        <v>1</v>
      </c>
      <c r="F1219" s="6">
        <v>36.846899999999998</v>
      </c>
      <c r="G1219" s="5">
        <v>0.15781300000000001</v>
      </c>
      <c r="H1219" s="5">
        <v>36.847000000000001</v>
      </c>
      <c r="I1219" s="5" t="s">
        <v>11</v>
      </c>
      <c r="J1219" s="5">
        <v>1</v>
      </c>
      <c r="K1219" s="5" t="s">
        <v>2</v>
      </c>
      <c r="L1219" s="5" t="s">
        <v>4780</v>
      </c>
      <c r="M1219" s="5" t="s">
        <v>4781</v>
      </c>
      <c r="N1219" s="5" t="s">
        <v>4782</v>
      </c>
      <c r="O1219" s="5">
        <v>11</v>
      </c>
      <c r="P1219" s="6">
        <v>0</v>
      </c>
      <c r="Q1219" s="5">
        <v>0</v>
      </c>
      <c r="R1219" s="5">
        <v>0</v>
      </c>
      <c r="S1219" s="5"/>
      <c r="T1219" s="5" t="e">
        <f>LOG(Table2[[#This Row],[ratio heavy to light normalized]],2)</f>
        <v>#NUM!</v>
      </c>
      <c r="U1219" s="5"/>
    </row>
    <row r="1220" spans="1:21" x14ac:dyDescent="0.3">
      <c r="A1220" s="5" t="s">
        <v>4783</v>
      </c>
      <c r="B1220" s="5" t="s">
        <v>4784</v>
      </c>
      <c r="C1220" s="5">
        <v>50</v>
      </c>
      <c r="D1220" s="5">
        <v>50</v>
      </c>
      <c r="E1220" s="5">
        <v>1</v>
      </c>
      <c r="F1220" s="6">
        <v>76.142700000000005</v>
      </c>
      <c r="G1220" s="7">
        <v>1.74276E-6</v>
      </c>
      <c r="H1220" s="5">
        <v>76.143000000000001</v>
      </c>
      <c r="I1220" s="5" t="s">
        <v>11</v>
      </c>
      <c r="J1220" s="5">
        <v>1</v>
      </c>
      <c r="K1220" s="5" t="s">
        <v>2</v>
      </c>
      <c r="L1220" s="5" t="s">
        <v>4785</v>
      </c>
      <c r="M1220" s="5" t="s">
        <v>4786</v>
      </c>
      <c r="N1220" s="5" t="s">
        <v>4787</v>
      </c>
      <c r="O1220" s="5">
        <v>5</v>
      </c>
      <c r="P1220" s="6">
        <v>138960</v>
      </c>
      <c r="Q1220" s="5">
        <v>138960</v>
      </c>
      <c r="R1220" s="5">
        <v>0</v>
      </c>
      <c r="S1220" s="5"/>
      <c r="T1220" s="5" t="e">
        <f>LOG(Table2[[#This Row],[ratio heavy to light normalized]],2)</f>
        <v>#NUM!</v>
      </c>
      <c r="U1220" s="5"/>
    </row>
    <row r="1221" spans="1:21" x14ac:dyDescent="0.3">
      <c r="A1221" s="5" t="s">
        <v>1283</v>
      </c>
      <c r="B1221" s="5" t="s">
        <v>1284</v>
      </c>
      <c r="C1221" s="5">
        <v>76</v>
      </c>
      <c r="D1221" s="5">
        <v>76</v>
      </c>
      <c r="E1221" s="5">
        <v>1</v>
      </c>
      <c r="F1221" s="6">
        <v>36.445399999999999</v>
      </c>
      <c r="G1221" s="5">
        <v>0.102322</v>
      </c>
      <c r="H1221" s="5">
        <v>36.445</v>
      </c>
      <c r="I1221" s="5" t="s">
        <v>11</v>
      </c>
      <c r="J1221" s="5">
        <v>1</v>
      </c>
      <c r="K1221" s="5" t="s">
        <v>2</v>
      </c>
      <c r="L1221" s="5" t="s">
        <v>4788</v>
      </c>
      <c r="M1221" s="5" t="s">
        <v>4789</v>
      </c>
      <c r="N1221" s="5" t="s">
        <v>4790</v>
      </c>
      <c r="O1221" s="5">
        <v>2</v>
      </c>
      <c r="P1221" s="6">
        <v>246030</v>
      </c>
      <c r="Q1221" s="5">
        <v>246030</v>
      </c>
      <c r="R1221" s="5">
        <v>0</v>
      </c>
      <c r="S1221" s="5"/>
      <c r="T1221" s="5" t="e">
        <f>LOG(Table2[[#This Row],[ratio heavy to light normalized]],2)</f>
        <v>#NUM!</v>
      </c>
      <c r="U1221" s="5"/>
    </row>
    <row r="1222" spans="1:21" x14ac:dyDescent="0.3">
      <c r="A1222" s="5" t="s">
        <v>4791</v>
      </c>
      <c r="B1222" s="5" t="s">
        <v>4792</v>
      </c>
      <c r="C1222" s="5">
        <v>80</v>
      </c>
      <c r="D1222" s="5">
        <v>80</v>
      </c>
      <c r="E1222" s="5">
        <v>1</v>
      </c>
      <c r="F1222" s="6">
        <v>56.122399999999999</v>
      </c>
      <c r="G1222" s="5">
        <v>1.00105E-4</v>
      </c>
      <c r="H1222" s="5">
        <v>56.122</v>
      </c>
      <c r="I1222" s="5" t="s">
        <v>11</v>
      </c>
      <c r="J1222" s="5">
        <v>1</v>
      </c>
      <c r="K1222" s="5" t="s">
        <v>2</v>
      </c>
      <c r="L1222" s="5" t="s">
        <v>4793</v>
      </c>
      <c r="M1222" s="5" t="s">
        <v>4794</v>
      </c>
      <c r="N1222" s="5" t="s">
        <v>4795</v>
      </c>
      <c r="O1222" s="5">
        <v>11</v>
      </c>
      <c r="P1222" s="6">
        <v>339490</v>
      </c>
      <c r="Q1222" s="5">
        <v>339490</v>
      </c>
      <c r="R1222" s="5">
        <v>0</v>
      </c>
      <c r="S1222" s="5"/>
      <c r="T1222" s="5" t="e">
        <f>LOG(Table2[[#This Row],[ratio heavy to light normalized]],2)</f>
        <v>#NUM!</v>
      </c>
      <c r="U1222" s="5"/>
    </row>
    <row r="1223" spans="1:21" x14ac:dyDescent="0.3">
      <c r="A1223" s="5" t="s">
        <v>4796</v>
      </c>
      <c r="B1223" s="5" t="s">
        <v>4797</v>
      </c>
      <c r="C1223" s="5">
        <v>393</v>
      </c>
      <c r="D1223" s="5">
        <v>393</v>
      </c>
      <c r="E1223" s="5">
        <v>1</v>
      </c>
      <c r="F1223" s="6">
        <v>47.545200000000001</v>
      </c>
      <c r="G1223" s="5">
        <v>9.2934300000000001E-3</v>
      </c>
      <c r="H1223" s="5">
        <v>47.545000000000002</v>
      </c>
      <c r="I1223" s="5" t="s">
        <v>11</v>
      </c>
      <c r="J1223" s="5">
        <v>1</v>
      </c>
      <c r="K1223" s="5" t="s">
        <v>2</v>
      </c>
      <c r="L1223" s="5" t="s">
        <v>4798</v>
      </c>
      <c r="M1223" s="5" t="s">
        <v>4799</v>
      </c>
      <c r="N1223" s="5" t="s">
        <v>4800</v>
      </c>
      <c r="O1223" s="5">
        <v>12</v>
      </c>
      <c r="P1223" s="6">
        <v>587710</v>
      </c>
      <c r="Q1223" s="5">
        <v>587710</v>
      </c>
      <c r="R1223" s="5">
        <v>0</v>
      </c>
      <c r="S1223" s="5"/>
      <c r="T1223" s="5" t="e">
        <f>LOG(Table2[[#This Row],[ratio heavy to light normalized]],2)</f>
        <v>#NUM!</v>
      </c>
      <c r="U1223" s="5"/>
    </row>
    <row r="1224" spans="1:21" x14ac:dyDescent="0.3">
      <c r="A1224" s="5" t="s">
        <v>942</v>
      </c>
      <c r="B1224" s="5" t="s">
        <v>943</v>
      </c>
      <c r="C1224" s="5">
        <v>228</v>
      </c>
      <c r="D1224" s="5">
        <v>228</v>
      </c>
      <c r="E1224" s="5">
        <v>1</v>
      </c>
      <c r="F1224" s="6">
        <v>112.834</v>
      </c>
      <c r="G1224" s="7">
        <v>4.9134299999999996E-46</v>
      </c>
      <c r="H1224" s="5">
        <v>112.83</v>
      </c>
      <c r="I1224" s="5" t="s">
        <v>11</v>
      </c>
      <c r="J1224" s="5">
        <v>1</v>
      </c>
      <c r="K1224" s="5" t="s">
        <v>2</v>
      </c>
      <c r="L1224" s="5" t="s">
        <v>4801</v>
      </c>
      <c r="M1224" s="5" t="s">
        <v>4802</v>
      </c>
      <c r="N1224" s="5" t="s">
        <v>4803</v>
      </c>
      <c r="O1224" s="5">
        <v>11</v>
      </c>
      <c r="P1224" s="6">
        <v>0</v>
      </c>
      <c r="Q1224" s="5">
        <v>0</v>
      </c>
      <c r="R1224" s="5">
        <v>0</v>
      </c>
      <c r="S1224" s="5"/>
      <c r="T1224" s="5" t="e">
        <f>LOG(Table2[[#This Row],[ratio heavy to light normalized]],2)</f>
        <v>#NUM!</v>
      </c>
      <c r="U1224" s="5"/>
    </row>
    <row r="1225" spans="1:21" x14ac:dyDescent="0.3">
      <c r="A1225" s="5" t="s">
        <v>4804</v>
      </c>
      <c r="B1225" s="5" t="s">
        <v>4805</v>
      </c>
      <c r="C1225" s="5">
        <v>243</v>
      </c>
      <c r="D1225" s="5">
        <v>243</v>
      </c>
      <c r="E1225" s="5">
        <v>1</v>
      </c>
      <c r="F1225" s="6">
        <v>24.424900000000001</v>
      </c>
      <c r="G1225" s="5">
        <v>1.0902000000000001</v>
      </c>
      <c r="H1225" s="5">
        <v>24.425000000000001</v>
      </c>
      <c r="I1225" s="5" t="s">
        <v>11</v>
      </c>
      <c r="J1225" s="5">
        <v>1</v>
      </c>
      <c r="K1225" s="5" t="s">
        <v>2</v>
      </c>
      <c r="L1225" s="5" t="s">
        <v>4806</v>
      </c>
      <c r="M1225" s="5" t="s">
        <v>4807</v>
      </c>
      <c r="N1225" s="5" t="s">
        <v>4808</v>
      </c>
      <c r="O1225" s="5">
        <v>2</v>
      </c>
      <c r="P1225" s="6">
        <v>264230</v>
      </c>
      <c r="Q1225" s="5">
        <v>264230</v>
      </c>
      <c r="R1225" s="5">
        <v>0</v>
      </c>
      <c r="S1225" s="5"/>
      <c r="T1225" s="5" t="e">
        <f>LOG(Table2[[#This Row],[ratio heavy to light normalized]],2)</f>
        <v>#NUM!</v>
      </c>
      <c r="U1225" s="5"/>
    </row>
    <row r="1226" spans="1:21" x14ac:dyDescent="0.3">
      <c r="A1226" s="5" t="s">
        <v>210</v>
      </c>
      <c r="B1226" s="5" t="s">
        <v>211</v>
      </c>
      <c r="C1226" s="5">
        <v>140</v>
      </c>
      <c r="D1226" s="5">
        <v>140</v>
      </c>
      <c r="E1226" s="5">
        <v>1</v>
      </c>
      <c r="F1226" s="6">
        <v>45.996499999999997</v>
      </c>
      <c r="G1226" s="5">
        <v>7.0119299999999996E-2</v>
      </c>
      <c r="H1226" s="5">
        <v>45.997</v>
      </c>
      <c r="I1226" s="5" t="s">
        <v>11</v>
      </c>
      <c r="J1226" s="5">
        <v>1</v>
      </c>
      <c r="K1226" s="5" t="s">
        <v>2</v>
      </c>
      <c r="L1226" s="5" t="s">
        <v>4809</v>
      </c>
      <c r="M1226" s="5" t="s">
        <v>4810</v>
      </c>
      <c r="N1226" s="5" t="s">
        <v>4811</v>
      </c>
      <c r="O1226" s="5">
        <v>4</v>
      </c>
      <c r="P1226" s="6">
        <v>417210</v>
      </c>
      <c r="Q1226" s="5">
        <v>417210</v>
      </c>
      <c r="R1226" s="5">
        <v>0</v>
      </c>
      <c r="S1226" s="5"/>
      <c r="T1226" s="5" t="e">
        <f>LOG(Table2[[#This Row],[ratio heavy to light normalized]],2)</f>
        <v>#NUM!</v>
      </c>
      <c r="U1226" s="5"/>
    </row>
    <row r="1227" spans="1:21" x14ac:dyDescent="0.3">
      <c r="A1227" s="5" t="s">
        <v>417</v>
      </c>
      <c r="B1227" s="5" t="s">
        <v>418</v>
      </c>
      <c r="C1227" s="5">
        <v>702</v>
      </c>
      <c r="D1227" s="5">
        <v>702</v>
      </c>
      <c r="E1227" s="5">
        <v>1</v>
      </c>
      <c r="F1227" s="6">
        <v>23.0076</v>
      </c>
      <c r="G1227" s="5">
        <v>1.2600899999999999</v>
      </c>
      <c r="H1227" s="5">
        <v>23.007999999999999</v>
      </c>
      <c r="I1227" s="5"/>
      <c r="J1227" s="5">
        <v>1</v>
      </c>
      <c r="K1227" s="5" t="s">
        <v>2</v>
      </c>
      <c r="L1227" s="5" t="s">
        <v>4812</v>
      </c>
      <c r="M1227" s="5" t="s">
        <v>4813</v>
      </c>
      <c r="N1227" s="5" t="s">
        <v>4814</v>
      </c>
      <c r="O1227" s="5">
        <v>13</v>
      </c>
      <c r="P1227" s="6">
        <v>90654</v>
      </c>
      <c r="Q1227" s="5">
        <v>90654</v>
      </c>
      <c r="R1227" s="5">
        <v>0</v>
      </c>
      <c r="S1227" s="5"/>
      <c r="T1227" s="5" t="e">
        <f>LOG(Table2[[#This Row],[ratio heavy to light normalized]],2)</f>
        <v>#NUM!</v>
      </c>
      <c r="U1227" s="5"/>
    </row>
    <row r="1228" spans="1:21" x14ac:dyDescent="0.3">
      <c r="A1228" s="5" t="s">
        <v>981</v>
      </c>
      <c r="B1228" s="5" t="s">
        <v>982</v>
      </c>
      <c r="C1228" s="5">
        <v>767</v>
      </c>
      <c r="D1228" s="5">
        <v>767</v>
      </c>
      <c r="E1228" s="5">
        <v>1</v>
      </c>
      <c r="F1228" s="6">
        <v>79.692999999999998</v>
      </c>
      <c r="G1228" s="7">
        <v>2.7460900000000002E-7</v>
      </c>
      <c r="H1228" s="5">
        <v>79.692999999999998</v>
      </c>
      <c r="I1228" s="5" t="s">
        <v>11</v>
      </c>
      <c r="J1228" s="5">
        <v>1</v>
      </c>
      <c r="K1228" s="5" t="s">
        <v>2</v>
      </c>
      <c r="L1228" s="5" t="s">
        <v>4815</v>
      </c>
      <c r="M1228" s="5" t="s">
        <v>4816</v>
      </c>
      <c r="N1228" s="5" t="s">
        <v>4817</v>
      </c>
      <c r="O1228" s="5">
        <v>3</v>
      </c>
      <c r="P1228" s="6">
        <v>172460</v>
      </c>
      <c r="Q1228" s="5">
        <v>172460</v>
      </c>
      <c r="R1228" s="5">
        <v>0</v>
      </c>
      <c r="S1228" s="5"/>
      <c r="T1228" s="5" t="e">
        <f>LOG(Table2[[#This Row],[ratio heavy to light normalized]],2)</f>
        <v>#NUM!</v>
      </c>
      <c r="U1228" s="5"/>
    </row>
    <row r="1229" spans="1:21" x14ac:dyDescent="0.3">
      <c r="A1229" s="5" t="s">
        <v>981</v>
      </c>
      <c r="B1229" s="5" t="s">
        <v>982</v>
      </c>
      <c r="C1229" s="5">
        <v>351</v>
      </c>
      <c r="D1229" s="5">
        <v>351</v>
      </c>
      <c r="E1229" s="5">
        <v>1</v>
      </c>
      <c r="F1229" s="6">
        <v>35.036900000000003</v>
      </c>
      <c r="G1229" s="5">
        <v>0.131275</v>
      </c>
      <c r="H1229" s="5">
        <v>35.036999999999999</v>
      </c>
      <c r="I1229" s="5" t="s">
        <v>11</v>
      </c>
      <c r="J1229" s="5">
        <v>1</v>
      </c>
      <c r="K1229" s="5" t="s">
        <v>2</v>
      </c>
      <c r="L1229" s="5" t="s">
        <v>4818</v>
      </c>
      <c r="M1229" s="5" t="s">
        <v>4819</v>
      </c>
      <c r="N1229" s="5" t="s">
        <v>4820</v>
      </c>
      <c r="O1229" s="5">
        <v>10</v>
      </c>
      <c r="P1229" s="6">
        <v>593920</v>
      </c>
      <c r="Q1229" s="5">
        <v>593920</v>
      </c>
      <c r="R1229" s="5">
        <v>0</v>
      </c>
      <c r="S1229" s="5"/>
      <c r="T1229" s="5" t="e">
        <f>LOG(Table2[[#This Row],[ratio heavy to light normalized]],2)</f>
        <v>#NUM!</v>
      </c>
      <c r="U1229" s="5"/>
    </row>
    <row r="1230" spans="1:21" x14ac:dyDescent="0.3">
      <c r="A1230" s="5" t="s">
        <v>981</v>
      </c>
      <c r="B1230" s="5" t="s">
        <v>982</v>
      </c>
      <c r="C1230" s="5">
        <v>85</v>
      </c>
      <c r="D1230" s="5">
        <v>85</v>
      </c>
      <c r="E1230" s="5">
        <v>1</v>
      </c>
      <c r="F1230" s="6">
        <v>36.981499999999997</v>
      </c>
      <c r="G1230" s="5">
        <v>0.16139200000000001</v>
      </c>
      <c r="H1230" s="5">
        <v>36.981999999999999</v>
      </c>
      <c r="I1230" s="5"/>
      <c r="J1230" s="5">
        <v>1</v>
      </c>
      <c r="K1230" s="5" t="s">
        <v>2</v>
      </c>
      <c r="L1230" s="5" t="s">
        <v>4821</v>
      </c>
      <c r="M1230" s="5" t="s">
        <v>4822</v>
      </c>
      <c r="N1230" s="5" t="s">
        <v>4823</v>
      </c>
      <c r="O1230" s="5">
        <v>10</v>
      </c>
      <c r="P1230" s="6">
        <v>211660</v>
      </c>
      <c r="Q1230" s="5">
        <v>211660</v>
      </c>
      <c r="R1230" s="5">
        <v>0</v>
      </c>
      <c r="S1230" s="5"/>
      <c r="T1230" s="5" t="e">
        <f>LOG(Table2[[#This Row],[ratio heavy to light normalized]],2)</f>
        <v>#NUM!</v>
      </c>
      <c r="U1230" s="5"/>
    </row>
    <row r="1231" spans="1:21" x14ac:dyDescent="0.3">
      <c r="A1231" s="5" t="s">
        <v>2685</v>
      </c>
      <c r="B1231" s="5" t="s">
        <v>2686</v>
      </c>
      <c r="C1231" s="5">
        <v>580</v>
      </c>
      <c r="D1231" s="5">
        <v>580</v>
      </c>
      <c r="E1231" s="5">
        <v>1</v>
      </c>
      <c r="F1231" s="6">
        <v>40.589100000000002</v>
      </c>
      <c r="G1231" s="5">
        <v>5.0819200000000002E-2</v>
      </c>
      <c r="H1231" s="5">
        <v>40.588999999999999</v>
      </c>
      <c r="I1231" s="5"/>
      <c r="J1231" s="5">
        <v>1</v>
      </c>
      <c r="K1231" s="5" t="s">
        <v>2</v>
      </c>
      <c r="L1231" s="5" t="s">
        <v>4824</v>
      </c>
      <c r="M1231" s="5" t="s">
        <v>4825</v>
      </c>
      <c r="N1231" s="5" t="s">
        <v>4826</v>
      </c>
      <c r="O1231" s="5">
        <v>6</v>
      </c>
      <c r="P1231" s="6">
        <v>126500</v>
      </c>
      <c r="Q1231" s="5">
        <v>126500</v>
      </c>
      <c r="R1231" s="5">
        <v>0</v>
      </c>
      <c r="S1231" s="5"/>
      <c r="T1231" s="5" t="e">
        <f>LOG(Table2[[#This Row],[ratio heavy to light normalized]],2)</f>
        <v>#NUM!</v>
      </c>
      <c r="U1231" s="5"/>
    </row>
    <row r="1232" spans="1:21" x14ac:dyDescent="0.3">
      <c r="A1232" s="5" t="s">
        <v>4827</v>
      </c>
      <c r="B1232" s="5" t="s">
        <v>4828</v>
      </c>
      <c r="C1232" s="5">
        <v>154</v>
      </c>
      <c r="D1232" s="5">
        <v>154</v>
      </c>
      <c r="E1232" s="5">
        <v>1</v>
      </c>
      <c r="F1232" s="6">
        <v>6.7699800000000003</v>
      </c>
      <c r="G1232" s="7">
        <v>4.0593100000000002E-10</v>
      </c>
      <c r="H1232" s="5">
        <v>67.927999999999997</v>
      </c>
      <c r="I1232" s="5"/>
      <c r="J1232" s="5">
        <v>1</v>
      </c>
      <c r="K1232" s="5" t="s">
        <v>2</v>
      </c>
      <c r="L1232" s="5" t="s">
        <v>4829</v>
      </c>
      <c r="M1232" s="5" t="s">
        <v>4830</v>
      </c>
      <c r="N1232" s="5" t="s">
        <v>4831</v>
      </c>
      <c r="O1232" s="5">
        <v>21</v>
      </c>
      <c r="P1232" s="6">
        <v>1806300</v>
      </c>
      <c r="Q1232" s="5">
        <v>1806300</v>
      </c>
      <c r="R1232" s="5">
        <v>0</v>
      </c>
      <c r="S1232" s="5"/>
      <c r="T1232" s="5" t="e">
        <f>LOG(Table2[[#This Row],[ratio heavy to light normalized]],2)</f>
        <v>#NUM!</v>
      </c>
      <c r="U1232" s="5"/>
    </row>
    <row r="1233" spans="1:21" x14ac:dyDescent="0.3">
      <c r="A1233" s="5" t="s">
        <v>4832</v>
      </c>
      <c r="B1233" s="5" t="s">
        <v>4833</v>
      </c>
      <c r="C1233" s="5">
        <v>8</v>
      </c>
      <c r="D1233" s="5">
        <v>8</v>
      </c>
      <c r="E1233" s="5">
        <v>1</v>
      </c>
      <c r="F1233" s="6">
        <v>22.055399999999999</v>
      </c>
      <c r="G1233" s="5">
        <v>1.8532200000000001</v>
      </c>
      <c r="H1233" s="5">
        <v>22.055</v>
      </c>
      <c r="I1233" s="5" t="s">
        <v>11</v>
      </c>
      <c r="J1233" s="5">
        <v>1</v>
      </c>
      <c r="K1233" s="5" t="s">
        <v>2</v>
      </c>
      <c r="L1233" s="5" t="s">
        <v>4834</v>
      </c>
      <c r="M1233" s="5" t="s">
        <v>4835</v>
      </c>
      <c r="N1233" s="5" t="s">
        <v>4836</v>
      </c>
      <c r="O1233" s="5">
        <v>3</v>
      </c>
      <c r="P1233" s="6">
        <v>102240</v>
      </c>
      <c r="Q1233" s="5">
        <v>102240</v>
      </c>
      <c r="R1233" s="5">
        <v>0</v>
      </c>
      <c r="S1233" s="5"/>
      <c r="T1233" s="5" t="e">
        <f>LOG(Table2[[#This Row],[ratio heavy to light normalized]],2)</f>
        <v>#NUM!</v>
      </c>
      <c r="U1233" s="5"/>
    </row>
    <row r="1234" spans="1:21" x14ac:dyDescent="0.3">
      <c r="A1234" s="5" t="s">
        <v>2207</v>
      </c>
      <c r="B1234" s="5" t="s">
        <v>2208</v>
      </c>
      <c r="C1234" s="5">
        <v>372</v>
      </c>
      <c r="D1234" s="5">
        <v>372</v>
      </c>
      <c r="E1234" s="5">
        <v>1</v>
      </c>
      <c r="F1234" s="6">
        <v>64.803299999999993</v>
      </c>
      <c r="G1234" s="5">
        <v>1.8979900000000001E-2</v>
      </c>
      <c r="H1234" s="5">
        <v>64.802999999999997</v>
      </c>
      <c r="I1234" s="5" t="s">
        <v>11</v>
      </c>
      <c r="J1234" s="5">
        <v>1</v>
      </c>
      <c r="K1234" s="5" t="s">
        <v>2</v>
      </c>
      <c r="L1234" s="5" t="s">
        <v>4837</v>
      </c>
      <c r="M1234" s="5" t="s">
        <v>4838</v>
      </c>
      <c r="N1234" s="5" t="s">
        <v>4839</v>
      </c>
      <c r="O1234" s="5">
        <v>4</v>
      </c>
      <c r="P1234" s="6">
        <v>738240</v>
      </c>
      <c r="Q1234" s="5">
        <v>738240</v>
      </c>
      <c r="R1234" s="5">
        <v>0</v>
      </c>
      <c r="S1234" s="5"/>
      <c r="T1234" s="5" t="e">
        <f>LOG(Table2[[#This Row],[ratio heavy to light normalized]],2)</f>
        <v>#NUM!</v>
      </c>
      <c r="U1234" s="5"/>
    </row>
    <row r="1235" spans="1:21" x14ac:dyDescent="0.3">
      <c r="A1235" s="5" t="s">
        <v>697</v>
      </c>
      <c r="B1235" s="5" t="s">
        <v>698</v>
      </c>
      <c r="C1235" s="5">
        <v>238</v>
      </c>
      <c r="D1235" s="5">
        <v>238</v>
      </c>
      <c r="E1235" s="5">
        <v>1</v>
      </c>
      <c r="F1235" s="6">
        <v>54.5244</v>
      </c>
      <c r="G1235" s="5">
        <v>6.52667E-4</v>
      </c>
      <c r="H1235" s="5">
        <v>54.524000000000001</v>
      </c>
      <c r="I1235" s="5" t="s">
        <v>11</v>
      </c>
      <c r="J1235" s="5">
        <v>1</v>
      </c>
      <c r="K1235" s="5" t="s">
        <v>2</v>
      </c>
      <c r="L1235" s="5" t="s">
        <v>4840</v>
      </c>
      <c r="M1235" s="5" t="s">
        <v>4841</v>
      </c>
      <c r="N1235" s="5" t="s">
        <v>4842</v>
      </c>
      <c r="O1235" s="5">
        <v>7</v>
      </c>
      <c r="P1235" s="6">
        <v>398350</v>
      </c>
      <c r="Q1235" s="5">
        <v>398350</v>
      </c>
      <c r="R1235" s="5">
        <v>0</v>
      </c>
      <c r="S1235" s="5"/>
      <c r="T1235" s="5" t="e">
        <f>LOG(Table2[[#This Row],[ratio heavy to light normalized]],2)</f>
        <v>#NUM!</v>
      </c>
      <c r="U1235" s="5"/>
    </row>
    <row r="1236" spans="1:21" x14ac:dyDescent="0.3">
      <c r="A1236" s="5" t="s">
        <v>2516</v>
      </c>
      <c r="B1236" s="5" t="s">
        <v>2517</v>
      </c>
      <c r="C1236" s="5">
        <v>338</v>
      </c>
      <c r="D1236" s="5">
        <v>338</v>
      </c>
      <c r="E1236" s="5">
        <v>1</v>
      </c>
      <c r="F1236" s="6">
        <v>32.220799999999997</v>
      </c>
      <c r="G1236" s="5">
        <v>1.3158700000000001</v>
      </c>
      <c r="H1236" s="5">
        <v>32.220999999999997</v>
      </c>
      <c r="I1236" s="5" t="s">
        <v>11</v>
      </c>
      <c r="J1236" s="5">
        <v>1</v>
      </c>
      <c r="K1236" s="5" t="s">
        <v>2</v>
      </c>
      <c r="L1236" s="5" t="s">
        <v>4843</v>
      </c>
      <c r="M1236" s="5" t="s">
        <v>4844</v>
      </c>
      <c r="N1236" s="5" t="s">
        <v>4845</v>
      </c>
      <c r="O1236" s="5">
        <v>5</v>
      </c>
      <c r="P1236" s="6">
        <v>121230</v>
      </c>
      <c r="Q1236" s="5">
        <v>121230</v>
      </c>
      <c r="R1236" s="5">
        <v>0</v>
      </c>
      <c r="S1236" s="5"/>
      <c r="T1236" s="5" t="e">
        <f>LOG(Table2[[#This Row],[ratio heavy to light normalized]],2)</f>
        <v>#NUM!</v>
      </c>
      <c r="U1236" s="5"/>
    </row>
    <row r="1237" spans="1:21" x14ac:dyDescent="0.3">
      <c r="A1237" s="5" t="s">
        <v>1852</v>
      </c>
      <c r="B1237" s="5" t="s">
        <v>1853</v>
      </c>
      <c r="C1237" s="5">
        <v>86</v>
      </c>
      <c r="D1237" s="5">
        <v>86</v>
      </c>
      <c r="E1237" s="5">
        <v>1</v>
      </c>
      <c r="F1237" s="6">
        <v>138.114</v>
      </c>
      <c r="G1237" s="7">
        <v>6.0487800000000003E-86</v>
      </c>
      <c r="H1237" s="5">
        <v>138.11000000000001</v>
      </c>
      <c r="I1237" s="5" t="s">
        <v>11</v>
      </c>
      <c r="J1237" s="5">
        <v>1</v>
      </c>
      <c r="K1237" s="5" t="s">
        <v>2</v>
      </c>
      <c r="L1237" s="5" t="s">
        <v>4846</v>
      </c>
      <c r="M1237" s="5" t="s">
        <v>4847</v>
      </c>
      <c r="N1237" s="5" t="s">
        <v>4848</v>
      </c>
      <c r="O1237" s="5">
        <v>9</v>
      </c>
      <c r="P1237" s="6">
        <v>0</v>
      </c>
      <c r="Q1237" s="5">
        <v>0</v>
      </c>
      <c r="R1237" s="5">
        <v>0</v>
      </c>
      <c r="S1237" s="5"/>
      <c r="T1237" s="5" t="e">
        <f>LOG(Table2[[#This Row],[ratio heavy to light normalized]],2)</f>
        <v>#NUM!</v>
      </c>
      <c r="U1237" s="5"/>
    </row>
    <row r="1238" spans="1:21" x14ac:dyDescent="0.3">
      <c r="A1238" s="5" t="s">
        <v>2586</v>
      </c>
      <c r="B1238" s="5" t="s">
        <v>2587</v>
      </c>
      <c r="C1238" s="5">
        <v>130</v>
      </c>
      <c r="D1238" s="5">
        <v>130</v>
      </c>
      <c r="E1238" s="5">
        <v>1</v>
      </c>
      <c r="F1238" s="6">
        <v>59.541899999999998</v>
      </c>
      <c r="G1238" s="5">
        <v>5.34229E-4</v>
      </c>
      <c r="H1238" s="5">
        <v>59.542000000000002</v>
      </c>
      <c r="I1238" s="5" t="s">
        <v>11</v>
      </c>
      <c r="J1238" s="5">
        <v>1</v>
      </c>
      <c r="K1238" s="5" t="s">
        <v>2</v>
      </c>
      <c r="L1238" s="5" t="s">
        <v>4849</v>
      </c>
      <c r="M1238" s="5" t="s">
        <v>4850</v>
      </c>
      <c r="N1238" s="5" t="s">
        <v>4851</v>
      </c>
      <c r="O1238" s="5">
        <v>8</v>
      </c>
      <c r="P1238" s="6">
        <v>622030</v>
      </c>
      <c r="Q1238" s="5">
        <v>622030</v>
      </c>
      <c r="R1238" s="5">
        <v>0</v>
      </c>
      <c r="S1238" s="5"/>
      <c r="T1238" s="5" t="e">
        <f>LOG(Table2[[#This Row],[ratio heavy to light normalized]],2)</f>
        <v>#NUM!</v>
      </c>
      <c r="U1238" s="5"/>
    </row>
    <row r="1239" spans="1:21" x14ac:dyDescent="0.3">
      <c r="A1239" s="5" t="s">
        <v>4852</v>
      </c>
      <c r="B1239" s="5" t="s">
        <v>4853</v>
      </c>
      <c r="C1239" s="5">
        <v>32</v>
      </c>
      <c r="D1239" s="5">
        <v>32</v>
      </c>
      <c r="E1239" s="5">
        <v>1</v>
      </c>
      <c r="F1239" s="6">
        <v>23.523499999999999</v>
      </c>
      <c r="G1239" s="5">
        <v>1.6951099999999999</v>
      </c>
      <c r="H1239" s="5">
        <v>23.523</v>
      </c>
      <c r="I1239" s="5"/>
      <c r="J1239" s="5">
        <v>1</v>
      </c>
      <c r="K1239" s="5" t="s">
        <v>2</v>
      </c>
      <c r="L1239" s="5" t="s">
        <v>4854</v>
      </c>
      <c r="M1239" s="5" t="s">
        <v>4855</v>
      </c>
      <c r="N1239" s="5" t="s">
        <v>4856</v>
      </c>
      <c r="O1239" s="5">
        <v>6</v>
      </c>
      <c r="P1239" s="6">
        <v>312440</v>
      </c>
      <c r="Q1239" s="5">
        <v>312440</v>
      </c>
      <c r="R1239" s="5">
        <v>0</v>
      </c>
      <c r="S1239" s="5"/>
      <c r="T1239" s="5" t="e">
        <f>LOG(Table2[[#This Row],[ratio heavy to light normalized]],2)</f>
        <v>#NUM!</v>
      </c>
      <c r="U1239" s="5"/>
    </row>
    <row r="1240" spans="1:21" x14ac:dyDescent="0.3">
      <c r="A1240" s="5" t="s">
        <v>4857</v>
      </c>
      <c r="B1240" s="5" t="s">
        <v>4858</v>
      </c>
      <c r="C1240" s="5">
        <v>538</v>
      </c>
      <c r="D1240" s="5">
        <v>538</v>
      </c>
      <c r="E1240" s="5">
        <v>1</v>
      </c>
      <c r="F1240" s="6">
        <v>39.424500000000002</v>
      </c>
      <c r="G1240" s="5">
        <v>1.17967</v>
      </c>
      <c r="H1240" s="5">
        <v>39.423999999999999</v>
      </c>
      <c r="I1240" s="5" t="s">
        <v>11</v>
      </c>
      <c r="J1240" s="5">
        <v>1</v>
      </c>
      <c r="K1240" s="5" t="s">
        <v>2</v>
      </c>
      <c r="L1240" s="5" t="s">
        <v>4859</v>
      </c>
      <c r="M1240" s="5" t="s">
        <v>4860</v>
      </c>
      <c r="N1240" s="5" t="s">
        <v>4861</v>
      </c>
      <c r="O1240" s="5">
        <v>4</v>
      </c>
      <c r="P1240" s="6">
        <v>0</v>
      </c>
      <c r="Q1240" s="5">
        <v>0</v>
      </c>
      <c r="R1240" s="5">
        <v>0</v>
      </c>
      <c r="S1240" s="5"/>
      <c r="T1240" s="5" t="e">
        <f>LOG(Table2[[#This Row],[ratio heavy to light normalized]],2)</f>
        <v>#NUM!</v>
      </c>
      <c r="U1240" s="5"/>
    </row>
    <row r="1241" spans="1:21" x14ac:dyDescent="0.3">
      <c r="A1241" s="5" t="s">
        <v>3084</v>
      </c>
      <c r="B1241" s="5" t="s">
        <v>3085</v>
      </c>
      <c r="C1241" s="5">
        <v>286</v>
      </c>
      <c r="D1241" s="5">
        <v>286</v>
      </c>
      <c r="E1241" s="5">
        <v>1</v>
      </c>
      <c r="F1241" s="6">
        <v>29.543800000000001</v>
      </c>
      <c r="G1241" s="5">
        <v>0.41839199999999999</v>
      </c>
      <c r="H1241" s="5">
        <v>29.544</v>
      </c>
      <c r="I1241" s="5" t="s">
        <v>11</v>
      </c>
      <c r="J1241" s="5">
        <v>1</v>
      </c>
      <c r="K1241" s="5" t="s">
        <v>2</v>
      </c>
      <c r="L1241" s="5" t="s">
        <v>4862</v>
      </c>
      <c r="M1241" s="5" t="s">
        <v>4863</v>
      </c>
      <c r="N1241" s="5" t="s">
        <v>4864</v>
      </c>
      <c r="O1241" s="5">
        <v>7</v>
      </c>
      <c r="P1241" s="6">
        <v>153070</v>
      </c>
      <c r="Q1241" s="5">
        <v>153070</v>
      </c>
      <c r="R1241" s="5">
        <v>0</v>
      </c>
      <c r="S1241" s="5"/>
      <c r="T1241" s="5" t="e">
        <f>LOG(Table2[[#This Row],[ratio heavy to light normalized]],2)</f>
        <v>#NUM!</v>
      </c>
      <c r="U1241" s="5"/>
    </row>
    <row r="1242" spans="1:21" x14ac:dyDescent="0.3">
      <c r="A1242" s="5" t="s">
        <v>4865</v>
      </c>
      <c r="B1242" s="5" t="s">
        <v>4866</v>
      </c>
      <c r="C1242" s="5">
        <v>231</v>
      </c>
      <c r="D1242" s="5">
        <v>231</v>
      </c>
      <c r="E1242" s="5">
        <v>1</v>
      </c>
      <c r="F1242" s="6">
        <v>43.543700000000001</v>
      </c>
      <c r="G1242" s="5">
        <v>1.25027E-2</v>
      </c>
      <c r="H1242" s="5">
        <v>43.543999999999997</v>
      </c>
      <c r="I1242" s="5" t="s">
        <v>11</v>
      </c>
      <c r="J1242" s="5">
        <v>1</v>
      </c>
      <c r="K1242" s="5" t="s">
        <v>2</v>
      </c>
      <c r="L1242" s="5" t="s">
        <v>4867</v>
      </c>
      <c r="M1242" s="5" t="s">
        <v>4868</v>
      </c>
      <c r="N1242" s="5" t="s">
        <v>4869</v>
      </c>
      <c r="O1242" s="5">
        <v>10</v>
      </c>
      <c r="P1242" s="6">
        <v>483890</v>
      </c>
      <c r="Q1242" s="5">
        <v>483890</v>
      </c>
      <c r="R1242" s="5">
        <v>0</v>
      </c>
      <c r="S1242" s="5"/>
      <c r="T1242" s="5" t="e">
        <f>LOG(Table2[[#This Row],[ratio heavy to light normalized]],2)</f>
        <v>#NUM!</v>
      </c>
      <c r="U1242" s="5"/>
    </row>
    <row r="1243" spans="1:21" x14ac:dyDescent="0.3">
      <c r="A1243" s="5" t="s">
        <v>4870</v>
      </c>
      <c r="B1243" s="5" t="s">
        <v>4871</v>
      </c>
      <c r="C1243" s="5">
        <v>83</v>
      </c>
      <c r="D1243" s="5">
        <v>83</v>
      </c>
      <c r="E1243" s="5">
        <v>1</v>
      </c>
      <c r="F1243" s="6">
        <v>100.72199999999999</v>
      </c>
      <c r="G1243" s="7">
        <v>7.7651700000000003E-35</v>
      </c>
      <c r="H1243" s="5">
        <v>100.72</v>
      </c>
      <c r="I1243" s="5"/>
      <c r="J1243" s="5">
        <v>1</v>
      </c>
      <c r="K1243" s="5" t="s">
        <v>2</v>
      </c>
      <c r="L1243" s="5" t="s">
        <v>4872</v>
      </c>
      <c r="M1243" s="5" t="s">
        <v>4873</v>
      </c>
      <c r="N1243" s="5" t="s">
        <v>4874</v>
      </c>
      <c r="O1243" s="5">
        <v>8</v>
      </c>
      <c r="P1243" s="6">
        <v>0</v>
      </c>
      <c r="Q1243" s="5">
        <v>0</v>
      </c>
      <c r="R1243" s="5">
        <v>0</v>
      </c>
      <c r="S1243" s="5"/>
      <c r="T1243" s="5" t="e">
        <f>LOG(Table2[[#This Row],[ratio heavy to light normalized]],2)</f>
        <v>#NUM!</v>
      </c>
      <c r="U1243" s="5"/>
    </row>
    <row r="1244" spans="1:21" x14ac:dyDescent="0.3">
      <c r="A1244" s="5" t="s">
        <v>1649</v>
      </c>
      <c r="B1244" s="5" t="s">
        <v>1650</v>
      </c>
      <c r="C1244" s="5">
        <v>304</v>
      </c>
      <c r="D1244" s="5">
        <v>304</v>
      </c>
      <c r="E1244" s="5">
        <v>1</v>
      </c>
      <c r="F1244" s="6">
        <v>81.373099999999994</v>
      </c>
      <c r="G1244" s="7">
        <v>7.1320199999999997E-16</v>
      </c>
      <c r="H1244" s="5">
        <v>81.373000000000005</v>
      </c>
      <c r="I1244" s="5"/>
      <c r="J1244" s="5">
        <v>1</v>
      </c>
      <c r="K1244" s="5" t="s">
        <v>2</v>
      </c>
      <c r="L1244" s="5" t="s">
        <v>4875</v>
      </c>
      <c r="M1244" s="5" t="s">
        <v>4876</v>
      </c>
      <c r="N1244" s="5" t="s">
        <v>4877</v>
      </c>
      <c r="O1244" s="5">
        <v>17</v>
      </c>
      <c r="P1244" s="6">
        <v>2547600</v>
      </c>
      <c r="Q1244" s="5">
        <v>2547600</v>
      </c>
      <c r="R1244" s="5">
        <v>0</v>
      </c>
      <c r="S1244" s="5"/>
      <c r="T1244" s="5" t="e">
        <f>LOG(Table2[[#This Row],[ratio heavy to light normalized]],2)</f>
        <v>#NUM!</v>
      </c>
      <c r="U1244" s="5"/>
    </row>
    <row r="1245" spans="1:21" x14ac:dyDescent="0.3">
      <c r="A1245" s="5" t="s">
        <v>4878</v>
      </c>
      <c r="B1245" s="5" t="s">
        <v>4879</v>
      </c>
      <c r="C1245" s="5">
        <v>17</v>
      </c>
      <c r="D1245" s="5">
        <v>17</v>
      </c>
      <c r="E1245" s="5">
        <v>1</v>
      </c>
      <c r="F1245" s="6">
        <v>54.4709</v>
      </c>
      <c r="G1245" s="7">
        <v>1.0470500000000001E-5</v>
      </c>
      <c r="H1245" s="5">
        <v>68.069000000000003</v>
      </c>
      <c r="I1245" s="5" t="s">
        <v>11</v>
      </c>
      <c r="J1245" s="5">
        <v>1</v>
      </c>
      <c r="K1245" s="5" t="s">
        <v>2</v>
      </c>
      <c r="L1245" s="5" t="s">
        <v>4880</v>
      </c>
      <c r="M1245" s="5" t="s">
        <v>4881</v>
      </c>
      <c r="N1245" s="5" t="s">
        <v>4882</v>
      </c>
      <c r="O1245" s="5">
        <v>9</v>
      </c>
      <c r="P1245" s="6">
        <v>0</v>
      </c>
      <c r="Q1245" s="5">
        <v>0</v>
      </c>
      <c r="R1245" s="5">
        <v>0</v>
      </c>
      <c r="S1245" s="5"/>
      <c r="T1245" s="5" t="e">
        <f>LOG(Table2[[#This Row],[ratio heavy to light normalized]],2)</f>
        <v>#NUM!</v>
      </c>
      <c r="U1245" s="5"/>
    </row>
    <row r="1246" spans="1:21" x14ac:dyDescent="0.3">
      <c r="A1246" s="5" t="s">
        <v>1113</v>
      </c>
      <c r="B1246" s="5" t="s">
        <v>1114</v>
      </c>
      <c r="C1246" s="5">
        <v>107</v>
      </c>
      <c r="D1246" s="5">
        <v>107</v>
      </c>
      <c r="E1246" s="5">
        <v>1</v>
      </c>
      <c r="F1246" s="6">
        <v>77.379000000000005</v>
      </c>
      <c r="G1246" s="7">
        <v>1.23154E-6</v>
      </c>
      <c r="H1246" s="5">
        <v>77.379000000000005</v>
      </c>
      <c r="I1246" s="5" t="s">
        <v>11</v>
      </c>
      <c r="J1246" s="5">
        <v>1</v>
      </c>
      <c r="K1246" s="5" t="s">
        <v>2</v>
      </c>
      <c r="L1246" s="5" t="s">
        <v>4883</v>
      </c>
      <c r="M1246" s="5" t="s">
        <v>4884</v>
      </c>
      <c r="N1246" s="5" t="s">
        <v>4885</v>
      </c>
      <c r="O1246" s="5">
        <v>5</v>
      </c>
      <c r="P1246" s="6">
        <v>240730</v>
      </c>
      <c r="Q1246" s="5">
        <v>240730</v>
      </c>
      <c r="R1246" s="5">
        <v>0</v>
      </c>
      <c r="S1246" s="5"/>
      <c r="T1246" s="5" t="e">
        <f>LOG(Table2[[#This Row],[ratio heavy to light normalized]],2)</f>
        <v>#NUM!</v>
      </c>
      <c r="U1246" s="5"/>
    </row>
    <row r="1247" spans="1:21" x14ac:dyDescent="0.3">
      <c r="A1247" s="5" t="s">
        <v>2540</v>
      </c>
      <c r="B1247" s="5" t="s">
        <v>2541</v>
      </c>
      <c r="C1247" s="5">
        <v>403</v>
      </c>
      <c r="D1247" s="5">
        <v>403</v>
      </c>
      <c r="E1247" s="5">
        <v>1</v>
      </c>
      <c r="F1247" s="6">
        <v>19.292000000000002</v>
      </c>
      <c r="G1247" s="5">
        <v>1.0349600000000001</v>
      </c>
      <c r="H1247" s="5">
        <v>19.292000000000002</v>
      </c>
      <c r="I1247" s="5"/>
      <c r="J1247" s="5">
        <v>1</v>
      </c>
      <c r="K1247" s="5" t="s">
        <v>2</v>
      </c>
      <c r="L1247" s="5" t="s">
        <v>4886</v>
      </c>
      <c r="M1247" s="5" t="s">
        <v>4887</v>
      </c>
      <c r="N1247" s="5" t="s">
        <v>4888</v>
      </c>
      <c r="O1247" s="5">
        <v>18</v>
      </c>
      <c r="P1247" s="6">
        <v>247470</v>
      </c>
      <c r="Q1247" s="5">
        <v>247470</v>
      </c>
      <c r="R1247" s="5">
        <v>0</v>
      </c>
      <c r="S1247" s="5"/>
      <c r="T1247" s="5" t="e">
        <f>LOG(Table2[[#This Row],[ratio heavy to light normalized]],2)</f>
        <v>#NUM!</v>
      </c>
      <c r="U1247" s="5"/>
    </row>
    <row r="1248" spans="1:21" x14ac:dyDescent="0.3">
      <c r="A1248" s="5" t="s">
        <v>4889</v>
      </c>
      <c r="B1248" s="5" t="s">
        <v>4890</v>
      </c>
      <c r="C1248" s="5">
        <v>35</v>
      </c>
      <c r="D1248" s="5">
        <v>35</v>
      </c>
      <c r="E1248" s="5">
        <v>1</v>
      </c>
      <c r="F1248" s="6">
        <v>138.07400000000001</v>
      </c>
      <c r="G1248" s="7">
        <v>4.4314899999999997E-24</v>
      </c>
      <c r="H1248" s="5">
        <v>138.07</v>
      </c>
      <c r="I1248" s="5" t="s">
        <v>11</v>
      </c>
      <c r="J1248" s="5">
        <v>1</v>
      </c>
      <c r="K1248" s="5" t="s">
        <v>2</v>
      </c>
      <c r="L1248" s="5" t="s">
        <v>4891</v>
      </c>
      <c r="M1248" s="5" t="s">
        <v>4892</v>
      </c>
      <c r="N1248" s="5" t="s">
        <v>4893</v>
      </c>
      <c r="O1248" s="5">
        <v>3</v>
      </c>
      <c r="P1248" s="6">
        <v>4246400</v>
      </c>
      <c r="Q1248" s="5">
        <v>4246400</v>
      </c>
      <c r="R1248" s="5">
        <v>0</v>
      </c>
      <c r="S1248" s="5"/>
      <c r="T1248" s="5" t="e">
        <f>LOG(Table2[[#This Row],[ratio heavy to light normalized]],2)</f>
        <v>#NUM!</v>
      </c>
      <c r="U1248" s="5"/>
    </row>
    <row r="1249" spans="1:21" x14ac:dyDescent="0.3">
      <c r="A1249" s="5" t="s">
        <v>937</v>
      </c>
      <c r="B1249" s="5" t="s">
        <v>938</v>
      </c>
      <c r="C1249" s="5">
        <v>152</v>
      </c>
      <c r="D1249" s="5">
        <v>152</v>
      </c>
      <c r="E1249" s="5">
        <v>1</v>
      </c>
      <c r="F1249" s="6">
        <v>77.911699999999996</v>
      </c>
      <c r="G1249" s="7">
        <v>4.7453999999999998E-9</v>
      </c>
      <c r="H1249" s="5">
        <v>77.912000000000006</v>
      </c>
      <c r="I1249" s="5" t="s">
        <v>11</v>
      </c>
      <c r="J1249" s="5">
        <v>1</v>
      </c>
      <c r="K1249" s="5" t="s">
        <v>2</v>
      </c>
      <c r="L1249" s="5" t="s">
        <v>4894</v>
      </c>
      <c r="M1249" s="5" t="s">
        <v>4895</v>
      </c>
      <c r="N1249" s="5" t="s">
        <v>4896</v>
      </c>
      <c r="O1249" s="5">
        <v>8</v>
      </c>
      <c r="P1249" s="6">
        <v>684030</v>
      </c>
      <c r="Q1249" s="5">
        <v>684030</v>
      </c>
      <c r="R1249" s="5">
        <v>0</v>
      </c>
      <c r="S1249" s="5"/>
      <c r="T1249" s="5" t="e">
        <f>LOG(Table2[[#This Row],[ratio heavy to light normalized]],2)</f>
        <v>#NUM!</v>
      </c>
      <c r="U1249" s="5"/>
    </row>
    <row r="1250" spans="1:21" x14ac:dyDescent="0.3">
      <c r="A1250" s="5" t="s">
        <v>710</v>
      </c>
      <c r="B1250" s="5" t="s">
        <v>711</v>
      </c>
      <c r="C1250" s="5">
        <v>18</v>
      </c>
      <c r="D1250" s="5">
        <v>18</v>
      </c>
      <c r="E1250" s="5">
        <v>1</v>
      </c>
      <c r="F1250" s="6">
        <v>48.053100000000001</v>
      </c>
      <c r="G1250" s="5">
        <v>7.6065400000000004E-4</v>
      </c>
      <c r="H1250" s="5">
        <v>48.052999999999997</v>
      </c>
      <c r="I1250" s="5" t="s">
        <v>11</v>
      </c>
      <c r="J1250" s="5">
        <v>1</v>
      </c>
      <c r="K1250" s="5" t="s">
        <v>2</v>
      </c>
      <c r="L1250" s="5" t="s">
        <v>4897</v>
      </c>
      <c r="M1250" s="5" t="s">
        <v>4898</v>
      </c>
      <c r="N1250" s="5" t="s">
        <v>4899</v>
      </c>
      <c r="O1250" s="5">
        <v>7</v>
      </c>
      <c r="P1250" s="6">
        <v>266110</v>
      </c>
      <c r="Q1250" s="5">
        <v>266110</v>
      </c>
      <c r="R1250" s="5">
        <v>0</v>
      </c>
      <c r="S1250" s="5"/>
      <c r="T1250" s="5" t="e">
        <f>LOG(Table2[[#This Row],[ratio heavy to light normalized]],2)</f>
        <v>#NUM!</v>
      </c>
      <c r="U1250" s="5"/>
    </row>
    <row r="1251" spans="1:21" x14ac:dyDescent="0.3">
      <c r="A1251" s="5" t="s">
        <v>4900</v>
      </c>
      <c r="B1251" s="5" t="s">
        <v>4901</v>
      </c>
      <c r="C1251" s="5">
        <v>89</v>
      </c>
      <c r="D1251" s="5">
        <v>89</v>
      </c>
      <c r="E1251" s="5">
        <v>1</v>
      </c>
      <c r="F1251" s="6">
        <v>49.5899</v>
      </c>
      <c r="G1251" s="5">
        <v>0.15382699999999999</v>
      </c>
      <c r="H1251" s="5">
        <v>49.59</v>
      </c>
      <c r="I1251" s="5" t="s">
        <v>11</v>
      </c>
      <c r="J1251" s="5">
        <v>1</v>
      </c>
      <c r="K1251" s="5" t="s">
        <v>2</v>
      </c>
      <c r="L1251" s="5" t="s">
        <v>4902</v>
      </c>
      <c r="M1251" s="5" t="s">
        <v>4903</v>
      </c>
      <c r="N1251" s="5" t="s">
        <v>4904</v>
      </c>
      <c r="O1251" s="5">
        <v>6</v>
      </c>
      <c r="P1251" s="6">
        <v>318890</v>
      </c>
      <c r="Q1251" s="5">
        <v>318890</v>
      </c>
      <c r="R1251" s="5">
        <v>0</v>
      </c>
      <c r="S1251" s="5"/>
      <c r="T1251" s="5" t="e">
        <f>LOG(Table2[[#This Row],[ratio heavy to light normalized]],2)</f>
        <v>#NUM!</v>
      </c>
      <c r="U1251" s="5"/>
    </row>
    <row r="1252" spans="1:21" x14ac:dyDescent="0.3">
      <c r="A1252" s="5" t="s">
        <v>2134</v>
      </c>
      <c r="B1252" s="5" t="s">
        <v>2135</v>
      </c>
      <c r="C1252" s="5">
        <v>916</v>
      </c>
      <c r="D1252" s="5">
        <v>916</v>
      </c>
      <c r="E1252" s="5">
        <v>1</v>
      </c>
      <c r="F1252" s="6">
        <v>39.033000000000001</v>
      </c>
      <c r="G1252" s="5">
        <v>4.2145500000000002E-2</v>
      </c>
      <c r="H1252" s="5">
        <v>39.033000000000001</v>
      </c>
      <c r="I1252" s="5" t="s">
        <v>11</v>
      </c>
      <c r="J1252" s="5">
        <v>1</v>
      </c>
      <c r="K1252" s="5" t="s">
        <v>2</v>
      </c>
      <c r="L1252" s="5" t="s">
        <v>4905</v>
      </c>
      <c r="M1252" s="5" t="s">
        <v>4906</v>
      </c>
      <c r="N1252" s="5" t="s">
        <v>4907</v>
      </c>
      <c r="O1252" s="5">
        <v>9</v>
      </c>
      <c r="P1252" s="6">
        <v>62984</v>
      </c>
      <c r="Q1252" s="5">
        <v>62984</v>
      </c>
      <c r="R1252" s="5">
        <v>0</v>
      </c>
      <c r="S1252" s="5"/>
      <c r="T1252" s="5" t="e">
        <f>LOG(Table2[[#This Row],[ratio heavy to light normalized]],2)</f>
        <v>#NUM!</v>
      </c>
      <c r="U1252" s="5"/>
    </row>
    <row r="1253" spans="1:21" x14ac:dyDescent="0.3">
      <c r="A1253" s="5" t="s">
        <v>2134</v>
      </c>
      <c r="B1253" s="5" t="s">
        <v>2135</v>
      </c>
      <c r="C1253" s="5">
        <v>274</v>
      </c>
      <c r="D1253" s="5">
        <v>274</v>
      </c>
      <c r="E1253" s="5">
        <v>1</v>
      </c>
      <c r="F1253" s="6">
        <v>36.284300000000002</v>
      </c>
      <c r="G1253" s="5">
        <v>0.18548400000000001</v>
      </c>
      <c r="H1253" s="5">
        <v>36.283999999999999</v>
      </c>
      <c r="I1253" s="5" t="s">
        <v>11</v>
      </c>
      <c r="J1253" s="5">
        <v>1</v>
      </c>
      <c r="K1253" s="5" t="s">
        <v>2</v>
      </c>
      <c r="L1253" s="5" t="s">
        <v>4908</v>
      </c>
      <c r="M1253" s="5" t="s">
        <v>4909</v>
      </c>
      <c r="N1253" s="5" t="s">
        <v>4910</v>
      </c>
      <c r="O1253" s="5">
        <v>10</v>
      </c>
      <c r="P1253" s="6">
        <v>308850</v>
      </c>
      <c r="Q1253" s="5">
        <v>308850</v>
      </c>
      <c r="R1253" s="5">
        <v>0</v>
      </c>
      <c r="S1253" s="5"/>
      <c r="T1253" s="5" t="e">
        <f>LOG(Table2[[#This Row],[ratio heavy to light normalized]],2)</f>
        <v>#NUM!</v>
      </c>
      <c r="U1253" s="5"/>
    </row>
    <row r="1254" spans="1:21" x14ac:dyDescent="0.3">
      <c r="A1254" s="5" t="s">
        <v>3559</v>
      </c>
      <c r="B1254" s="5" t="s">
        <v>3560</v>
      </c>
      <c r="C1254" s="5">
        <v>39</v>
      </c>
      <c r="D1254" s="5">
        <v>39</v>
      </c>
      <c r="E1254" s="5">
        <v>1</v>
      </c>
      <c r="F1254" s="6">
        <v>38.874600000000001</v>
      </c>
      <c r="G1254" s="5">
        <v>0.118342</v>
      </c>
      <c r="H1254" s="5">
        <v>38.875</v>
      </c>
      <c r="I1254" s="5"/>
      <c r="J1254" s="5">
        <v>1</v>
      </c>
      <c r="K1254" s="5" t="s">
        <v>2</v>
      </c>
      <c r="L1254" s="5" t="s">
        <v>4911</v>
      </c>
      <c r="M1254" s="5" t="s">
        <v>4912</v>
      </c>
      <c r="N1254" s="5" t="s">
        <v>4913</v>
      </c>
      <c r="O1254" s="5">
        <v>8</v>
      </c>
      <c r="P1254" s="6">
        <v>123180</v>
      </c>
      <c r="Q1254" s="5">
        <v>123180</v>
      </c>
      <c r="R1254" s="5">
        <v>0</v>
      </c>
      <c r="S1254" s="5"/>
      <c r="T1254" s="5" t="e">
        <f>LOG(Table2[[#This Row],[ratio heavy to light normalized]],2)</f>
        <v>#NUM!</v>
      </c>
      <c r="U1254" s="5"/>
    </row>
    <row r="1255" spans="1:21" x14ac:dyDescent="0.3">
      <c r="A1255" s="5" t="s">
        <v>494</v>
      </c>
      <c r="B1255" s="5" t="s">
        <v>495</v>
      </c>
      <c r="C1255" s="5">
        <v>109</v>
      </c>
      <c r="D1255" s="5">
        <v>109</v>
      </c>
      <c r="E1255" s="5">
        <v>1</v>
      </c>
      <c r="F1255" s="6">
        <v>59.428600000000003</v>
      </c>
      <c r="G1255" s="7">
        <v>1.50027E-7</v>
      </c>
      <c r="H1255" s="5">
        <v>59.429000000000002</v>
      </c>
      <c r="I1255" s="5" t="s">
        <v>11</v>
      </c>
      <c r="J1255" s="5">
        <v>1</v>
      </c>
      <c r="K1255" s="5" t="s">
        <v>2</v>
      </c>
      <c r="L1255" s="5" t="s">
        <v>4914</v>
      </c>
      <c r="M1255" s="5" t="s">
        <v>4915</v>
      </c>
      <c r="N1255" s="5" t="s">
        <v>4916</v>
      </c>
      <c r="O1255" s="5">
        <v>16</v>
      </c>
      <c r="P1255" s="6">
        <v>845570</v>
      </c>
      <c r="Q1255" s="5">
        <v>845570</v>
      </c>
      <c r="R1255" s="5">
        <v>0</v>
      </c>
      <c r="S1255" s="5"/>
      <c r="T1255" s="5" t="e">
        <f>LOG(Table2[[#This Row],[ratio heavy to light normalized]],2)</f>
        <v>#NUM!</v>
      </c>
      <c r="U1255" s="5"/>
    </row>
    <row r="1256" spans="1:21" x14ac:dyDescent="0.3">
      <c r="A1256" s="5" t="s">
        <v>608</v>
      </c>
      <c r="B1256" s="5" t="s">
        <v>609</v>
      </c>
      <c r="C1256" s="5">
        <v>28</v>
      </c>
      <c r="D1256" s="5">
        <v>28</v>
      </c>
      <c r="E1256" s="5">
        <v>1</v>
      </c>
      <c r="F1256" s="6">
        <v>63.283200000000001</v>
      </c>
      <c r="G1256" s="5">
        <v>9.3889600000000004E-4</v>
      </c>
      <c r="H1256" s="5">
        <v>63.283000000000001</v>
      </c>
      <c r="I1256" s="5" t="s">
        <v>11</v>
      </c>
      <c r="J1256" s="5">
        <v>1</v>
      </c>
      <c r="K1256" s="5" t="s">
        <v>2</v>
      </c>
      <c r="L1256" s="5" t="s">
        <v>4917</v>
      </c>
      <c r="M1256" s="5" t="s">
        <v>4918</v>
      </c>
      <c r="N1256" s="5" t="s">
        <v>4919</v>
      </c>
      <c r="O1256" s="5">
        <v>8</v>
      </c>
      <c r="P1256" s="6">
        <v>296160</v>
      </c>
      <c r="Q1256" s="5">
        <v>296160</v>
      </c>
      <c r="R1256" s="5">
        <v>0</v>
      </c>
      <c r="S1256" s="5"/>
      <c r="T1256" s="5" t="e">
        <f>LOG(Table2[[#This Row],[ratio heavy to light normalized]],2)</f>
        <v>#NUM!</v>
      </c>
      <c r="U1256" s="5"/>
    </row>
    <row r="1257" spans="1:21" x14ac:dyDescent="0.3">
      <c r="A1257" s="5" t="s">
        <v>4920</v>
      </c>
      <c r="B1257" s="5" t="s">
        <v>4921</v>
      </c>
      <c r="C1257" s="5">
        <v>106</v>
      </c>
      <c r="D1257" s="5">
        <v>106</v>
      </c>
      <c r="E1257" s="5">
        <v>1</v>
      </c>
      <c r="F1257" s="6">
        <v>29.340499999999999</v>
      </c>
      <c r="G1257" s="5">
        <v>0.21545500000000001</v>
      </c>
      <c r="H1257" s="5">
        <v>29.341000000000001</v>
      </c>
      <c r="I1257" s="5"/>
      <c r="J1257" s="5">
        <v>1</v>
      </c>
      <c r="K1257" s="5" t="s">
        <v>2</v>
      </c>
      <c r="L1257" s="5" t="s">
        <v>4922</v>
      </c>
      <c r="M1257" s="5" t="s">
        <v>4923</v>
      </c>
      <c r="N1257" s="5" t="s">
        <v>4924</v>
      </c>
      <c r="O1257" s="5">
        <v>8</v>
      </c>
      <c r="P1257" s="6">
        <v>146430</v>
      </c>
      <c r="Q1257" s="5">
        <v>146430</v>
      </c>
      <c r="R1257" s="5">
        <v>0</v>
      </c>
      <c r="S1257" s="5"/>
      <c r="T1257" s="5" t="e">
        <f>LOG(Table2[[#This Row],[ratio heavy to light normalized]],2)</f>
        <v>#NUM!</v>
      </c>
      <c r="U1257" s="5"/>
    </row>
    <row r="1258" spans="1:21" x14ac:dyDescent="0.3">
      <c r="A1258" s="5" t="s">
        <v>2953</v>
      </c>
      <c r="B1258" s="5" t="s">
        <v>2954</v>
      </c>
      <c r="C1258" s="5">
        <v>832</v>
      </c>
      <c r="D1258" s="5">
        <v>832</v>
      </c>
      <c r="E1258" s="5">
        <v>1</v>
      </c>
      <c r="F1258" s="6">
        <v>23.137799999999999</v>
      </c>
      <c r="G1258" s="5">
        <v>1.2351799999999999</v>
      </c>
      <c r="H1258" s="5">
        <v>23.138000000000002</v>
      </c>
      <c r="I1258" s="5" t="s">
        <v>11</v>
      </c>
      <c r="J1258" s="5">
        <v>1</v>
      </c>
      <c r="K1258" s="5" t="s">
        <v>2</v>
      </c>
      <c r="L1258" s="5" t="s">
        <v>4925</v>
      </c>
      <c r="M1258" s="5" t="s">
        <v>4926</v>
      </c>
      <c r="N1258" s="5" t="s">
        <v>4927</v>
      </c>
      <c r="O1258" s="5">
        <v>6</v>
      </c>
      <c r="P1258" s="6">
        <v>137690</v>
      </c>
      <c r="Q1258" s="5">
        <v>137690</v>
      </c>
      <c r="R1258" s="5">
        <v>0</v>
      </c>
      <c r="S1258" s="5"/>
      <c r="T1258" s="5" t="e">
        <f>LOG(Table2[[#This Row],[ratio heavy to light normalized]],2)</f>
        <v>#NUM!</v>
      </c>
      <c r="U1258" s="5"/>
    </row>
    <row r="1259" spans="1:21" x14ac:dyDescent="0.3">
      <c r="A1259" s="5" t="s">
        <v>445</v>
      </c>
      <c r="B1259" s="5" t="s">
        <v>446</v>
      </c>
      <c r="C1259" s="5">
        <v>493</v>
      </c>
      <c r="D1259" s="5">
        <v>493</v>
      </c>
      <c r="E1259" s="5">
        <v>1</v>
      </c>
      <c r="F1259" s="6">
        <v>80.522099999999995</v>
      </c>
      <c r="G1259" s="7">
        <v>1.64192E-10</v>
      </c>
      <c r="H1259" s="5">
        <v>80.522000000000006</v>
      </c>
      <c r="I1259" s="5" t="s">
        <v>11</v>
      </c>
      <c r="J1259" s="5">
        <v>1</v>
      </c>
      <c r="K1259" s="5" t="s">
        <v>2</v>
      </c>
      <c r="L1259" s="5" t="s">
        <v>4928</v>
      </c>
      <c r="M1259" s="5" t="s">
        <v>4929</v>
      </c>
      <c r="N1259" s="5" t="s">
        <v>4930</v>
      </c>
      <c r="O1259" s="5">
        <v>3</v>
      </c>
      <c r="P1259" s="6">
        <v>91116</v>
      </c>
      <c r="Q1259" s="5">
        <v>91116</v>
      </c>
      <c r="R1259" s="5">
        <v>0</v>
      </c>
      <c r="S1259" s="5"/>
      <c r="T1259" s="5" t="e">
        <f>LOG(Table2[[#This Row],[ratio heavy to light normalized]],2)</f>
        <v>#NUM!</v>
      </c>
      <c r="U1259" s="5"/>
    </row>
    <row r="1260" spans="1:21" x14ac:dyDescent="0.3">
      <c r="A1260" s="5" t="s">
        <v>4931</v>
      </c>
      <c r="B1260" s="5" t="s">
        <v>4932</v>
      </c>
      <c r="C1260" s="5">
        <v>56</v>
      </c>
      <c r="D1260" s="5">
        <v>56</v>
      </c>
      <c r="E1260" s="5">
        <v>1</v>
      </c>
      <c r="F1260" s="6">
        <v>37.344200000000001</v>
      </c>
      <c r="G1260" s="5">
        <v>0.20607200000000001</v>
      </c>
      <c r="H1260" s="5">
        <v>37.344000000000001</v>
      </c>
      <c r="I1260" s="5" t="s">
        <v>11</v>
      </c>
      <c r="J1260" s="5">
        <v>1</v>
      </c>
      <c r="K1260" s="5" t="s">
        <v>2</v>
      </c>
      <c r="L1260" s="5" t="s">
        <v>4933</v>
      </c>
      <c r="M1260" s="5" t="s">
        <v>4934</v>
      </c>
      <c r="N1260" s="5" t="s">
        <v>4935</v>
      </c>
      <c r="O1260" s="5">
        <v>1</v>
      </c>
      <c r="P1260" s="6">
        <v>147900</v>
      </c>
      <c r="Q1260" s="5">
        <v>147900</v>
      </c>
      <c r="R1260" s="5">
        <v>0</v>
      </c>
      <c r="S1260" s="5"/>
      <c r="T1260" s="5" t="e">
        <f>LOG(Table2[[#This Row],[ratio heavy to light normalized]],2)</f>
        <v>#NUM!</v>
      </c>
      <c r="U1260" s="5"/>
    </row>
    <row r="1261" spans="1:21" x14ac:dyDescent="0.3">
      <c r="A1261" s="5" t="s">
        <v>4936</v>
      </c>
      <c r="B1261" s="5" t="s">
        <v>4937</v>
      </c>
      <c r="C1261" s="5">
        <v>344</v>
      </c>
      <c r="D1261" s="5">
        <v>344</v>
      </c>
      <c r="E1261" s="5">
        <v>1</v>
      </c>
      <c r="F1261" s="6">
        <v>36.480699999999999</v>
      </c>
      <c r="G1261" s="5">
        <v>0.26257599999999998</v>
      </c>
      <c r="H1261" s="5">
        <v>36.481000000000002</v>
      </c>
      <c r="I1261" s="5" t="s">
        <v>11</v>
      </c>
      <c r="J1261" s="5">
        <v>1</v>
      </c>
      <c r="K1261" s="5" t="s">
        <v>2</v>
      </c>
      <c r="L1261" s="5" t="s">
        <v>4938</v>
      </c>
      <c r="M1261" s="5" t="s">
        <v>4939</v>
      </c>
      <c r="N1261" s="5" t="s">
        <v>4940</v>
      </c>
      <c r="O1261" s="5">
        <v>4</v>
      </c>
      <c r="P1261" s="6">
        <v>276110</v>
      </c>
      <c r="Q1261" s="5">
        <v>276110</v>
      </c>
      <c r="R1261" s="5">
        <v>0</v>
      </c>
      <c r="S1261" s="5"/>
      <c r="T1261" s="5" t="e">
        <f>LOG(Table2[[#This Row],[ratio heavy to light normalized]],2)</f>
        <v>#NUM!</v>
      </c>
      <c r="U1261" s="5"/>
    </row>
    <row r="1262" spans="1:21" x14ac:dyDescent="0.3">
      <c r="A1262" s="5" t="s">
        <v>4941</v>
      </c>
      <c r="B1262" s="5" t="s">
        <v>4942</v>
      </c>
      <c r="C1262" s="5">
        <v>254</v>
      </c>
      <c r="D1262" s="5">
        <v>254</v>
      </c>
      <c r="E1262" s="5">
        <v>1</v>
      </c>
      <c r="F1262" s="6">
        <v>64.640100000000004</v>
      </c>
      <c r="G1262" s="7">
        <v>5.8138399999999999E-5</v>
      </c>
      <c r="H1262" s="5">
        <v>64.64</v>
      </c>
      <c r="I1262" s="5"/>
      <c r="J1262" s="5">
        <v>1</v>
      </c>
      <c r="K1262" s="5" t="s">
        <v>2</v>
      </c>
      <c r="L1262" s="5" t="s">
        <v>4943</v>
      </c>
      <c r="M1262" s="5" t="s">
        <v>4944</v>
      </c>
      <c r="N1262" s="5" t="s">
        <v>4945</v>
      </c>
      <c r="O1262" s="5">
        <v>8</v>
      </c>
      <c r="P1262" s="6">
        <v>412520</v>
      </c>
      <c r="Q1262" s="5">
        <v>412520</v>
      </c>
      <c r="R1262" s="5">
        <v>0</v>
      </c>
      <c r="S1262" s="5"/>
      <c r="T1262" s="5" t="e">
        <f>LOG(Table2[[#This Row],[ratio heavy to light normalized]],2)</f>
        <v>#NUM!</v>
      </c>
      <c r="U1262" s="5"/>
    </row>
    <row r="1263" spans="1:21" x14ac:dyDescent="0.3">
      <c r="A1263" s="5" t="s">
        <v>4946</v>
      </c>
      <c r="B1263" s="5" t="s">
        <v>4947</v>
      </c>
      <c r="C1263" s="5">
        <v>264</v>
      </c>
      <c r="D1263" s="5">
        <v>264</v>
      </c>
      <c r="E1263" s="5">
        <v>1</v>
      </c>
      <c r="F1263" s="6">
        <v>41.283299999999997</v>
      </c>
      <c r="G1263" s="5">
        <v>0.21210300000000001</v>
      </c>
      <c r="H1263" s="5">
        <v>41.283000000000001</v>
      </c>
      <c r="I1263" s="5"/>
      <c r="J1263" s="5">
        <v>1</v>
      </c>
      <c r="K1263" s="5" t="s">
        <v>2</v>
      </c>
      <c r="L1263" s="5" t="s">
        <v>4948</v>
      </c>
      <c r="M1263" s="5" t="s">
        <v>4949</v>
      </c>
      <c r="N1263" s="5" t="s">
        <v>4950</v>
      </c>
      <c r="O1263" s="5">
        <v>9</v>
      </c>
      <c r="P1263" s="6">
        <v>0</v>
      </c>
      <c r="Q1263" s="5">
        <v>0</v>
      </c>
      <c r="R1263" s="5">
        <v>0</v>
      </c>
      <c r="S1263" s="5"/>
      <c r="T1263" s="5" t="e">
        <f>LOG(Table2[[#This Row],[ratio heavy to light normalized]],2)</f>
        <v>#NUM!</v>
      </c>
      <c r="U1263" s="5"/>
    </row>
    <row r="1264" spans="1:21" x14ac:dyDescent="0.3">
      <c r="A1264" s="5" t="s">
        <v>702</v>
      </c>
      <c r="B1264" s="5" t="s">
        <v>703</v>
      </c>
      <c r="C1264" s="5">
        <v>296</v>
      </c>
      <c r="D1264" s="5">
        <v>296</v>
      </c>
      <c r="E1264" s="5">
        <v>1</v>
      </c>
      <c r="F1264" s="6">
        <v>77.379000000000005</v>
      </c>
      <c r="G1264" s="7">
        <v>1.23154E-6</v>
      </c>
      <c r="H1264" s="5">
        <v>77.379000000000005</v>
      </c>
      <c r="I1264" s="5" t="s">
        <v>11</v>
      </c>
      <c r="J1264" s="5">
        <v>1</v>
      </c>
      <c r="K1264" s="5" t="s">
        <v>2</v>
      </c>
      <c r="L1264" s="5" t="s">
        <v>4951</v>
      </c>
      <c r="M1264" s="5" t="s">
        <v>4952</v>
      </c>
      <c r="N1264" s="5" t="s">
        <v>4953</v>
      </c>
      <c r="O1264" s="5">
        <v>6</v>
      </c>
      <c r="P1264" s="6">
        <v>247360</v>
      </c>
      <c r="Q1264" s="5">
        <v>247360</v>
      </c>
      <c r="R1264" s="5">
        <v>0</v>
      </c>
      <c r="S1264" s="5"/>
      <c r="T1264" s="5" t="e">
        <f>LOG(Table2[[#This Row],[ratio heavy to light normalized]],2)</f>
        <v>#NUM!</v>
      </c>
      <c r="U1264" s="5"/>
    </row>
    <row r="1265" spans="1:21" x14ac:dyDescent="0.3">
      <c r="A1265" s="5" t="s">
        <v>283</v>
      </c>
      <c r="B1265" s="5" t="s">
        <v>284</v>
      </c>
      <c r="C1265" s="5">
        <v>332</v>
      </c>
      <c r="D1265" s="5">
        <v>332</v>
      </c>
      <c r="E1265" s="5">
        <v>1</v>
      </c>
      <c r="F1265" s="6">
        <v>60.433599999999998</v>
      </c>
      <c r="G1265" s="5">
        <v>1.5843000000000001E-3</v>
      </c>
      <c r="H1265" s="5">
        <v>60.433999999999997</v>
      </c>
      <c r="I1265" s="5" t="s">
        <v>11</v>
      </c>
      <c r="J1265" s="5">
        <v>1</v>
      </c>
      <c r="K1265" s="5" t="s">
        <v>2</v>
      </c>
      <c r="L1265" s="5" t="s">
        <v>4954</v>
      </c>
      <c r="M1265" s="5" t="s">
        <v>4955</v>
      </c>
      <c r="N1265" s="5" t="s">
        <v>4956</v>
      </c>
      <c r="O1265" s="5">
        <v>2</v>
      </c>
      <c r="P1265" s="6">
        <v>311460</v>
      </c>
      <c r="Q1265" s="5">
        <v>311460</v>
      </c>
      <c r="R1265" s="5">
        <v>0</v>
      </c>
      <c r="S1265" s="5"/>
      <c r="T1265" s="5" t="e">
        <f>LOG(Table2[[#This Row],[ratio heavy to light normalized]],2)</f>
        <v>#NUM!</v>
      </c>
      <c r="U1265" s="5"/>
    </row>
    <row r="1266" spans="1:21" x14ac:dyDescent="0.3">
      <c r="A1266" s="5" t="s">
        <v>81</v>
      </c>
      <c r="B1266" s="5" t="s">
        <v>82</v>
      </c>
      <c r="C1266" s="5">
        <v>28</v>
      </c>
      <c r="D1266" s="5">
        <v>28</v>
      </c>
      <c r="E1266" s="5">
        <v>1</v>
      </c>
      <c r="F1266" s="6">
        <v>48.488999999999997</v>
      </c>
      <c r="G1266" s="5">
        <v>1.8128400000000001E-4</v>
      </c>
      <c r="H1266" s="5">
        <v>48.488999999999997</v>
      </c>
      <c r="I1266" s="5" t="s">
        <v>11</v>
      </c>
      <c r="J1266" s="5">
        <v>1</v>
      </c>
      <c r="K1266" s="5" t="s">
        <v>2</v>
      </c>
      <c r="L1266" s="5" t="s">
        <v>4957</v>
      </c>
      <c r="M1266" s="5" t="s">
        <v>4958</v>
      </c>
      <c r="N1266" s="5" t="s">
        <v>4959</v>
      </c>
      <c r="O1266" s="5">
        <v>16</v>
      </c>
      <c r="P1266" s="6">
        <v>570460</v>
      </c>
      <c r="Q1266" s="5">
        <v>570460</v>
      </c>
      <c r="R1266" s="5">
        <v>0</v>
      </c>
      <c r="S1266" s="5"/>
      <c r="T1266" s="5" t="e">
        <f>LOG(Table2[[#This Row],[ratio heavy to light normalized]],2)</f>
        <v>#NUM!</v>
      </c>
      <c r="U1266" s="5"/>
    </row>
    <row r="1267" spans="1:21" x14ac:dyDescent="0.3">
      <c r="A1267" s="5" t="s">
        <v>4960</v>
      </c>
      <c r="B1267" s="5" t="s">
        <v>4961</v>
      </c>
      <c r="C1267" s="5">
        <v>138</v>
      </c>
      <c r="D1267" s="5">
        <v>138</v>
      </c>
      <c r="E1267" s="5">
        <v>1</v>
      </c>
      <c r="F1267" s="6">
        <v>46.796999999999997</v>
      </c>
      <c r="G1267" s="5">
        <v>2.47028E-3</v>
      </c>
      <c r="H1267" s="5">
        <v>46.796999999999997</v>
      </c>
      <c r="I1267" s="5" t="s">
        <v>11</v>
      </c>
      <c r="J1267" s="5">
        <v>1</v>
      </c>
      <c r="K1267" s="5" t="s">
        <v>2</v>
      </c>
      <c r="L1267" s="5" t="s">
        <v>4962</v>
      </c>
      <c r="M1267" s="5" t="s">
        <v>4963</v>
      </c>
      <c r="N1267" s="5" t="s">
        <v>4964</v>
      </c>
      <c r="O1267" s="5">
        <v>6</v>
      </c>
      <c r="P1267" s="6">
        <v>521120</v>
      </c>
      <c r="Q1267" s="5">
        <v>521120</v>
      </c>
      <c r="R1267" s="5">
        <v>0</v>
      </c>
      <c r="S1267" s="5"/>
      <c r="T1267" s="5" t="e">
        <f>LOG(Table2[[#This Row],[ratio heavy to light normalized]],2)</f>
        <v>#NUM!</v>
      </c>
      <c r="U1267" s="5"/>
    </row>
    <row r="1268" spans="1:21" x14ac:dyDescent="0.3">
      <c r="A1268" s="5" t="s">
        <v>4965</v>
      </c>
      <c r="B1268" s="5" t="s">
        <v>4966</v>
      </c>
      <c r="C1268" s="5">
        <v>76</v>
      </c>
      <c r="D1268" s="5">
        <v>76</v>
      </c>
      <c r="E1268" s="5">
        <v>1</v>
      </c>
      <c r="F1268" s="6">
        <v>44.023899999999998</v>
      </c>
      <c r="G1268" s="5">
        <v>2.0772800000000001E-2</v>
      </c>
      <c r="H1268" s="5">
        <v>44.024000000000001</v>
      </c>
      <c r="I1268" s="5" t="s">
        <v>11</v>
      </c>
      <c r="J1268" s="5">
        <v>1</v>
      </c>
      <c r="K1268" s="5" t="s">
        <v>2</v>
      </c>
      <c r="L1268" s="5" t="s">
        <v>4967</v>
      </c>
      <c r="M1268" s="5" t="s">
        <v>4968</v>
      </c>
      <c r="N1268" s="5" t="s">
        <v>4969</v>
      </c>
      <c r="O1268" s="5">
        <v>3</v>
      </c>
      <c r="P1268" s="6">
        <v>280100</v>
      </c>
      <c r="Q1268" s="5">
        <v>280100</v>
      </c>
      <c r="R1268" s="5">
        <v>0</v>
      </c>
      <c r="S1268" s="5"/>
      <c r="T1268" s="5" t="e">
        <f>LOG(Table2[[#This Row],[ratio heavy to light normalized]],2)</f>
        <v>#NUM!</v>
      </c>
      <c r="U1268" s="5"/>
    </row>
    <row r="1269" spans="1:21" x14ac:dyDescent="0.3">
      <c r="A1269" s="5" t="s">
        <v>2813</v>
      </c>
      <c r="B1269" s="5" t="s">
        <v>2814</v>
      </c>
      <c r="C1269" s="5">
        <v>489</v>
      </c>
      <c r="D1269" s="5">
        <v>489</v>
      </c>
      <c r="E1269" s="5">
        <v>1</v>
      </c>
      <c r="F1269" s="6">
        <v>60.019100000000002</v>
      </c>
      <c r="G1269" s="5">
        <v>4.7168699999999997E-3</v>
      </c>
      <c r="H1269" s="5">
        <v>60.018999999999998</v>
      </c>
      <c r="I1269" s="5" t="s">
        <v>11</v>
      </c>
      <c r="J1269" s="5">
        <v>1</v>
      </c>
      <c r="K1269" s="5" t="s">
        <v>2</v>
      </c>
      <c r="L1269" s="5" t="s">
        <v>4970</v>
      </c>
      <c r="M1269" s="5" t="s">
        <v>4971</v>
      </c>
      <c r="N1269" s="5" t="s">
        <v>4972</v>
      </c>
      <c r="O1269" s="5">
        <v>7</v>
      </c>
      <c r="P1269" s="6">
        <v>172680</v>
      </c>
      <c r="Q1269" s="5">
        <v>172680</v>
      </c>
      <c r="R1269" s="5">
        <v>0</v>
      </c>
      <c r="S1269" s="5"/>
      <c r="T1269" s="5" t="e">
        <f>LOG(Table2[[#This Row],[ratio heavy to light normalized]],2)</f>
        <v>#NUM!</v>
      </c>
      <c r="U1269" s="5"/>
    </row>
    <row r="1270" spans="1:21" x14ac:dyDescent="0.3">
      <c r="A1270" s="5" t="s">
        <v>4428</v>
      </c>
      <c r="B1270" s="5" t="s">
        <v>4429</v>
      </c>
      <c r="C1270" s="5">
        <v>134</v>
      </c>
      <c r="D1270" s="5">
        <v>134</v>
      </c>
      <c r="E1270" s="5">
        <v>1</v>
      </c>
      <c r="F1270" s="6">
        <v>36.482599999999998</v>
      </c>
      <c r="G1270" s="5">
        <v>3.6492999999999998E-2</v>
      </c>
      <c r="H1270" s="5">
        <v>36.482999999999997</v>
      </c>
      <c r="I1270" s="5"/>
      <c r="J1270" s="5">
        <v>1</v>
      </c>
      <c r="K1270" s="5" t="s">
        <v>2</v>
      </c>
      <c r="L1270" s="5" t="s">
        <v>4973</v>
      </c>
      <c r="M1270" s="5" t="s">
        <v>4974</v>
      </c>
      <c r="N1270" s="5" t="s">
        <v>4975</v>
      </c>
      <c r="O1270" s="5">
        <v>29</v>
      </c>
      <c r="P1270" s="6">
        <v>1464400</v>
      </c>
      <c r="Q1270" s="5">
        <v>1464400</v>
      </c>
      <c r="R1270" s="5">
        <v>0</v>
      </c>
      <c r="S1270" s="5"/>
      <c r="T1270" s="5" t="e">
        <f>LOG(Table2[[#This Row],[ratio heavy to light normalized]],2)</f>
        <v>#NUM!</v>
      </c>
      <c r="U1270" s="5"/>
    </row>
    <row r="1271" spans="1:21" x14ac:dyDescent="0.3">
      <c r="A1271" s="5" t="s">
        <v>2335</v>
      </c>
      <c r="B1271" s="5" t="s">
        <v>2336</v>
      </c>
      <c r="C1271" s="5">
        <v>98</v>
      </c>
      <c r="D1271" s="5">
        <v>98</v>
      </c>
      <c r="E1271" s="5">
        <v>1</v>
      </c>
      <c r="F1271" s="6">
        <v>97.067599999999999</v>
      </c>
      <c r="G1271" s="7">
        <v>9.8660899999999994E-9</v>
      </c>
      <c r="H1271" s="5">
        <v>97.067999999999998</v>
      </c>
      <c r="I1271" s="5" t="s">
        <v>11</v>
      </c>
      <c r="J1271" s="5">
        <v>1</v>
      </c>
      <c r="K1271" s="5" t="s">
        <v>2</v>
      </c>
      <c r="L1271" s="5" t="s">
        <v>4976</v>
      </c>
      <c r="M1271" s="5" t="s">
        <v>4977</v>
      </c>
      <c r="N1271" s="5" t="s">
        <v>4978</v>
      </c>
      <c r="O1271" s="5">
        <v>2</v>
      </c>
      <c r="P1271" s="6">
        <v>778620</v>
      </c>
      <c r="Q1271" s="5">
        <v>778620</v>
      </c>
      <c r="R1271" s="5">
        <v>0</v>
      </c>
      <c r="S1271" s="5"/>
      <c r="T1271" s="5" t="e">
        <f>LOG(Table2[[#This Row],[ratio heavy to light normalized]],2)</f>
        <v>#NUM!</v>
      </c>
      <c r="U1271" s="5"/>
    </row>
    <row r="1272" spans="1:21" x14ac:dyDescent="0.3">
      <c r="A1272" s="5" t="s">
        <v>1988</v>
      </c>
      <c r="B1272" s="5" t="s">
        <v>1989</v>
      </c>
      <c r="C1272" s="5">
        <v>139</v>
      </c>
      <c r="D1272" s="5">
        <v>139</v>
      </c>
      <c r="E1272" s="5">
        <v>1</v>
      </c>
      <c r="F1272" s="6">
        <v>29.012599999999999</v>
      </c>
      <c r="G1272" s="5">
        <v>0.25511</v>
      </c>
      <c r="H1272" s="5">
        <v>29.013000000000002</v>
      </c>
      <c r="I1272" s="5" t="s">
        <v>11</v>
      </c>
      <c r="J1272" s="5">
        <v>1</v>
      </c>
      <c r="K1272" s="5" t="s">
        <v>2</v>
      </c>
      <c r="L1272" s="5" t="s">
        <v>4979</v>
      </c>
      <c r="M1272" s="5" t="s">
        <v>4980</v>
      </c>
      <c r="N1272" s="5" t="s">
        <v>4981</v>
      </c>
      <c r="O1272" s="5">
        <v>10</v>
      </c>
      <c r="P1272" s="6">
        <v>315290</v>
      </c>
      <c r="Q1272" s="5">
        <v>315290</v>
      </c>
      <c r="R1272" s="5">
        <v>0</v>
      </c>
      <c r="S1272" s="5"/>
      <c r="T1272" s="5" t="e">
        <f>LOG(Table2[[#This Row],[ratio heavy to light normalized]],2)</f>
        <v>#NUM!</v>
      </c>
      <c r="U1272" s="5"/>
    </row>
    <row r="1273" spans="1:21" x14ac:dyDescent="0.3">
      <c r="A1273" s="5" t="s">
        <v>4175</v>
      </c>
      <c r="B1273" s="5" t="s">
        <v>4176</v>
      </c>
      <c r="C1273" s="5">
        <v>308</v>
      </c>
      <c r="D1273" s="5">
        <v>308</v>
      </c>
      <c r="E1273" s="5">
        <v>1</v>
      </c>
      <c r="F1273" s="6">
        <v>66.993200000000002</v>
      </c>
      <c r="G1273" s="5">
        <v>5.4338700000000004E-3</v>
      </c>
      <c r="H1273" s="5">
        <v>66.992999999999995</v>
      </c>
      <c r="I1273" s="5" t="s">
        <v>11</v>
      </c>
      <c r="J1273" s="5">
        <v>1</v>
      </c>
      <c r="K1273" s="5" t="s">
        <v>2</v>
      </c>
      <c r="L1273" s="5" t="s">
        <v>4982</v>
      </c>
      <c r="M1273" s="5" t="s">
        <v>4983</v>
      </c>
      <c r="N1273" s="5" t="s">
        <v>4984</v>
      </c>
      <c r="O1273" s="5">
        <v>4</v>
      </c>
      <c r="P1273" s="6">
        <v>208410</v>
      </c>
      <c r="Q1273" s="5">
        <v>208410</v>
      </c>
      <c r="R1273" s="5">
        <v>0</v>
      </c>
      <c r="S1273" s="5"/>
      <c r="T1273" s="5" t="e">
        <f>LOG(Table2[[#This Row],[ratio heavy to light normalized]],2)</f>
        <v>#NUM!</v>
      </c>
      <c r="U1273" s="5"/>
    </row>
    <row r="1274" spans="1:21" x14ac:dyDescent="0.3">
      <c r="A1274" s="5" t="s">
        <v>4985</v>
      </c>
      <c r="B1274" s="5" t="s">
        <v>4986</v>
      </c>
      <c r="C1274" s="5">
        <v>566</v>
      </c>
      <c r="D1274" s="5">
        <v>566</v>
      </c>
      <c r="E1274" s="5">
        <v>1</v>
      </c>
      <c r="F1274" s="6">
        <v>33.7821</v>
      </c>
      <c r="G1274" s="5">
        <v>1.28732</v>
      </c>
      <c r="H1274" s="5">
        <v>33.781999999999996</v>
      </c>
      <c r="I1274" s="5" t="s">
        <v>11</v>
      </c>
      <c r="J1274" s="5">
        <v>1</v>
      </c>
      <c r="K1274" s="5" t="s">
        <v>2</v>
      </c>
      <c r="L1274" s="5" t="s">
        <v>4987</v>
      </c>
      <c r="M1274" s="5" t="s">
        <v>4988</v>
      </c>
      <c r="N1274" s="5" t="s">
        <v>4989</v>
      </c>
      <c r="O1274" s="5">
        <v>3</v>
      </c>
      <c r="P1274" s="6">
        <v>138480</v>
      </c>
      <c r="Q1274" s="5">
        <v>138480</v>
      </c>
      <c r="R1274" s="5">
        <v>0</v>
      </c>
      <c r="S1274" s="5"/>
      <c r="T1274" s="5" t="e">
        <f>LOG(Table2[[#This Row],[ratio heavy to light normalized]],2)</f>
        <v>#NUM!</v>
      </c>
      <c r="U1274" s="5"/>
    </row>
  </sheetData>
  <sortState xmlns:xlrd2="http://schemas.microsoft.com/office/spreadsheetml/2017/richdata2" ref="A2:BL1274">
    <sortCondition ref="U2:U1274"/>
  </sortState>
  <pageMargins left="0.7" right="0.7" top="0.75" bottom="0.75" header="0.3" footer="0.3"/>
  <pageSetup paperSize="9" orientation="portrait" horizontalDpi="4294967292" verticalDpi="4294967292"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0546-7159-40AB-BE12-AD262268FB12}">
  <dimension ref="A1:U52"/>
  <sheetViews>
    <sheetView workbookViewId="0">
      <selection activeCell="B6" sqref="B6"/>
    </sheetView>
  </sheetViews>
  <sheetFormatPr defaultRowHeight="14.4" x14ac:dyDescent="0.3"/>
  <cols>
    <col min="1" max="1" width="11.109375" customWidth="1"/>
    <col min="2" max="2" width="55.5546875" customWidth="1"/>
    <col min="3" max="5" width="11.109375" customWidth="1"/>
    <col min="6" max="6" width="7.77734375" customWidth="1"/>
    <col min="7" max="8" width="11.109375" customWidth="1"/>
    <col min="9" max="11" width="7.77734375" customWidth="1"/>
    <col min="12" max="14" width="22.21875" customWidth="1"/>
    <col min="15" max="15" width="7.77734375" customWidth="1"/>
    <col min="16" max="20" width="11.109375" customWidth="1"/>
    <col min="21" max="21" width="11" customWidth="1"/>
  </cols>
  <sheetData>
    <row r="1" spans="1:21" x14ac:dyDescent="0.3">
      <c r="A1" s="18" t="s">
        <v>4990</v>
      </c>
      <c r="B1" s="19" t="s">
        <v>4995</v>
      </c>
      <c r="C1" s="19" t="s">
        <v>4991</v>
      </c>
      <c r="D1" s="19" t="s">
        <v>4992</v>
      </c>
      <c r="E1" s="19" t="s">
        <v>4993</v>
      </c>
      <c r="F1" s="20" t="s">
        <v>4996</v>
      </c>
      <c r="G1" s="19" t="s">
        <v>4994</v>
      </c>
      <c r="H1" s="19" t="s">
        <v>4997</v>
      </c>
      <c r="I1" s="19" t="s">
        <v>4998</v>
      </c>
      <c r="J1" s="19" t="s">
        <v>4999</v>
      </c>
      <c r="K1" s="19" t="s">
        <v>5000</v>
      </c>
      <c r="L1" s="19" t="s">
        <v>5001</v>
      </c>
      <c r="M1" s="19" t="s">
        <v>5002</v>
      </c>
      <c r="N1" s="19" t="s">
        <v>5003</v>
      </c>
      <c r="O1" s="19" t="s">
        <v>5004</v>
      </c>
      <c r="P1" s="20" t="s">
        <v>5005</v>
      </c>
      <c r="Q1" s="19" t="s">
        <v>5006</v>
      </c>
      <c r="R1" s="19" t="s">
        <v>5007</v>
      </c>
      <c r="S1" s="19" t="s">
        <v>5008</v>
      </c>
      <c r="T1" s="19" t="s">
        <v>5010</v>
      </c>
      <c r="U1" s="21" t="s">
        <v>5009</v>
      </c>
    </row>
    <row r="2" spans="1:21" x14ac:dyDescent="0.3">
      <c r="A2" s="8" t="s">
        <v>0</v>
      </c>
      <c r="B2" s="9" t="s">
        <v>1</v>
      </c>
      <c r="C2" s="9">
        <v>306</v>
      </c>
      <c r="D2" s="9">
        <v>306</v>
      </c>
      <c r="E2" s="9">
        <v>1</v>
      </c>
      <c r="F2" s="10">
        <v>106.61799999999999</v>
      </c>
      <c r="G2" s="11">
        <v>3.9360099999999999E-16</v>
      </c>
      <c r="H2" s="9">
        <v>106.62</v>
      </c>
      <c r="I2" s="9"/>
      <c r="J2" s="9">
        <v>1</v>
      </c>
      <c r="K2" s="9" t="s">
        <v>2</v>
      </c>
      <c r="L2" s="9" t="s">
        <v>3</v>
      </c>
      <c r="M2" s="9" t="s">
        <v>4</v>
      </c>
      <c r="N2" s="9" t="s">
        <v>5</v>
      </c>
      <c r="O2" s="9">
        <v>5</v>
      </c>
      <c r="P2" s="10">
        <v>10633000</v>
      </c>
      <c r="Q2" s="9">
        <v>550750</v>
      </c>
      <c r="R2" s="9">
        <v>10082000</v>
      </c>
      <c r="S2" s="9">
        <v>15.097</v>
      </c>
      <c r="T2" s="9">
        <f>LOG(S2,2)</f>
        <v>3.9161899878071305</v>
      </c>
      <c r="U2" s="12">
        <v>1.23297425522555E-71</v>
      </c>
    </row>
    <row r="3" spans="1:21" x14ac:dyDescent="0.3">
      <c r="A3" s="8" t="s">
        <v>0</v>
      </c>
      <c r="B3" s="9" t="s">
        <v>1</v>
      </c>
      <c r="C3" s="9">
        <v>738</v>
      </c>
      <c r="D3" s="9">
        <v>738</v>
      </c>
      <c r="E3" s="9">
        <v>1</v>
      </c>
      <c r="F3" s="10">
        <v>94.465299999999999</v>
      </c>
      <c r="G3" s="11">
        <v>7.9532099999999996E-13</v>
      </c>
      <c r="H3" s="9">
        <v>94.465000000000003</v>
      </c>
      <c r="I3" s="9"/>
      <c r="J3" s="9">
        <v>1</v>
      </c>
      <c r="K3" s="9" t="s">
        <v>2</v>
      </c>
      <c r="L3" s="9" t="s">
        <v>6</v>
      </c>
      <c r="M3" s="9" t="s">
        <v>7</v>
      </c>
      <c r="N3" s="9" t="s">
        <v>8</v>
      </c>
      <c r="O3" s="9">
        <v>10</v>
      </c>
      <c r="P3" s="10">
        <v>5308600</v>
      </c>
      <c r="Q3" s="9">
        <v>238380</v>
      </c>
      <c r="R3" s="9">
        <v>5070200</v>
      </c>
      <c r="S3" s="9">
        <v>11.018000000000001</v>
      </c>
      <c r="T3" s="9">
        <f t="shared" ref="T3:T52" si="0">LOG(S3,2)</f>
        <v>3.4617904629030036</v>
      </c>
      <c r="U3" s="12">
        <v>7.9946337006275702E-35</v>
      </c>
    </row>
    <row r="4" spans="1:21" x14ac:dyDescent="0.3">
      <c r="A4" s="8" t="s">
        <v>30</v>
      </c>
      <c r="B4" s="9" t="s">
        <v>31</v>
      </c>
      <c r="C4" s="9">
        <v>13</v>
      </c>
      <c r="D4" s="9">
        <v>13</v>
      </c>
      <c r="E4" s="9">
        <v>1</v>
      </c>
      <c r="F4" s="10">
        <v>42.598599999999998</v>
      </c>
      <c r="G4" s="9">
        <v>6.4129599999999997E-3</v>
      </c>
      <c r="H4" s="9">
        <v>42.598999999999997</v>
      </c>
      <c r="I4" s="9"/>
      <c r="J4" s="9">
        <v>1</v>
      </c>
      <c r="K4" s="9" t="s">
        <v>2</v>
      </c>
      <c r="L4" s="9" t="s">
        <v>32</v>
      </c>
      <c r="M4" s="9" t="s">
        <v>33</v>
      </c>
      <c r="N4" s="9" t="s">
        <v>34</v>
      </c>
      <c r="O4" s="9">
        <v>4</v>
      </c>
      <c r="P4" s="10">
        <v>745360</v>
      </c>
      <c r="Q4" s="9">
        <v>73407</v>
      </c>
      <c r="R4" s="9">
        <v>671950</v>
      </c>
      <c r="S4" s="9">
        <v>8.1655999999999995</v>
      </c>
      <c r="T4" s="9">
        <f t="shared" si="0"/>
        <v>3.0295588974491166</v>
      </c>
      <c r="U4" s="12">
        <v>4.0438701941020302E-13</v>
      </c>
    </row>
    <row r="5" spans="1:21" x14ac:dyDescent="0.3">
      <c r="A5" s="8" t="s">
        <v>71</v>
      </c>
      <c r="B5" s="9" t="s">
        <v>72</v>
      </c>
      <c r="C5" s="9">
        <v>60</v>
      </c>
      <c r="D5" s="9">
        <v>60</v>
      </c>
      <c r="E5" s="9">
        <v>1</v>
      </c>
      <c r="F5" s="10">
        <v>66.325000000000003</v>
      </c>
      <c r="G5" s="11">
        <v>6.4162699999999995E-14</v>
      </c>
      <c r="H5" s="9">
        <v>66.325000000000003</v>
      </c>
      <c r="I5" s="9"/>
      <c r="J5" s="9">
        <v>1</v>
      </c>
      <c r="K5" s="9" t="s">
        <v>2</v>
      </c>
      <c r="L5" s="9" t="s">
        <v>73</v>
      </c>
      <c r="M5" s="9" t="s">
        <v>74</v>
      </c>
      <c r="N5" s="9" t="s">
        <v>75</v>
      </c>
      <c r="O5" s="9">
        <v>8</v>
      </c>
      <c r="P5" s="10">
        <v>1242000</v>
      </c>
      <c r="Q5" s="9">
        <v>122100</v>
      </c>
      <c r="R5" s="9">
        <v>1119900</v>
      </c>
      <c r="S5" s="9">
        <v>3.9268000000000001</v>
      </c>
      <c r="T5" s="9">
        <f t="shared" si="0"/>
        <v>1.9733541204499441</v>
      </c>
      <c r="U5" s="12">
        <v>1.04780769773397E-6</v>
      </c>
    </row>
    <row r="6" spans="1:21" x14ac:dyDescent="0.3">
      <c r="A6" s="8" t="s">
        <v>35</v>
      </c>
      <c r="B6" s="9" t="s">
        <v>36</v>
      </c>
      <c r="C6" s="9">
        <v>420</v>
      </c>
      <c r="D6" s="9">
        <v>420</v>
      </c>
      <c r="E6" s="9">
        <v>1</v>
      </c>
      <c r="F6" s="10">
        <v>86.624300000000005</v>
      </c>
      <c r="G6" s="11">
        <v>1.22938E-8</v>
      </c>
      <c r="H6" s="9">
        <v>86.623999999999995</v>
      </c>
      <c r="I6" s="9"/>
      <c r="J6" s="9">
        <v>1</v>
      </c>
      <c r="K6" s="9" t="s">
        <v>2</v>
      </c>
      <c r="L6" s="9" t="s">
        <v>37</v>
      </c>
      <c r="M6" s="9" t="s">
        <v>38</v>
      </c>
      <c r="N6" s="9" t="s">
        <v>39</v>
      </c>
      <c r="O6" s="9">
        <v>6</v>
      </c>
      <c r="P6" s="10">
        <v>1951600</v>
      </c>
      <c r="Q6" s="9">
        <v>422840</v>
      </c>
      <c r="R6" s="9">
        <v>1528700</v>
      </c>
      <c r="S6" s="9">
        <v>3.9137</v>
      </c>
      <c r="T6" s="9">
        <f t="shared" si="0"/>
        <v>1.9685331721374166</v>
      </c>
      <c r="U6" s="12">
        <v>7.17504300418017E-13</v>
      </c>
    </row>
    <row r="7" spans="1:21" x14ac:dyDescent="0.3">
      <c r="A7" s="8" t="s">
        <v>20</v>
      </c>
      <c r="B7" s="9" t="s">
        <v>21</v>
      </c>
      <c r="C7" s="9">
        <v>285</v>
      </c>
      <c r="D7" s="9">
        <v>285</v>
      </c>
      <c r="E7" s="9">
        <v>1</v>
      </c>
      <c r="F7" s="10">
        <v>91.857699999999994</v>
      </c>
      <c r="G7" s="11">
        <v>6.6498499999999993E-83</v>
      </c>
      <c r="H7" s="9">
        <v>180.2</v>
      </c>
      <c r="I7" s="9" t="s">
        <v>11</v>
      </c>
      <c r="J7" s="9">
        <v>1</v>
      </c>
      <c r="K7" s="9" t="s">
        <v>2</v>
      </c>
      <c r="L7" s="9" t="s">
        <v>22</v>
      </c>
      <c r="M7" s="9" t="s">
        <v>23</v>
      </c>
      <c r="N7" s="9" t="s">
        <v>24</v>
      </c>
      <c r="O7" s="9">
        <v>4</v>
      </c>
      <c r="P7" s="10">
        <v>21950000</v>
      </c>
      <c r="Q7" s="9">
        <v>4297400</v>
      </c>
      <c r="R7" s="9">
        <v>17653000</v>
      </c>
      <c r="S7" s="9">
        <v>3.6541000000000001</v>
      </c>
      <c r="T7" s="9">
        <f t="shared" si="0"/>
        <v>1.8695161160480491</v>
      </c>
      <c r="U7" s="12">
        <v>1.7718911099890899E-18</v>
      </c>
    </row>
    <row r="8" spans="1:21" x14ac:dyDescent="0.3">
      <c r="A8" s="8" t="s">
        <v>20</v>
      </c>
      <c r="B8" s="9" t="s">
        <v>21</v>
      </c>
      <c r="C8" s="9">
        <v>386</v>
      </c>
      <c r="D8" s="9">
        <v>386</v>
      </c>
      <c r="E8" s="9">
        <v>1</v>
      </c>
      <c r="F8" s="10">
        <v>87.181200000000004</v>
      </c>
      <c r="G8" s="11">
        <v>2.7190299999999999E-10</v>
      </c>
      <c r="H8" s="9">
        <v>87.180999999999997</v>
      </c>
      <c r="I8" s="9"/>
      <c r="J8" s="9">
        <v>1</v>
      </c>
      <c r="K8" s="9" t="s">
        <v>2</v>
      </c>
      <c r="L8" s="9" t="s">
        <v>40</v>
      </c>
      <c r="M8" s="9" t="s">
        <v>41</v>
      </c>
      <c r="N8" s="9" t="s">
        <v>42</v>
      </c>
      <c r="O8" s="9">
        <v>3</v>
      </c>
      <c r="P8" s="10">
        <v>2089600</v>
      </c>
      <c r="Q8" s="9">
        <v>468860</v>
      </c>
      <c r="R8" s="9">
        <v>1620800</v>
      </c>
      <c r="S8" s="9">
        <v>3.5308999999999999</v>
      </c>
      <c r="T8" s="9">
        <f t="shared" si="0"/>
        <v>1.8200359625455378</v>
      </c>
      <c r="U8" s="12">
        <v>2.6375868359907699E-11</v>
      </c>
    </row>
    <row r="9" spans="1:21" x14ac:dyDescent="0.3">
      <c r="A9" s="8" t="s">
        <v>25</v>
      </c>
      <c r="B9" s="9" t="s">
        <v>26</v>
      </c>
      <c r="C9" s="9">
        <v>284</v>
      </c>
      <c r="D9" s="9">
        <v>284</v>
      </c>
      <c r="E9" s="9">
        <v>1</v>
      </c>
      <c r="F9" s="10">
        <v>85.958100000000002</v>
      </c>
      <c r="G9" s="11">
        <v>1.57781E-8</v>
      </c>
      <c r="H9" s="9">
        <v>85.957999999999998</v>
      </c>
      <c r="I9" s="9"/>
      <c r="J9" s="9">
        <v>1</v>
      </c>
      <c r="K9" s="9" t="s">
        <v>2</v>
      </c>
      <c r="L9" s="9" t="s">
        <v>27</v>
      </c>
      <c r="M9" s="9" t="s">
        <v>28</v>
      </c>
      <c r="N9" s="9" t="s">
        <v>29</v>
      </c>
      <c r="O9" s="9">
        <v>6</v>
      </c>
      <c r="P9" s="10">
        <v>4143500</v>
      </c>
      <c r="Q9" s="9">
        <v>600870</v>
      </c>
      <c r="R9" s="9">
        <v>3542600</v>
      </c>
      <c r="S9" s="9">
        <v>3.4790000000000001</v>
      </c>
      <c r="T9" s="9">
        <f t="shared" si="0"/>
        <v>1.7986726789578036</v>
      </c>
      <c r="U9" s="12">
        <v>2.79020833474045E-17</v>
      </c>
    </row>
    <row r="10" spans="1:21" x14ac:dyDescent="0.3">
      <c r="A10" s="8" t="s">
        <v>20</v>
      </c>
      <c r="B10" s="9" t="s">
        <v>21</v>
      </c>
      <c r="C10" s="9">
        <v>35</v>
      </c>
      <c r="D10" s="9">
        <v>35</v>
      </c>
      <c r="E10" s="9">
        <v>1</v>
      </c>
      <c r="F10" s="10">
        <v>56.851399999999998</v>
      </c>
      <c r="G10" s="11">
        <v>6.5682799999999996E-8</v>
      </c>
      <c r="H10" s="9">
        <v>56.850999999999999</v>
      </c>
      <c r="I10" s="9"/>
      <c r="J10" s="9">
        <v>1</v>
      </c>
      <c r="K10" s="9" t="s">
        <v>2</v>
      </c>
      <c r="L10" s="9" t="s">
        <v>53</v>
      </c>
      <c r="M10" s="9" t="s">
        <v>54</v>
      </c>
      <c r="N10" s="9" t="s">
        <v>55</v>
      </c>
      <c r="O10" s="9">
        <v>16</v>
      </c>
      <c r="P10" s="10">
        <v>1623900</v>
      </c>
      <c r="Q10" s="9">
        <v>605550</v>
      </c>
      <c r="R10" s="9">
        <v>1018400</v>
      </c>
      <c r="S10" s="9">
        <v>2.7360000000000002</v>
      </c>
      <c r="T10" s="9">
        <f t="shared" si="0"/>
        <v>1.452068230223811</v>
      </c>
      <c r="U10" s="12">
        <v>6.6499424333493106E-8</v>
      </c>
    </row>
    <row r="11" spans="1:21" x14ac:dyDescent="0.3">
      <c r="A11" s="8" t="s">
        <v>66</v>
      </c>
      <c r="B11" s="9" t="s">
        <v>67</v>
      </c>
      <c r="C11" s="9">
        <v>60</v>
      </c>
      <c r="D11" s="9">
        <v>60</v>
      </c>
      <c r="E11" s="9">
        <v>1</v>
      </c>
      <c r="F11" s="10">
        <v>76.118399999999994</v>
      </c>
      <c r="G11" s="11">
        <v>7.4701199999999997E-19</v>
      </c>
      <c r="H11" s="9">
        <v>76.117999999999995</v>
      </c>
      <c r="I11" s="9"/>
      <c r="J11" s="9">
        <v>1</v>
      </c>
      <c r="K11" s="9" t="s">
        <v>2</v>
      </c>
      <c r="L11" s="9" t="s">
        <v>68</v>
      </c>
      <c r="M11" s="9" t="s">
        <v>69</v>
      </c>
      <c r="N11" s="9" t="s">
        <v>70</v>
      </c>
      <c r="O11" s="9">
        <v>8</v>
      </c>
      <c r="P11" s="10">
        <v>2584200</v>
      </c>
      <c r="Q11" s="9">
        <v>607460</v>
      </c>
      <c r="R11" s="9">
        <v>1976800</v>
      </c>
      <c r="S11" s="9">
        <v>2.5283000000000002</v>
      </c>
      <c r="T11" s="9">
        <f t="shared" si="0"/>
        <v>1.3381676592560814</v>
      </c>
      <c r="U11" s="12">
        <v>5.4777366655112003E-7</v>
      </c>
    </row>
    <row r="12" spans="1:21" x14ac:dyDescent="0.3">
      <c r="A12" s="8" t="s">
        <v>81</v>
      </c>
      <c r="B12" s="9" t="s">
        <v>82</v>
      </c>
      <c r="C12" s="9">
        <v>314</v>
      </c>
      <c r="D12" s="9">
        <v>314</v>
      </c>
      <c r="E12" s="9">
        <v>1</v>
      </c>
      <c r="F12" s="10">
        <v>50.827300000000001</v>
      </c>
      <c r="G12" s="11">
        <v>3.35195E-7</v>
      </c>
      <c r="H12" s="9">
        <v>50.826999999999998</v>
      </c>
      <c r="I12" s="9" t="s">
        <v>11</v>
      </c>
      <c r="J12" s="9">
        <v>1</v>
      </c>
      <c r="K12" s="9" t="s">
        <v>2</v>
      </c>
      <c r="L12" s="9" t="s">
        <v>104</v>
      </c>
      <c r="M12" s="9" t="s">
        <v>105</v>
      </c>
      <c r="N12" s="9" t="s">
        <v>106</v>
      </c>
      <c r="O12" s="9">
        <v>3</v>
      </c>
      <c r="P12" s="10">
        <v>1899400</v>
      </c>
      <c r="Q12" s="9">
        <v>770000</v>
      </c>
      <c r="R12" s="9">
        <v>1129400</v>
      </c>
      <c r="S12" s="9">
        <v>2.0686</v>
      </c>
      <c r="T12" s="9">
        <f t="shared" si="0"/>
        <v>1.0486547018403465</v>
      </c>
      <c r="U12" s="12">
        <v>5.9852629379840998E-5</v>
      </c>
    </row>
    <row r="13" spans="1:21" x14ac:dyDescent="0.3">
      <c r="A13" s="8" t="s">
        <v>238</v>
      </c>
      <c r="B13" s="9" t="s">
        <v>239</v>
      </c>
      <c r="C13" s="9">
        <v>214</v>
      </c>
      <c r="D13" s="9">
        <v>214</v>
      </c>
      <c r="E13" s="9">
        <v>1</v>
      </c>
      <c r="F13" s="10">
        <v>74.162000000000006</v>
      </c>
      <c r="G13" s="11">
        <v>3.2491199999999998E-5</v>
      </c>
      <c r="H13" s="9">
        <v>74.162000000000006</v>
      </c>
      <c r="I13" s="9" t="s">
        <v>11</v>
      </c>
      <c r="J13" s="9">
        <v>1</v>
      </c>
      <c r="K13" s="9" t="s">
        <v>2</v>
      </c>
      <c r="L13" s="9" t="s">
        <v>240</v>
      </c>
      <c r="M13" s="9" t="s">
        <v>241</v>
      </c>
      <c r="N13" s="9" t="s">
        <v>242</v>
      </c>
      <c r="O13" s="9">
        <v>5</v>
      </c>
      <c r="P13" s="10">
        <v>892970</v>
      </c>
      <c r="Q13" s="9">
        <v>418180</v>
      </c>
      <c r="R13" s="9">
        <v>474790</v>
      </c>
      <c r="S13" s="9">
        <v>1.93</v>
      </c>
      <c r="T13" s="9">
        <f t="shared" si="0"/>
        <v>0.94860084749335571</v>
      </c>
      <c r="U13" s="13">
        <v>9.8395050841204694E-3</v>
      </c>
    </row>
    <row r="14" spans="1:21" x14ac:dyDescent="0.3">
      <c r="A14" s="8" t="s">
        <v>81</v>
      </c>
      <c r="B14" s="9" t="s">
        <v>82</v>
      </c>
      <c r="C14" s="9">
        <v>130</v>
      </c>
      <c r="D14" s="9">
        <v>130</v>
      </c>
      <c r="E14" s="9">
        <v>1</v>
      </c>
      <c r="F14" s="10">
        <v>64.819999999999993</v>
      </c>
      <c r="G14" s="11">
        <v>8.9691200000000003E-8</v>
      </c>
      <c r="H14" s="9">
        <v>81.864999999999995</v>
      </c>
      <c r="I14" s="9" t="s">
        <v>11</v>
      </c>
      <c r="J14" s="9">
        <v>1</v>
      </c>
      <c r="K14" s="9" t="s">
        <v>2</v>
      </c>
      <c r="L14" s="9" t="s">
        <v>83</v>
      </c>
      <c r="M14" s="9" t="s">
        <v>84</v>
      </c>
      <c r="N14" s="9" t="s">
        <v>85</v>
      </c>
      <c r="O14" s="9">
        <v>5</v>
      </c>
      <c r="P14" s="10">
        <v>2921000</v>
      </c>
      <c r="Q14" s="9">
        <v>1161600</v>
      </c>
      <c r="R14" s="9">
        <v>1759400</v>
      </c>
      <c r="S14" s="9">
        <v>1.9051</v>
      </c>
      <c r="T14" s="9">
        <f t="shared" si="0"/>
        <v>0.92986672775409362</v>
      </c>
      <c r="U14" s="12">
        <v>4.6314471174870803E-6</v>
      </c>
    </row>
    <row r="15" spans="1:21" x14ac:dyDescent="0.3">
      <c r="A15" s="8" t="s">
        <v>20</v>
      </c>
      <c r="B15" s="9" t="s">
        <v>21</v>
      </c>
      <c r="C15" s="9">
        <v>220</v>
      </c>
      <c r="D15" s="9">
        <v>220</v>
      </c>
      <c r="E15" s="9">
        <v>1</v>
      </c>
      <c r="F15" s="10">
        <v>36.467199999999998</v>
      </c>
      <c r="G15" s="9">
        <v>1.4907700000000001E-4</v>
      </c>
      <c r="H15" s="9">
        <v>36.466999999999999</v>
      </c>
      <c r="I15" s="9"/>
      <c r="J15" s="9">
        <v>1</v>
      </c>
      <c r="K15" s="9" t="s">
        <v>2</v>
      </c>
      <c r="L15" s="9" t="s">
        <v>131</v>
      </c>
      <c r="M15" s="9" t="s">
        <v>132</v>
      </c>
      <c r="N15" s="9" t="s">
        <v>133</v>
      </c>
      <c r="O15" s="9">
        <v>10</v>
      </c>
      <c r="P15" s="10">
        <v>2951300</v>
      </c>
      <c r="Q15" s="9">
        <v>543010</v>
      </c>
      <c r="R15" s="9">
        <v>2408300</v>
      </c>
      <c r="S15" s="9">
        <v>1.8675999999999999</v>
      </c>
      <c r="T15" s="9">
        <f t="shared" si="0"/>
        <v>0.9011854936927397</v>
      </c>
      <c r="U15" s="13">
        <v>4.5425981518998999E-4</v>
      </c>
    </row>
    <row r="16" spans="1:21" x14ac:dyDescent="0.3">
      <c r="A16" s="8" t="s">
        <v>126</v>
      </c>
      <c r="B16" s="9" t="s">
        <v>127</v>
      </c>
      <c r="C16" s="9">
        <v>284</v>
      </c>
      <c r="D16" s="9">
        <v>284</v>
      </c>
      <c r="E16" s="9">
        <v>1</v>
      </c>
      <c r="F16" s="10">
        <v>63.290300000000002</v>
      </c>
      <c r="G16" s="11">
        <v>1.6900999999999999E-14</v>
      </c>
      <c r="H16" s="9">
        <v>89.43</v>
      </c>
      <c r="I16" s="9" t="s">
        <v>11</v>
      </c>
      <c r="J16" s="9">
        <v>1</v>
      </c>
      <c r="K16" s="9" t="s">
        <v>2</v>
      </c>
      <c r="L16" s="9" t="s">
        <v>134</v>
      </c>
      <c r="M16" s="9" t="s">
        <v>135</v>
      </c>
      <c r="N16" s="9" t="s">
        <v>136</v>
      </c>
      <c r="O16" s="9">
        <v>8</v>
      </c>
      <c r="P16" s="10">
        <v>2087800</v>
      </c>
      <c r="Q16" s="9">
        <v>822220</v>
      </c>
      <c r="R16" s="9">
        <v>1265600</v>
      </c>
      <c r="S16" s="9">
        <v>1.8584000000000001</v>
      </c>
      <c r="T16" s="9">
        <f t="shared" si="0"/>
        <v>0.8940610592593583</v>
      </c>
      <c r="U16" s="13">
        <v>4.9791185972661799E-4</v>
      </c>
    </row>
    <row r="17" spans="1:21" x14ac:dyDescent="0.3">
      <c r="A17" s="8" t="s">
        <v>81</v>
      </c>
      <c r="B17" s="9" t="s">
        <v>82</v>
      </c>
      <c r="C17" s="9">
        <v>48</v>
      </c>
      <c r="D17" s="9">
        <v>48</v>
      </c>
      <c r="E17" s="9">
        <v>1</v>
      </c>
      <c r="F17" s="10">
        <v>116.233</v>
      </c>
      <c r="G17" s="11">
        <v>2.0996499999999999E-21</v>
      </c>
      <c r="H17" s="9">
        <v>116.23</v>
      </c>
      <c r="I17" s="9"/>
      <c r="J17" s="9">
        <v>1</v>
      </c>
      <c r="K17" s="9" t="s">
        <v>2</v>
      </c>
      <c r="L17" s="9" t="s">
        <v>101</v>
      </c>
      <c r="M17" s="9" t="s">
        <v>102</v>
      </c>
      <c r="N17" s="9" t="s">
        <v>103</v>
      </c>
      <c r="O17" s="9">
        <v>9</v>
      </c>
      <c r="P17" s="10">
        <v>4858400</v>
      </c>
      <c r="Q17" s="9">
        <v>1847000</v>
      </c>
      <c r="R17" s="9">
        <v>3011300</v>
      </c>
      <c r="S17" s="9">
        <v>1.7824</v>
      </c>
      <c r="T17" s="9">
        <f t="shared" si="0"/>
        <v>0.83382113779058242</v>
      </c>
      <c r="U17" s="12">
        <v>3.2881070480995801E-5</v>
      </c>
    </row>
    <row r="18" spans="1:21" x14ac:dyDescent="0.3">
      <c r="A18" s="8" t="s">
        <v>155</v>
      </c>
      <c r="B18" s="9" t="s">
        <v>156</v>
      </c>
      <c r="C18" s="9">
        <v>272</v>
      </c>
      <c r="D18" s="9">
        <v>272</v>
      </c>
      <c r="E18" s="9">
        <v>1</v>
      </c>
      <c r="F18" s="10">
        <v>13.406700000000001</v>
      </c>
      <c r="G18" s="9">
        <v>9.7671400000000005E-3</v>
      </c>
      <c r="H18" s="9">
        <v>45.914999999999999</v>
      </c>
      <c r="I18" s="9"/>
      <c r="J18" s="9">
        <v>1</v>
      </c>
      <c r="K18" s="9" t="s">
        <v>2</v>
      </c>
      <c r="L18" s="9" t="s">
        <v>157</v>
      </c>
      <c r="M18" s="9" t="s">
        <v>158</v>
      </c>
      <c r="N18" s="9" t="s">
        <v>159</v>
      </c>
      <c r="O18" s="9">
        <v>8</v>
      </c>
      <c r="P18" s="10">
        <v>1103200</v>
      </c>
      <c r="Q18" s="9">
        <v>369820</v>
      </c>
      <c r="R18" s="9">
        <v>733390</v>
      </c>
      <c r="S18" s="9">
        <v>1.7186999999999999</v>
      </c>
      <c r="T18" s="9">
        <f t="shared" si="0"/>
        <v>0.7813177436039046</v>
      </c>
      <c r="U18" s="13">
        <v>1.9731079846249701E-3</v>
      </c>
    </row>
    <row r="19" spans="1:21" x14ac:dyDescent="0.3">
      <c r="A19" s="8" t="s">
        <v>160</v>
      </c>
      <c r="B19" s="9" t="s">
        <v>161</v>
      </c>
      <c r="C19" s="9">
        <v>48</v>
      </c>
      <c r="D19" s="9">
        <v>48</v>
      </c>
      <c r="E19" s="9">
        <v>1</v>
      </c>
      <c r="F19" s="10">
        <v>40.0246</v>
      </c>
      <c r="G19" s="9">
        <v>1.47879E-2</v>
      </c>
      <c r="H19" s="9">
        <v>40.024999999999999</v>
      </c>
      <c r="I19" s="9"/>
      <c r="J19" s="9">
        <v>1</v>
      </c>
      <c r="K19" s="9" t="s">
        <v>2</v>
      </c>
      <c r="L19" s="9" t="s">
        <v>162</v>
      </c>
      <c r="M19" s="9" t="s">
        <v>163</v>
      </c>
      <c r="N19" s="9" t="s">
        <v>164</v>
      </c>
      <c r="O19" s="9">
        <v>13</v>
      </c>
      <c r="P19" s="10">
        <v>1818800</v>
      </c>
      <c r="Q19" s="9">
        <v>837740</v>
      </c>
      <c r="R19" s="9">
        <v>981070</v>
      </c>
      <c r="S19" s="9">
        <v>1.7130000000000001</v>
      </c>
      <c r="T19" s="9">
        <f t="shared" si="0"/>
        <v>0.77652515142191203</v>
      </c>
      <c r="U19" s="13">
        <v>2.0855375272021302E-3</v>
      </c>
    </row>
    <row r="20" spans="1:21" x14ac:dyDescent="0.3">
      <c r="A20" s="8" t="s">
        <v>126</v>
      </c>
      <c r="B20" s="9" t="s">
        <v>127</v>
      </c>
      <c r="C20" s="9" t="s">
        <v>165</v>
      </c>
      <c r="D20" s="9">
        <v>166</v>
      </c>
      <c r="E20" s="9">
        <v>1</v>
      </c>
      <c r="F20" s="10">
        <v>51.0593</v>
      </c>
      <c r="G20" s="9">
        <v>1.45488E-3</v>
      </c>
      <c r="H20" s="9">
        <v>51.058999999999997</v>
      </c>
      <c r="I20" s="9" t="s">
        <v>11</v>
      </c>
      <c r="J20" s="9">
        <v>1</v>
      </c>
      <c r="K20" s="9" t="s">
        <v>2</v>
      </c>
      <c r="L20" s="9" t="s">
        <v>166</v>
      </c>
      <c r="M20" s="9" t="s">
        <v>167</v>
      </c>
      <c r="N20" s="9" t="s">
        <v>168</v>
      </c>
      <c r="O20" s="9">
        <v>6</v>
      </c>
      <c r="P20" s="10">
        <v>1053500</v>
      </c>
      <c r="Q20" s="9">
        <v>378730</v>
      </c>
      <c r="R20" s="9">
        <v>674750</v>
      </c>
      <c r="S20" s="9">
        <v>1.6832</v>
      </c>
      <c r="T20" s="9">
        <f t="shared" si="0"/>
        <v>0.75120660974285303</v>
      </c>
      <c r="U20" s="13">
        <v>2.78316573585156E-3</v>
      </c>
    </row>
    <row r="21" spans="1:21" x14ac:dyDescent="0.3">
      <c r="A21" s="8" t="s">
        <v>81</v>
      </c>
      <c r="B21" s="9" t="s">
        <v>82</v>
      </c>
      <c r="C21" s="9">
        <v>74</v>
      </c>
      <c r="D21" s="9">
        <v>74</v>
      </c>
      <c r="E21" s="9">
        <v>1</v>
      </c>
      <c r="F21" s="10">
        <v>59.7956</v>
      </c>
      <c r="G21" s="9">
        <v>1.4988299999999999E-4</v>
      </c>
      <c r="H21" s="9">
        <v>59.795999999999999</v>
      </c>
      <c r="I21" s="9"/>
      <c r="J21" s="9">
        <v>1</v>
      </c>
      <c r="K21" s="9" t="s">
        <v>2</v>
      </c>
      <c r="L21" s="9" t="s">
        <v>118</v>
      </c>
      <c r="M21" s="9" t="s">
        <v>119</v>
      </c>
      <c r="N21" s="9" t="s">
        <v>120</v>
      </c>
      <c r="O21" s="9">
        <v>12</v>
      </c>
      <c r="P21" s="10">
        <v>3689900</v>
      </c>
      <c r="Q21" s="9">
        <v>1269500</v>
      </c>
      <c r="R21" s="9">
        <v>2420400</v>
      </c>
      <c r="S21" s="9">
        <v>1.6526000000000001</v>
      </c>
      <c r="T21" s="9">
        <f t="shared" si="0"/>
        <v>0.72473757287612939</v>
      </c>
      <c r="U21" s="13">
        <v>2.4627006561193801E-4</v>
      </c>
    </row>
    <row r="22" spans="1:21" x14ac:dyDescent="0.3">
      <c r="A22" s="8" t="s">
        <v>121</v>
      </c>
      <c r="B22" s="9" t="s">
        <v>122</v>
      </c>
      <c r="C22" s="9">
        <v>251</v>
      </c>
      <c r="D22" s="9">
        <v>251</v>
      </c>
      <c r="E22" s="9">
        <v>1</v>
      </c>
      <c r="F22" s="10">
        <v>13.5245</v>
      </c>
      <c r="G22" s="11">
        <v>5.7438699999999997E-45</v>
      </c>
      <c r="H22" s="9">
        <v>138.02000000000001</v>
      </c>
      <c r="I22" s="9" t="s">
        <v>11</v>
      </c>
      <c r="J22" s="9">
        <v>1</v>
      </c>
      <c r="K22" s="9" t="s">
        <v>2</v>
      </c>
      <c r="L22" s="9" t="s">
        <v>123</v>
      </c>
      <c r="M22" s="9" t="s">
        <v>124</v>
      </c>
      <c r="N22" s="9" t="s">
        <v>125</v>
      </c>
      <c r="O22" s="9">
        <v>13</v>
      </c>
      <c r="P22" s="10">
        <v>8092200</v>
      </c>
      <c r="Q22" s="9">
        <v>4131200</v>
      </c>
      <c r="R22" s="9">
        <v>3961100</v>
      </c>
      <c r="S22" s="9">
        <v>1.6424000000000001</v>
      </c>
      <c r="T22" s="9">
        <f t="shared" si="0"/>
        <v>0.71580553255915269</v>
      </c>
      <c r="U22" s="13">
        <v>2.8753591710500902E-4</v>
      </c>
    </row>
    <row r="23" spans="1:21" x14ac:dyDescent="0.3">
      <c r="A23" s="8" t="s">
        <v>126</v>
      </c>
      <c r="B23" s="9" t="s">
        <v>127</v>
      </c>
      <c r="C23" s="9">
        <v>276</v>
      </c>
      <c r="D23" s="9">
        <v>276</v>
      </c>
      <c r="E23" s="9">
        <v>1</v>
      </c>
      <c r="F23" s="10">
        <v>89.430300000000003</v>
      </c>
      <c r="G23" s="11">
        <v>1.6900999999999999E-14</v>
      </c>
      <c r="H23" s="9">
        <v>89.43</v>
      </c>
      <c r="I23" s="9" t="s">
        <v>11</v>
      </c>
      <c r="J23" s="9">
        <v>1</v>
      </c>
      <c r="K23" s="9" t="s">
        <v>2</v>
      </c>
      <c r="L23" s="9" t="s">
        <v>128</v>
      </c>
      <c r="M23" s="9" t="s">
        <v>129</v>
      </c>
      <c r="N23" s="9" t="s">
        <v>130</v>
      </c>
      <c r="O23" s="9">
        <v>5</v>
      </c>
      <c r="P23" s="10">
        <v>7083400</v>
      </c>
      <c r="Q23" s="9">
        <v>2746600</v>
      </c>
      <c r="R23" s="9">
        <v>4336800</v>
      </c>
      <c r="S23" s="9">
        <v>1.6242000000000001</v>
      </c>
      <c r="T23" s="9">
        <f t="shared" si="0"/>
        <v>0.69972929338667067</v>
      </c>
      <c r="U23" s="13">
        <v>3.7856849141540102E-4</v>
      </c>
    </row>
    <row r="24" spans="1:21" x14ac:dyDescent="0.3">
      <c r="A24" s="8" t="s">
        <v>187</v>
      </c>
      <c r="B24" s="9" t="s">
        <v>188</v>
      </c>
      <c r="C24" s="9">
        <v>264</v>
      </c>
      <c r="D24" s="9">
        <v>264</v>
      </c>
      <c r="E24" s="9">
        <v>1</v>
      </c>
      <c r="F24" s="10">
        <v>93.143199999999993</v>
      </c>
      <c r="G24" s="11">
        <v>2.4972300000000002E-10</v>
      </c>
      <c r="H24" s="9">
        <v>93.143000000000001</v>
      </c>
      <c r="I24" s="9"/>
      <c r="J24" s="9">
        <v>1</v>
      </c>
      <c r="K24" s="9" t="s">
        <v>2</v>
      </c>
      <c r="L24" s="9" t="s">
        <v>189</v>
      </c>
      <c r="M24" s="9" t="s">
        <v>190</v>
      </c>
      <c r="N24" s="9" t="s">
        <v>191</v>
      </c>
      <c r="O24" s="9">
        <v>5</v>
      </c>
      <c r="P24" s="10">
        <v>1814700</v>
      </c>
      <c r="Q24" s="9">
        <v>703270</v>
      </c>
      <c r="R24" s="9">
        <v>1111400</v>
      </c>
      <c r="S24" s="9">
        <v>1.6166</v>
      </c>
      <c r="T24" s="9">
        <f t="shared" si="0"/>
        <v>0.69296275277291863</v>
      </c>
      <c r="U24" s="13">
        <v>5.2630904714083201E-3</v>
      </c>
    </row>
    <row r="25" spans="1:21" x14ac:dyDescent="0.3">
      <c r="A25" s="8" t="s">
        <v>205</v>
      </c>
      <c r="B25" s="9" t="s">
        <v>206</v>
      </c>
      <c r="C25" s="9">
        <v>131</v>
      </c>
      <c r="D25" s="9">
        <v>131</v>
      </c>
      <c r="E25" s="9">
        <v>1</v>
      </c>
      <c r="F25" s="10">
        <v>59.1845</v>
      </c>
      <c r="G25" s="11">
        <v>2.6610300000000002E-5</v>
      </c>
      <c r="H25" s="9">
        <v>59.185000000000002</v>
      </c>
      <c r="I25" s="9" t="s">
        <v>11</v>
      </c>
      <c r="J25" s="9">
        <v>1</v>
      </c>
      <c r="K25" s="9" t="s">
        <v>2</v>
      </c>
      <c r="L25" s="9" t="s">
        <v>207</v>
      </c>
      <c r="M25" s="9" t="s">
        <v>208</v>
      </c>
      <c r="N25" s="9" t="s">
        <v>209</v>
      </c>
      <c r="O25" s="9">
        <v>4</v>
      </c>
      <c r="P25" s="10">
        <v>1884300</v>
      </c>
      <c r="Q25" s="9">
        <v>742210</v>
      </c>
      <c r="R25" s="9">
        <v>1142000</v>
      </c>
      <c r="S25" s="9">
        <v>1.5787</v>
      </c>
      <c r="T25" s="9">
        <f t="shared" si="0"/>
        <v>0.6587370422349369</v>
      </c>
      <c r="U25" s="13">
        <v>7.5220740066218404E-3</v>
      </c>
    </row>
    <row r="26" spans="1:21" x14ac:dyDescent="0.3">
      <c r="A26" s="8" t="s">
        <v>137</v>
      </c>
      <c r="B26" s="9" t="s">
        <v>138</v>
      </c>
      <c r="C26" s="9">
        <v>293</v>
      </c>
      <c r="D26" s="9">
        <v>293</v>
      </c>
      <c r="E26" s="9">
        <v>1</v>
      </c>
      <c r="F26" s="10">
        <v>48.513199999999998</v>
      </c>
      <c r="G26" s="9">
        <v>2.7207199999999998E-3</v>
      </c>
      <c r="H26" s="9">
        <v>48.512999999999998</v>
      </c>
      <c r="I26" s="9" t="s">
        <v>11</v>
      </c>
      <c r="J26" s="9">
        <v>1</v>
      </c>
      <c r="K26" s="9" t="s">
        <v>2</v>
      </c>
      <c r="L26" s="9" t="s">
        <v>139</v>
      </c>
      <c r="M26" s="9" t="s">
        <v>140</v>
      </c>
      <c r="N26" s="9" t="s">
        <v>141</v>
      </c>
      <c r="O26" s="9">
        <v>7</v>
      </c>
      <c r="P26" s="10">
        <v>3501900</v>
      </c>
      <c r="Q26" s="9">
        <v>1423600</v>
      </c>
      <c r="R26" s="9">
        <v>2078300</v>
      </c>
      <c r="S26" s="9">
        <v>1.5625</v>
      </c>
      <c r="T26" s="9">
        <f t="shared" si="0"/>
        <v>0.6438561897747247</v>
      </c>
      <c r="U26" s="13">
        <v>9.4827583504187999E-4</v>
      </c>
    </row>
    <row r="27" spans="1:21" x14ac:dyDescent="0.3">
      <c r="A27" s="8" t="s">
        <v>225</v>
      </c>
      <c r="B27" s="9" t="s">
        <v>226</v>
      </c>
      <c r="C27" s="9">
        <v>308</v>
      </c>
      <c r="D27" s="9">
        <v>308</v>
      </c>
      <c r="E27" s="9">
        <v>1</v>
      </c>
      <c r="F27" s="10">
        <v>128.28299999999999</v>
      </c>
      <c r="G27" s="11">
        <v>1.18304E-32</v>
      </c>
      <c r="H27" s="9">
        <v>128.28</v>
      </c>
      <c r="I27" s="9" t="s">
        <v>11</v>
      </c>
      <c r="J27" s="9">
        <v>1</v>
      </c>
      <c r="K27" s="9" t="s">
        <v>2</v>
      </c>
      <c r="L27" s="9" t="s">
        <v>227</v>
      </c>
      <c r="M27" s="9" t="s">
        <v>228</v>
      </c>
      <c r="N27" s="9" t="s">
        <v>229</v>
      </c>
      <c r="O27" s="9">
        <v>12</v>
      </c>
      <c r="P27" s="10">
        <v>2809700</v>
      </c>
      <c r="Q27" s="9">
        <v>1140300</v>
      </c>
      <c r="R27" s="9">
        <v>1669400</v>
      </c>
      <c r="S27" s="9">
        <v>1.3988</v>
      </c>
      <c r="T27" s="9">
        <f t="shared" si="0"/>
        <v>0.48418970114826698</v>
      </c>
      <c r="U27" s="13">
        <v>9.5018236100733195E-3</v>
      </c>
    </row>
    <row r="28" spans="1:21" x14ac:dyDescent="0.3">
      <c r="A28" s="8" t="s">
        <v>126</v>
      </c>
      <c r="B28" s="9" t="s">
        <v>127</v>
      </c>
      <c r="C28" s="9">
        <v>411</v>
      </c>
      <c r="D28" s="9">
        <v>411</v>
      </c>
      <c r="E28" s="9">
        <v>1</v>
      </c>
      <c r="F28" s="10">
        <v>40.496400000000001</v>
      </c>
      <c r="G28" s="9">
        <v>3.7746700000000001E-2</v>
      </c>
      <c r="H28" s="9">
        <v>40.496000000000002</v>
      </c>
      <c r="I28" s="9"/>
      <c r="J28" s="9">
        <v>1</v>
      </c>
      <c r="K28" s="9" t="s">
        <v>2</v>
      </c>
      <c r="L28" s="9" t="s">
        <v>230</v>
      </c>
      <c r="M28" s="9" t="s">
        <v>231</v>
      </c>
      <c r="N28" s="9" t="s">
        <v>232</v>
      </c>
      <c r="O28" s="9">
        <v>5</v>
      </c>
      <c r="P28" s="10">
        <v>4893900</v>
      </c>
      <c r="Q28" s="9">
        <v>1724800</v>
      </c>
      <c r="R28" s="9">
        <v>3169000</v>
      </c>
      <c r="S28" s="9">
        <v>1.3978999999999999</v>
      </c>
      <c r="T28" s="9">
        <f t="shared" si="0"/>
        <v>0.48326115995212721</v>
      </c>
      <c r="U28" s="13">
        <v>9.61685180758356E-3</v>
      </c>
    </row>
    <row r="29" spans="1:21" x14ac:dyDescent="0.3">
      <c r="A29" s="8" t="s">
        <v>210</v>
      </c>
      <c r="B29" s="9" t="s">
        <v>211</v>
      </c>
      <c r="C29" s="9">
        <v>723</v>
      </c>
      <c r="D29" s="9">
        <v>723</v>
      </c>
      <c r="E29" s="9">
        <v>1</v>
      </c>
      <c r="F29" s="10">
        <v>51.978499999999997</v>
      </c>
      <c r="G29" s="9">
        <v>1.08219E-4</v>
      </c>
      <c r="H29" s="9">
        <v>58.32</v>
      </c>
      <c r="I29" s="9" t="s">
        <v>11</v>
      </c>
      <c r="J29" s="9">
        <v>1</v>
      </c>
      <c r="K29" s="9" t="s">
        <v>2</v>
      </c>
      <c r="L29" s="9" t="s">
        <v>212</v>
      </c>
      <c r="M29" s="9" t="s">
        <v>213</v>
      </c>
      <c r="N29" s="9" t="s">
        <v>214</v>
      </c>
      <c r="O29" s="9">
        <v>9</v>
      </c>
      <c r="P29" s="10">
        <v>2662300</v>
      </c>
      <c r="Q29" s="9">
        <v>1506400</v>
      </c>
      <c r="R29" s="9">
        <v>1155900</v>
      </c>
      <c r="S29" s="9">
        <v>0.54388000000000003</v>
      </c>
      <c r="T29" s="9">
        <f t="shared" si="0"/>
        <v>-0.87863972007021884</v>
      </c>
      <c r="U29" s="13">
        <v>8.2084200116992901E-3</v>
      </c>
    </row>
    <row r="30" spans="1:21" x14ac:dyDescent="0.3">
      <c r="A30" s="8" t="s">
        <v>200</v>
      </c>
      <c r="B30" s="9" t="s">
        <v>201</v>
      </c>
      <c r="C30" s="9">
        <v>68</v>
      </c>
      <c r="D30" s="9">
        <v>68</v>
      </c>
      <c r="E30" s="9">
        <v>1</v>
      </c>
      <c r="F30" s="10">
        <v>54.539400000000001</v>
      </c>
      <c r="G30" s="9">
        <v>1.34544E-2</v>
      </c>
      <c r="H30" s="9">
        <v>54.539000000000001</v>
      </c>
      <c r="I30" s="9" t="s">
        <v>11</v>
      </c>
      <c r="J30" s="9">
        <v>1</v>
      </c>
      <c r="K30" s="9" t="s">
        <v>2</v>
      </c>
      <c r="L30" s="9" t="s">
        <v>202</v>
      </c>
      <c r="M30" s="9" t="s">
        <v>203</v>
      </c>
      <c r="N30" s="9" t="s">
        <v>204</v>
      </c>
      <c r="O30" s="9">
        <v>9</v>
      </c>
      <c r="P30" s="10">
        <v>7441100</v>
      </c>
      <c r="Q30" s="9">
        <v>4621500</v>
      </c>
      <c r="R30" s="9">
        <v>2819500</v>
      </c>
      <c r="S30" s="9">
        <v>0.54003000000000001</v>
      </c>
      <c r="T30" s="9">
        <f t="shared" si="0"/>
        <v>-0.88888854011306107</v>
      </c>
      <c r="U30" s="13">
        <v>7.40517002268626E-3</v>
      </c>
    </row>
    <row r="31" spans="1:21" x14ac:dyDescent="0.3">
      <c r="A31" s="8" t="s">
        <v>192</v>
      </c>
      <c r="B31" s="9" t="s">
        <v>193</v>
      </c>
      <c r="C31" s="9">
        <v>349</v>
      </c>
      <c r="D31" s="9">
        <v>349</v>
      </c>
      <c r="E31" s="9">
        <v>1</v>
      </c>
      <c r="F31" s="10">
        <v>101.105</v>
      </c>
      <c r="G31" s="11">
        <v>8.0701899999999995E-15</v>
      </c>
      <c r="H31" s="9">
        <v>101.11</v>
      </c>
      <c r="I31" s="9"/>
      <c r="J31" s="9">
        <v>1</v>
      </c>
      <c r="K31" s="9" t="s">
        <v>2</v>
      </c>
      <c r="L31" s="9" t="s">
        <v>194</v>
      </c>
      <c r="M31" s="9" t="s">
        <v>195</v>
      </c>
      <c r="N31" s="9" t="s">
        <v>196</v>
      </c>
      <c r="O31" s="9">
        <v>6</v>
      </c>
      <c r="P31" s="10">
        <v>3021600</v>
      </c>
      <c r="Q31" s="9">
        <v>1922000</v>
      </c>
      <c r="R31" s="9">
        <v>1099600</v>
      </c>
      <c r="S31" s="9">
        <v>0.52954000000000001</v>
      </c>
      <c r="T31" s="9">
        <f t="shared" si="0"/>
        <v>-0.91718842932501765</v>
      </c>
      <c r="U31" s="13">
        <v>5.5404561499959003E-3</v>
      </c>
    </row>
    <row r="32" spans="1:21" x14ac:dyDescent="0.3">
      <c r="A32" s="8" t="s">
        <v>48</v>
      </c>
      <c r="B32" s="9" t="s">
        <v>49</v>
      </c>
      <c r="C32" s="9">
        <v>552</v>
      </c>
      <c r="D32" s="9">
        <v>552</v>
      </c>
      <c r="E32" s="9">
        <v>1</v>
      </c>
      <c r="F32" s="10">
        <v>90.985600000000005</v>
      </c>
      <c r="G32" s="11">
        <v>8.4862099999999992E-12</v>
      </c>
      <c r="H32" s="9">
        <v>90.986000000000004</v>
      </c>
      <c r="I32" s="9" t="s">
        <v>11</v>
      </c>
      <c r="J32" s="9">
        <v>1</v>
      </c>
      <c r="K32" s="9" t="s">
        <v>2</v>
      </c>
      <c r="L32" s="9" t="s">
        <v>184</v>
      </c>
      <c r="M32" s="9" t="s">
        <v>185</v>
      </c>
      <c r="N32" s="9" t="s">
        <v>186</v>
      </c>
      <c r="O32" s="9">
        <v>4</v>
      </c>
      <c r="P32" s="10">
        <v>9454400</v>
      </c>
      <c r="Q32" s="9">
        <v>6376600</v>
      </c>
      <c r="R32" s="9">
        <v>3077800</v>
      </c>
      <c r="S32" s="9">
        <v>0.51959</v>
      </c>
      <c r="T32" s="9">
        <f t="shared" si="0"/>
        <v>-0.94455442986222671</v>
      </c>
      <c r="U32" s="13">
        <v>4.15167025205596E-3</v>
      </c>
    </row>
    <row r="33" spans="1:21" x14ac:dyDescent="0.3">
      <c r="A33" s="8" t="s">
        <v>121</v>
      </c>
      <c r="B33" s="9" t="s">
        <v>122</v>
      </c>
      <c r="C33" s="9">
        <v>442</v>
      </c>
      <c r="D33" s="9">
        <v>442</v>
      </c>
      <c r="E33" s="9">
        <v>1</v>
      </c>
      <c r="F33" s="10">
        <v>39.917000000000002</v>
      </c>
      <c r="G33" s="9">
        <v>1.73817E-3</v>
      </c>
      <c r="H33" s="9">
        <v>62.466000000000001</v>
      </c>
      <c r="I33" s="9"/>
      <c r="J33" s="9">
        <v>1</v>
      </c>
      <c r="K33" s="9" t="s">
        <v>2</v>
      </c>
      <c r="L33" s="9" t="s">
        <v>152</v>
      </c>
      <c r="M33" s="9" t="s">
        <v>153</v>
      </c>
      <c r="N33" s="9" t="s">
        <v>154</v>
      </c>
      <c r="O33" s="9">
        <v>10</v>
      </c>
      <c r="P33" s="10">
        <v>3691100</v>
      </c>
      <c r="Q33" s="9">
        <v>2305700</v>
      </c>
      <c r="R33" s="9">
        <v>1385400</v>
      </c>
      <c r="S33" s="9">
        <v>0.49041000000000001</v>
      </c>
      <c r="T33" s="9">
        <f t="shared" si="0"/>
        <v>-1.0279396974179722</v>
      </c>
      <c r="U33" s="13">
        <v>1.6408717798419401E-3</v>
      </c>
    </row>
    <row r="34" spans="1:21" x14ac:dyDescent="0.3">
      <c r="A34" s="8" t="s">
        <v>147</v>
      </c>
      <c r="B34" s="9" t="s">
        <v>148</v>
      </c>
      <c r="C34" s="9">
        <v>282</v>
      </c>
      <c r="D34" s="9">
        <v>282</v>
      </c>
      <c r="E34" s="9">
        <v>1</v>
      </c>
      <c r="F34" s="10">
        <v>53.447699999999998</v>
      </c>
      <c r="G34" s="9">
        <v>4.3463900000000001E-4</v>
      </c>
      <c r="H34" s="9">
        <v>53.448</v>
      </c>
      <c r="I34" s="9" t="s">
        <v>11</v>
      </c>
      <c r="J34" s="9">
        <v>1</v>
      </c>
      <c r="K34" s="9" t="s">
        <v>2</v>
      </c>
      <c r="L34" s="9" t="s">
        <v>149</v>
      </c>
      <c r="M34" s="9" t="s">
        <v>150</v>
      </c>
      <c r="N34" s="9" t="s">
        <v>151</v>
      </c>
      <c r="O34" s="9">
        <v>8</v>
      </c>
      <c r="P34" s="10">
        <v>5294600</v>
      </c>
      <c r="Q34" s="9">
        <v>3101200</v>
      </c>
      <c r="R34" s="9">
        <v>2193400</v>
      </c>
      <c r="S34" s="9">
        <v>0.48958000000000002</v>
      </c>
      <c r="T34" s="9">
        <f t="shared" si="0"/>
        <v>-1.0303834716814915</v>
      </c>
      <c r="U34" s="13">
        <v>1.59504898524608E-3</v>
      </c>
    </row>
    <row r="35" spans="1:21" x14ac:dyDescent="0.3">
      <c r="A35" s="8" t="s">
        <v>220</v>
      </c>
      <c r="B35" s="9" t="s">
        <v>221</v>
      </c>
      <c r="C35" s="9">
        <v>221</v>
      </c>
      <c r="D35" s="9">
        <v>221</v>
      </c>
      <c r="E35" s="9">
        <v>1</v>
      </c>
      <c r="F35" s="10">
        <v>107.84699999999999</v>
      </c>
      <c r="G35" s="11">
        <v>1.6302000000000001E-20</v>
      </c>
      <c r="H35" s="9">
        <v>107.85</v>
      </c>
      <c r="I35" s="9" t="s">
        <v>11</v>
      </c>
      <c r="J35" s="9">
        <v>1</v>
      </c>
      <c r="K35" s="9" t="s">
        <v>2</v>
      </c>
      <c r="L35" s="9" t="s">
        <v>222</v>
      </c>
      <c r="M35" s="9" t="s">
        <v>223</v>
      </c>
      <c r="N35" s="9" t="s">
        <v>224</v>
      </c>
      <c r="O35" s="9">
        <v>7</v>
      </c>
      <c r="P35" s="10">
        <v>1340700</v>
      </c>
      <c r="Q35" s="9">
        <v>893530</v>
      </c>
      <c r="R35" s="9">
        <v>447150</v>
      </c>
      <c r="S35" s="9">
        <v>0.45222000000000001</v>
      </c>
      <c r="T35" s="9">
        <f t="shared" si="0"/>
        <v>-1.1449032963787291</v>
      </c>
      <c r="U35" s="13">
        <v>8.7107529254261302E-3</v>
      </c>
    </row>
    <row r="36" spans="1:21" x14ac:dyDescent="0.3">
      <c r="A36" s="8" t="s">
        <v>48</v>
      </c>
      <c r="B36" s="9" t="s">
        <v>49</v>
      </c>
      <c r="C36" s="9">
        <v>498</v>
      </c>
      <c r="D36" s="9">
        <v>498</v>
      </c>
      <c r="E36" s="9">
        <v>1</v>
      </c>
      <c r="F36" s="10">
        <v>44.299399999999999</v>
      </c>
      <c r="G36" s="9">
        <v>1.15385E-2</v>
      </c>
      <c r="H36" s="9">
        <v>44.298999999999999</v>
      </c>
      <c r="I36" s="9"/>
      <c r="J36" s="9">
        <v>1</v>
      </c>
      <c r="K36" s="9" t="s">
        <v>2</v>
      </c>
      <c r="L36" s="9" t="s">
        <v>115</v>
      </c>
      <c r="M36" s="9" t="s">
        <v>116</v>
      </c>
      <c r="N36" s="9" t="s">
        <v>117</v>
      </c>
      <c r="O36" s="9">
        <v>8</v>
      </c>
      <c r="P36" s="10">
        <v>7314500</v>
      </c>
      <c r="Q36" s="9">
        <v>5032000</v>
      </c>
      <c r="R36" s="9">
        <v>2282500</v>
      </c>
      <c r="S36" s="9">
        <v>0.43768000000000001</v>
      </c>
      <c r="T36" s="9">
        <f t="shared" si="0"/>
        <v>-1.192051634054232</v>
      </c>
      <c r="U36" s="13">
        <v>2.12371307453522E-4</v>
      </c>
    </row>
    <row r="37" spans="1:21" x14ac:dyDescent="0.3">
      <c r="A37" s="8" t="s">
        <v>48</v>
      </c>
      <c r="B37" s="9" t="s">
        <v>49</v>
      </c>
      <c r="C37" s="9">
        <v>118</v>
      </c>
      <c r="D37" s="9">
        <v>118</v>
      </c>
      <c r="E37" s="9">
        <v>1</v>
      </c>
      <c r="F37" s="10">
        <v>64.4542</v>
      </c>
      <c r="G37" s="11">
        <v>9.0723799999999998E-12</v>
      </c>
      <c r="H37" s="9">
        <v>65.106999999999999</v>
      </c>
      <c r="I37" s="9" t="s">
        <v>11</v>
      </c>
      <c r="J37" s="9">
        <v>1</v>
      </c>
      <c r="K37" s="9" t="s">
        <v>2</v>
      </c>
      <c r="L37" s="9" t="s">
        <v>197</v>
      </c>
      <c r="M37" s="9" t="s">
        <v>198</v>
      </c>
      <c r="N37" s="9" t="s">
        <v>199</v>
      </c>
      <c r="O37" s="9">
        <v>15</v>
      </c>
      <c r="P37" s="10">
        <v>1561500</v>
      </c>
      <c r="Q37" s="9">
        <v>1318600</v>
      </c>
      <c r="R37" s="9">
        <v>242840</v>
      </c>
      <c r="S37" s="9">
        <v>0.43736000000000003</v>
      </c>
      <c r="T37" s="9">
        <f t="shared" si="0"/>
        <v>-1.1931068142372283</v>
      </c>
      <c r="U37" s="13">
        <v>6.0250212089701096E-3</v>
      </c>
    </row>
    <row r="38" spans="1:21" x14ac:dyDescent="0.3">
      <c r="A38" s="8" t="s">
        <v>48</v>
      </c>
      <c r="B38" s="9" t="s">
        <v>49</v>
      </c>
      <c r="C38" s="9">
        <v>153</v>
      </c>
      <c r="D38" s="9">
        <v>153</v>
      </c>
      <c r="E38" s="9">
        <v>1</v>
      </c>
      <c r="F38" s="10">
        <v>138.09800000000001</v>
      </c>
      <c r="G38" s="11">
        <v>1.6979600000000001E-33</v>
      </c>
      <c r="H38" s="9">
        <v>138.1</v>
      </c>
      <c r="I38" s="9" t="s">
        <v>11</v>
      </c>
      <c r="J38" s="9">
        <v>1</v>
      </c>
      <c r="K38" s="9" t="s">
        <v>2</v>
      </c>
      <c r="L38" s="9" t="s">
        <v>112</v>
      </c>
      <c r="M38" s="9" t="s">
        <v>113</v>
      </c>
      <c r="N38" s="9" t="s">
        <v>114</v>
      </c>
      <c r="O38" s="9">
        <v>4</v>
      </c>
      <c r="P38" s="10">
        <v>227520000</v>
      </c>
      <c r="Q38" s="9">
        <v>148010000</v>
      </c>
      <c r="R38" s="9">
        <v>79505000</v>
      </c>
      <c r="S38" s="9">
        <v>0.43114000000000002</v>
      </c>
      <c r="T38" s="9">
        <f t="shared" si="0"/>
        <v>-1.213771676828006</v>
      </c>
      <c r="U38" s="13">
        <v>1.5852618156571801E-4</v>
      </c>
    </row>
    <row r="39" spans="1:21" x14ac:dyDescent="0.3">
      <c r="A39" s="8" t="s">
        <v>233</v>
      </c>
      <c r="B39" s="9" t="s">
        <v>234</v>
      </c>
      <c r="C39" s="9">
        <v>182</v>
      </c>
      <c r="D39" s="9">
        <v>182</v>
      </c>
      <c r="E39" s="9">
        <v>1</v>
      </c>
      <c r="F39" s="10">
        <v>70.977099999999993</v>
      </c>
      <c r="G39" s="11">
        <v>3.5312799999999998E-5</v>
      </c>
      <c r="H39" s="9">
        <v>70.977000000000004</v>
      </c>
      <c r="I39" s="9" t="s">
        <v>11</v>
      </c>
      <c r="J39" s="9">
        <v>1</v>
      </c>
      <c r="K39" s="9" t="s">
        <v>2</v>
      </c>
      <c r="L39" s="9" t="s">
        <v>235</v>
      </c>
      <c r="M39" s="9" t="s">
        <v>236</v>
      </c>
      <c r="N39" s="9" t="s">
        <v>237</v>
      </c>
      <c r="O39" s="9">
        <v>2</v>
      </c>
      <c r="P39" s="10">
        <v>348770</v>
      </c>
      <c r="Q39" s="9">
        <v>210060</v>
      </c>
      <c r="R39" s="9">
        <v>138710</v>
      </c>
      <c r="S39" s="9">
        <v>0.42820000000000003</v>
      </c>
      <c r="T39" s="9">
        <f t="shared" si="0"/>
        <v>-1.2236432991639399</v>
      </c>
      <c r="U39" s="13">
        <v>9.7370394864337798E-3</v>
      </c>
    </row>
    <row r="40" spans="1:21" x14ac:dyDescent="0.3">
      <c r="A40" s="8" t="s">
        <v>215</v>
      </c>
      <c r="B40" s="9" t="s">
        <v>216</v>
      </c>
      <c r="C40" s="9">
        <v>664</v>
      </c>
      <c r="D40" s="9">
        <v>664</v>
      </c>
      <c r="E40" s="9">
        <v>1</v>
      </c>
      <c r="F40" s="10">
        <v>39.585500000000003</v>
      </c>
      <c r="G40" s="9">
        <v>1.3475099999999999E-3</v>
      </c>
      <c r="H40" s="9">
        <v>39.585000000000001</v>
      </c>
      <c r="I40" s="9" t="s">
        <v>11</v>
      </c>
      <c r="J40" s="9">
        <v>1</v>
      </c>
      <c r="K40" s="9" t="s">
        <v>2</v>
      </c>
      <c r="L40" s="9" t="s">
        <v>217</v>
      </c>
      <c r="M40" s="9" t="s">
        <v>218</v>
      </c>
      <c r="N40" s="9" t="s">
        <v>219</v>
      </c>
      <c r="O40" s="9">
        <v>18</v>
      </c>
      <c r="P40" s="10">
        <v>671700</v>
      </c>
      <c r="Q40" s="9">
        <v>465910</v>
      </c>
      <c r="R40" s="9">
        <v>205790</v>
      </c>
      <c r="S40" s="9">
        <v>0.42371999999999999</v>
      </c>
      <c r="T40" s="9">
        <f t="shared" si="0"/>
        <v>-1.2388168679560552</v>
      </c>
      <c r="U40" s="13">
        <v>8.7060294170517305E-3</v>
      </c>
    </row>
    <row r="41" spans="1:21" x14ac:dyDescent="0.3">
      <c r="A41" s="8" t="s">
        <v>96</v>
      </c>
      <c r="B41" s="9" t="s">
        <v>97</v>
      </c>
      <c r="C41" s="9">
        <v>33</v>
      </c>
      <c r="D41" s="9">
        <v>33</v>
      </c>
      <c r="E41" s="9">
        <v>1</v>
      </c>
      <c r="F41" s="10">
        <v>47.574300000000001</v>
      </c>
      <c r="G41" s="9">
        <v>1.2987299999999999E-3</v>
      </c>
      <c r="H41" s="9">
        <v>47.573999999999998</v>
      </c>
      <c r="I41" s="9"/>
      <c r="J41" s="9">
        <v>1</v>
      </c>
      <c r="K41" s="9" t="s">
        <v>2</v>
      </c>
      <c r="L41" s="9" t="s">
        <v>98</v>
      </c>
      <c r="M41" s="9" t="s">
        <v>99</v>
      </c>
      <c r="N41" s="9" t="s">
        <v>100</v>
      </c>
      <c r="O41" s="9">
        <v>5</v>
      </c>
      <c r="P41" s="10">
        <v>3323700</v>
      </c>
      <c r="Q41" s="9">
        <v>1957700</v>
      </c>
      <c r="R41" s="9">
        <v>1365900</v>
      </c>
      <c r="S41" s="9">
        <v>0.39849000000000001</v>
      </c>
      <c r="T41" s="9">
        <f t="shared" si="0"/>
        <v>-1.3273845742636543</v>
      </c>
      <c r="U41" s="12">
        <v>3.1583770222700898E-5</v>
      </c>
    </row>
    <row r="42" spans="1:21" x14ac:dyDescent="0.3">
      <c r="A42" s="8" t="s">
        <v>179</v>
      </c>
      <c r="B42" s="9" t="s">
        <v>180</v>
      </c>
      <c r="C42" s="9">
        <v>170</v>
      </c>
      <c r="D42" s="9">
        <v>170</v>
      </c>
      <c r="E42" s="9">
        <v>1</v>
      </c>
      <c r="F42" s="10">
        <v>65.092200000000005</v>
      </c>
      <c r="G42" s="11">
        <v>1.7160700000000001E-9</v>
      </c>
      <c r="H42" s="9">
        <v>65.091999999999999</v>
      </c>
      <c r="I42" s="9"/>
      <c r="J42" s="9">
        <v>1</v>
      </c>
      <c r="K42" s="9" t="s">
        <v>2</v>
      </c>
      <c r="L42" s="9" t="s">
        <v>181</v>
      </c>
      <c r="M42" s="9" t="s">
        <v>182</v>
      </c>
      <c r="N42" s="9" t="s">
        <v>183</v>
      </c>
      <c r="O42" s="9">
        <v>14</v>
      </c>
      <c r="P42" s="10">
        <v>457420</v>
      </c>
      <c r="Q42" s="9">
        <v>185570</v>
      </c>
      <c r="R42" s="9">
        <v>271850</v>
      </c>
      <c r="S42" s="9">
        <v>0.39559</v>
      </c>
      <c r="T42" s="9">
        <f t="shared" si="0"/>
        <v>-1.3379221377811237</v>
      </c>
      <c r="U42" s="13">
        <v>4.05422905609845E-3</v>
      </c>
    </row>
    <row r="43" spans="1:21" x14ac:dyDescent="0.3">
      <c r="A43" s="8" t="s">
        <v>174</v>
      </c>
      <c r="B43" s="9" t="s">
        <v>175</v>
      </c>
      <c r="C43" s="9">
        <v>82</v>
      </c>
      <c r="D43" s="9">
        <v>82</v>
      </c>
      <c r="E43" s="9">
        <v>1</v>
      </c>
      <c r="F43" s="10">
        <v>63.708799999999997</v>
      </c>
      <c r="G43" s="11">
        <v>1.72489E-7</v>
      </c>
      <c r="H43" s="9">
        <v>63.709000000000003</v>
      </c>
      <c r="I43" s="9" t="s">
        <v>11</v>
      </c>
      <c r="J43" s="9">
        <v>1</v>
      </c>
      <c r="K43" s="9" t="s">
        <v>2</v>
      </c>
      <c r="L43" s="9" t="s">
        <v>176</v>
      </c>
      <c r="M43" s="9" t="s">
        <v>177</v>
      </c>
      <c r="N43" s="9" t="s">
        <v>178</v>
      </c>
      <c r="O43" s="9">
        <v>8</v>
      </c>
      <c r="P43" s="10">
        <v>156530</v>
      </c>
      <c r="Q43" s="9">
        <v>99643</v>
      </c>
      <c r="R43" s="9">
        <v>56886</v>
      </c>
      <c r="S43" s="9">
        <v>0.39323999999999998</v>
      </c>
      <c r="T43" s="9">
        <f t="shared" si="0"/>
        <v>-1.3465180161728958</v>
      </c>
      <c r="U43" s="13">
        <v>3.7838573576384998E-3</v>
      </c>
    </row>
    <row r="44" spans="1:21" x14ac:dyDescent="0.3">
      <c r="A44" s="8" t="s">
        <v>142</v>
      </c>
      <c r="B44" s="9" t="s">
        <v>143</v>
      </c>
      <c r="C44" s="9">
        <v>132</v>
      </c>
      <c r="D44" s="9">
        <v>132</v>
      </c>
      <c r="E44" s="9">
        <v>1</v>
      </c>
      <c r="F44" s="10">
        <v>104.89400000000001</v>
      </c>
      <c r="G44" s="11">
        <v>5.7300699999999997E-32</v>
      </c>
      <c r="H44" s="9">
        <v>104.89</v>
      </c>
      <c r="I44" s="9" t="s">
        <v>11</v>
      </c>
      <c r="J44" s="9">
        <v>1</v>
      </c>
      <c r="K44" s="9" t="s">
        <v>2</v>
      </c>
      <c r="L44" s="9" t="s">
        <v>144</v>
      </c>
      <c r="M44" s="9" t="s">
        <v>145</v>
      </c>
      <c r="N44" s="9" t="s">
        <v>146</v>
      </c>
      <c r="O44" s="9">
        <v>10</v>
      </c>
      <c r="P44" s="10">
        <v>922540</v>
      </c>
      <c r="Q44" s="9">
        <v>434510</v>
      </c>
      <c r="R44" s="9">
        <v>488040</v>
      </c>
      <c r="S44" s="9">
        <v>0.35930000000000001</v>
      </c>
      <c r="T44" s="9">
        <f t="shared" si="0"/>
        <v>-1.4767391595472852</v>
      </c>
      <c r="U44" s="13">
        <v>1.2605143434640401E-3</v>
      </c>
    </row>
    <row r="45" spans="1:21" x14ac:dyDescent="0.3">
      <c r="A45" s="8" t="s">
        <v>76</v>
      </c>
      <c r="B45" s="9" t="s">
        <v>77</v>
      </c>
      <c r="C45" s="9">
        <v>282</v>
      </c>
      <c r="D45" s="9">
        <v>282</v>
      </c>
      <c r="E45" s="9">
        <v>1</v>
      </c>
      <c r="F45" s="10">
        <v>34.9283</v>
      </c>
      <c r="G45" s="11">
        <v>9.0593500000000004E-10</v>
      </c>
      <c r="H45" s="9">
        <v>70.197000000000003</v>
      </c>
      <c r="I45" s="9"/>
      <c r="J45" s="9">
        <v>1</v>
      </c>
      <c r="K45" s="9" t="s">
        <v>2</v>
      </c>
      <c r="L45" s="9" t="s">
        <v>78</v>
      </c>
      <c r="M45" s="9" t="s">
        <v>79</v>
      </c>
      <c r="N45" s="9" t="s">
        <v>80</v>
      </c>
      <c r="O45" s="9">
        <v>4</v>
      </c>
      <c r="P45" s="10">
        <v>3614800</v>
      </c>
      <c r="Q45" s="9">
        <v>2594300</v>
      </c>
      <c r="R45" s="9">
        <v>1020400</v>
      </c>
      <c r="S45" s="9">
        <v>0.35083999999999999</v>
      </c>
      <c r="T45" s="9">
        <f t="shared" si="0"/>
        <v>-1.5111148530573473</v>
      </c>
      <c r="U45" s="12">
        <v>1.7235405790034801E-6</v>
      </c>
    </row>
    <row r="46" spans="1:21" x14ac:dyDescent="0.3">
      <c r="A46" s="8" t="s">
        <v>61</v>
      </c>
      <c r="B46" s="9" t="s">
        <v>62</v>
      </c>
      <c r="C46" s="9">
        <v>86</v>
      </c>
      <c r="D46" s="9">
        <v>86</v>
      </c>
      <c r="E46" s="9">
        <v>1</v>
      </c>
      <c r="F46" s="10">
        <v>64.757400000000004</v>
      </c>
      <c r="G46" s="11">
        <v>1.1943599999999999E-6</v>
      </c>
      <c r="H46" s="9">
        <v>64.757000000000005</v>
      </c>
      <c r="I46" s="9" t="s">
        <v>11</v>
      </c>
      <c r="J46" s="9">
        <v>1</v>
      </c>
      <c r="K46" s="9" t="s">
        <v>2</v>
      </c>
      <c r="L46" s="9" t="s">
        <v>63</v>
      </c>
      <c r="M46" s="9" t="s">
        <v>64</v>
      </c>
      <c r="N46" s="9" t="s">
        <v>65</v>
      </c>
      <c r="O46" s="9">
        <v>3</v>
      </c>
      <c r="P46" s="10">
        <v>6076200</v>
      </c>
      <c r="Q46" s="9">
        <v>3830000</v>
      </c>
      <c r="R46" s="9">
        <v>2246200</v>
      </c>
      <c r="S46" s="9">
        <v>0.32490999999999998</v>
      </c>
      <c r="T46" s="9">
        <f t="shared" si="0"/>
        <v>-1.6218879476238073</v>
      </c>
      <c r="U46" s="12">
        <v>2.4932238859180201E-7</v>
      </c>
    </row>
    <row r="47" spans="1:21" x14ac:dyDescent="0.3">
      <c r="A47" s="8" t="s">
        <v>48</v>
      </c>
      <c r="B47" s="9" t="s">
        <v>49</v>
      </c>
      <c r="C47" s="9">
        <v>523</v>
      </c>
      <c r="D47" s="9">
        <v>523</v>
      </c>
      <c r="E47" s="9">
        <v>1</v>
      </c>
      <c r="F47" s="10">
        <v>118.866</v>
      </c>
      <c r="G47" s="11">
        <v>1.68769E-26</v>
      </c>
      <c r="H47" s="9">
        <v>118.87</v>
      </c>
      <c r="I47" s="9" t="s">
        <v>11</v>
      </c>
      <c r="J47" s="9">
        <v>1</v>
      </c>
      <c r="K47" s="9" t="s">
        <v>2</v>
      </c>
      <c r="L47" s="9" t="s">
        <v>50</v>
      </c>
      <c r="M47" s="9" t="s">
        <v>51</v>
      </c>
      <c r="N47" s="9" t="s">
        <v>52</v>
      </c>
      <c r="O47" s="9">
        <v>3</v>
      </c>
      <c r="P47" s="10">
        <v>9096700</v>
      </c>
      <c r="Q47" s="9">
        <v>7075200</v>
      </c>
      <c r="R47" s="9">
        <v>2021500</v>
      </c>
      <c r="S47" s="9">
        <v>0.29468</v>
      </c>
      <c r="T47" s="9">
        <f t="shared" si="0"/>
        <v>-1.7627789471501052</v>
      </c>
      <c r="U47" s="12">
        <v>1.7513482983437599E-8</v>
      </c>
    </row>
    <row r="48" spans="1:21" x14ac:dyDescent="0.3">
      <c r="A48" s="8" t="s">
        <v>91</v>
      </c>
      <c r="B48" s="9" t="s">
        <v>92</v>
      </c>
      <c r="C48" s="9">
        <v>169</v>
      </c>
      <c r="D48" s="9">
        <v>169</v>
      </c>
      <c r="E48" s="9">
        <v>0.99571699999999996</v>
      </c>
      <c r="F48" s="10">
        <v>23.664100000000001</v>
      </c>
      <c r="G48" s="9">
        <v>5.5939399999999995E-4</v>
      </c>
      <c r="H48" s="9">
        <v>37.56</v>
      </c>
      <c r="I48" s="9" t="s">
        <v>11</v>
      </c>
      <c r="J48" s="9">
        <v>1</v>
      </c>
      <c r="K48" s="9" t="s">
        <v>2</v>
      </c>
      <c r="L48" s="9" t="s">
        <v>93</v>
      </c>
      <c r="M48" s="9" t="s">
        <v>94</v>
      </c>
      <c r="N48" s="9" t="s">
        <v>95</v>
      </c>
      <c r="O48" s="9">
        <v>23</v>
      </c>
      <c r="P48" s="10">
        <v>1522400</v>
      </c>
      <c r="Q48" s="9">
        <v>1124200</v>
      </c>
      <c r="R48" s="9">
        <v>398160</v>
      </c>
      <c r="S48" s="9">
        <v>0.29335</v>
      </c>
      <c r="T48" s="9">
        <f t="shared" si="0"/>
        <v>-1.7693051028780844</v>
      </c>
      <c r="U48" s="12">
        <v>2.4511464986672799E-5</v>
      </c>
    </row>
    <row r="49" spans="1:21" x14ac:dyDescent="0.3">
      <c r="A49" s="8" t="s">
        <v>86</v>
      </c>
      <c r="B49" s="9" t="s">
        <v>87</v>
      </c>
      <c r="C49" s="9">
        <v>33</v>
      </c>
      <c r="D49" s="9">
        <v>33</v>
      </c>
      <c r="E49" s="9">
        <v>0.99998799999999999</v>
      </c>
      <c r="F49" s="10">
        <v>49.137</v>
      </c>
      <c r="G49" s="11">
        <v>2.72093E-9</v>
      </c>
      <c r="H49" s="9">
        <v>91.855000000000004</v>
      </c>
      <c r="I49" s="9" t="s">
        <v>11</v>
      </c>
      <c r="J49" s="9">
        <v>1</v>
      </c>
      <c r="K49" s="9" t="s">
        <v>2</v>
      </c>
      <c r="L49" s="9" t="s">
        <v>88</v>
      </c>
      <c r="M49" s="9" t="s">
        <v>89</v>
      </c>
      <c r="N49" s="9" t="s">
        <v>90</v>
      </c>
      <c r="O49" s="9">
        <v>10</v>
      </c>
      <c r="P49" s="10">
        <v>1481200</v>
      </c>
      <c r="Q49" s="9">
        <v>333040</v>
      </c>
      <c r="R49" s="9">
        <v>1148100</v>
      </c>
      <c r="S49" s="9">
        <v>0.27415</v>
      </c>
      <c r="T49" s="9">
        <f t="shared" si="0"/>
        <v>-1.8669626212526504</v>
      </c>
      <c r="U49" s="12">
        <v>7.8631540235512094E-6</v>
      </c>
    </row>
    <row r="50" spans="1:21" x14ac:dyDescent="0.3">
      <c r="A50" s="8" t="s">
        <v>43</v>
      </c>
      <c r="B50" s="9" t="s">
        <v>44</v>
      </c>
      <c r="C50" s="9">
        <v>175</v>
      </c>
      <c r="D50" s="9">
        <v>175</v>
      </c>
      <c r="E50" s="9">
        <v>1</v>
      </c>
      <c r="F50" s="10">
        <v>68.034000000000006</v>
      </c>
      <c r="G50" s="11">
        <v>8.82934E-9</v>
      </c>
      <c r="H50" s="9">
        <v>68.034000000000006</v>
      </c>
      <c r="I50" s="9" t="s">
        <v>11</v>
      </c>
      <c r="J50" s="9">
        <v>1</v>
      </c>
      <c r="K50" s="9" t="s">
        <v>2</v>
      </c>
      <c r="L50" s="9" t="s">
        <v>45</v>
      </c>
      <c r="M50" s="9" t="s">
        <v>46</v>
      </c>
      <c r="N50" s="9" t="s">
        <v>47</v>
      </c>
      <c r="O50" s="9">
        <v>12</v>
      </c>
      <c r="P50" s="10">
        <v>3879700</v>
      </c>
      <c r="Q50" s="9">
        <v>3287400</v>
      </c>
      <c r="R50" s="9">
        <v>592340</v>
      </c>
      <c r="S50" s="9">
        <v>0.25927</v>
      </c>
      <c r="T50" s="9">
        <f t="shared" si="0"/>
        <v>-1.947472812549347</v>
      </c>
      <c r="U50" s="12">
        <v>3.8534788416228799E-10</v>
      </c>
    </row>
    <row r="51" spans="1:21" x14ac:dyDescent="0.3">
      <c r="A51" s="8" t="s">
        <v>15</v>
      </c>
      <c r="B51" s="9" t="s">
        <v>16</v>
      </c>
      <c r="C51" s="9">
        <v>55</v>
      </c>
      <c r="D51" s="9">
        <v>55</v>
      </c>
      <c r="E51" s="9">
        <v>1</v>
      </c>
      <c r="F51" s="10">
        <v>22.475000000000001</v>
      </c>
      <c r="G51" s="11">
        <v>3.0167599999999998E-7</v>
      </c>
      <c r="H51" s="9">
        <v>63.036999999999999</v>
      </c>
      <c r="I51" s="9"/>
      <c r="J51" s="9">
        <v>1</v>
      </c>
      <c r="K51" s="9" t="s">
        <v>2</v>
      </c>
      <c r="L51" s="9" t="s">
        <v>17</v>
      </c>
      <c r="M51" s="9" t="s">
        <v>18</v>
      </c>
      <c r="N51" s="9" t="s">
        <v>19</v>
      </c>
      <c r="O51" s="9">
        <v>10</v>
      </c>
      <c r="P51" s="10">
        <v>2713300</v>
      </c>
      <c r="Q51" s="9">
        <v>2016100</v>
      </c>
      <c r="R51" s="9">
        <v>697250</v>
      </c>
      <c r="S51" s="9">
        <v>4.6890000000000001E-2</v>
      </c>
      <c r="T51" s="9">
        <f t="shared" si="0"/>
        <v>-4.4145759107159916</v>
      </c>
      <c r="U51" s="12">
        <v>4.7222090308885599E-28</v>
      </c>
    </row>
    <row r="52" spans="1:21" x14ac:dyDescent="0.3">
      <c r="A52" s="14" t="s">
        <v>9</v>
      </c>
      <c r="B52" s="15" t="s">
        <v>10</v>
      </c>
      <c r="C52" s="15">
        <v>501</v>
      </c>
      <c r="D52" s="15">
        <v>501</v>
      </c>
      <c r="E52" s="15">
        <v>1</v>
      </c>
      <c r="F52" s="16">
        <v>62.880200000000002</v>
      </c>
      <c r="G52" s="15">
        <v>1.64439E-4</v>
      </c>
      <c r="H52" s="15">
        <v>62.88</v>
      </c>
      <c r="I52" s="15" t="s">
        <v>11</v>
      </c>
      <c r="J52" s="15">
        <v>1</v>
      </c>
      <c r="K52" s="15" t="s">
        <v>2</v>
      </c>
      <c r="L52" s="15" t="s">
        <v>12</v>
      </c>
      <c r="M52" s="15" t="s">
        <v>13</v>
      </c>
      <c r="N52" s="15" t="s">
        <v>14</v>
      </c>
      <c r="O52" s="15">
        <v>4</v>
      </c>
      <c r="P52" s="16">
        <v>4227700</v>
      </c>
      <c r="Q52" s="15">
        <v>4039800</v>
      </c>
      <c r="R52" s="15">
        <v>187960</v>
      </c>
      <c r="S52" s="15">
        <v>3.6922000000000003E-2</v>
      </c>
      <c r="T52" s="9">
        <f t="shared" si="0"/>
        <v>-4.7593754864136786</v>
      </c>
      <c r="U52" s="22">
        <v>1.8591972872769E-32</v>
      </c>
    </row>
  </sheetData>
  <sheetProtection sheet="1" objects="1" scenarios="1"/>
  <autoFilter ref="A1:U52" xr:uid="{B14F0546-7159-40AB-BE12-AD262268FB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F4DA-E028-4EA4-9C55-57B0D469B204}">
  <dimension ref="A1:G110"/>
  <sheetViews>
    <sheetView zoomScaleNormal="100" workbookViewId="0">
      <selection activeCell="C9" sqref="C9"/>
    </sheetView>
  </sheetViews>
  <sheetFormatPr defaultRowHeight="14.4" x14ac:dyDescent="0.3"/>
  <cols>
    <col min="1" max="1" width="49" bestFit="1" customWidth="1"/>
    <col min="2" max="6" width="20.109375" customWidth="1"/>
    <col min="7" max="7" width="20.21875" customWidth="1"/>
  </cols>
  <sheetData>
    <row r="1" spans="1:7" s="23" customFormat="1" ht="28.8" x14ac:dyDescent="0.3">
      <c r="A1" s="32" t="s">
        <v>5132</v>
      </c>
      <c r="B1" s="32" t="s">
        <v>5139</v>
      </c>
      <c r="C1" s="32" t="s">
        <v>5140</v>
      </c>
      <c r="D1" s="33" t="s">
        <v>5141</v>
      </c>
      <c r="E1" s="34" t="s">
        <v>5142</v>
      </c>
      <c r="F1" s="34" t="s">
        <v>5143</v>
      </c>
      <c r="G1" s="34" t="s">
        <v>5144</v>
      </c>
    </row>
    <row r="2" spans="1:7" x14ac:dyDescent="0.3">
      <c r="A2" s="26" t="s">
        <v>5120</v>
      </c>
      <c r="B2" s="14">
        <v>88</v>
      </c>
      <c r="C2" s="15">
        <v>42</v>
      </c>
      <c r="D2" s="17">
        <v>68</v>
      </c>
      <c r="E2" s="24">
        <f>(C2/D2)*100</f>
        <v>61.764705882352942</v>
      </c>
      <c r="F2" s="25">
        <f>(B2/SUM(B$2:B$110)*100)</f>
        <v>6.2367115520907159</v>
      </c>
      <c r="G2" s="25">
        <f>(C2/SUM(C$2:C$110)*100)</f>
        <v>7.2413793103448283</v>
      </c>
    </row>
    <row r="3" spans="1:7" x14ac:dyDescent="0.3">
      <c r="A3" s="26" t="s">
        <v>5027</v>
      </c>
      <c r="B3" s="14">
        <v>77</v>
      </c>
      <c r="C3" s="15">
        <v>29</v>
      </c>
      <c r="D3" s="17">
        <v>80</v>
      </c>
      <c r="E3" s="24">
        <f t="shared" ref="E3:E65" si="0">(C3/D3)*100</f>
        <v>36.25</v>
      </c>
      <c r="F3" s="25">
        <f t="shared" ref="F3:F66" si="1">(B3/SUM(B$2:B$110)*100)</f>
        <v>5.4571226080793762</v>
      </c>
      <c r="G3" s="25">
        <f t="shared" ref="G3:G66" si="2">(C3/SUM(C$2:C$110)*100)</f>
        <v>5</v>
      </c>
    </row>
    <row r="4" spans="1:7" x14ac:dyDescent="0.3">
      <c r="A4" s="26" t="s">
        <v>5012</v>
      </c>
      <c r="B4" s="14">
        <v>69</v>
      </c>
      <c r="C4" s="15">
        <v>21</v>
      </c>
      <c r="D4" s="17">
        <v>59</v>
      </c>
      <c r="E4" s="24">
        <f t="shared" si="0"/>
        <v>35.593220338983052</v>
      </c>
      <c r="F4" s="25">
        <f t="shared" si="1"/>
        <v>4.8901488306165843</v>
      </c>
      <c r="G4" s="25">
        <f t="shared" si="2"/>
        <v>3.6206896551724141</v>
      </c>
    </row>
    <row r="5" spans="1:7" x14ac:dyDescent="0.3">
      <c r="A5" s="26" t="s">
        <v>5013</v>
      </c>
      <c r="B5" s="14">
        <v>93</v>
      </c>
      <c r="C5" s="15">
        <v>19</v>
      </c>
      <c r="D5" s="17">
        <v>31</v>
      </c>
      <c r="E5" s="24">
        <f t="shared" si="0"/>
        <v>61.29032258064516</v>
      </c>
      <c r="F5" s="25">
        <f t="shared" si="1"/>
        <v>6.5910701630049608</v>
      </c>
      <c r="G5" s="25">
        <f t="shared" si="2"/>
        <v>3.2758620689655173</v>
      </c>
    </row>
    <row r="6" spans="1:7" x14ac:dyDescent="0.3">
      <c r="A6" s="26" t="s">
        <v>5015</v>
      </c>
      <c r="B6" s="14">
        <v>54</v>
      </c>
      <c r="C6" s="15">
        <v>18</v>
      </c>
      <c r="D6" s="17">
        <v>35</v>
      </c>
      <c r="E6" s="24">
        <f t="shared" si="0"/>
        <v>51.428571428571423</v>
      </c>
      <c r="F6" s="25">
        <f t="shared" si="1"/>
        <v>3.8270729978738482</v>
      </c>
      <c r="G6" s="25">
        <f t="shared" si="2"/>
        <v>3.103448275862069</v>
      </c>
    </row>
    <row r="7" spans="1:7" x14ac:dyDescent="0.3">
      <c r="A7" s="26" t="s">
        <v>5028</v>
      </c>
      <c r="B7" s="14">
        <v>52</v>
      </c>
      <c r="C7" s="15">
        <v>18</v>
      </c>
      <c r="D7" s="17">
        <v>45</v>
      </c>
      <c r="E7" s="24">
        <f t="shared" si="0"/>
        <v>40</v>
      </c>
      <c r="F7" s="25">
        <f t="shared" si="1"/>
        <v>3.6853295535081503</v>
      </c>
      <c r="G7" s="25">
        <f t="shared" si="2"/>
        <v>3.103448275862069</v>
      </c>
    </row>
    <row r="8" spans="1:7" x14ac:dyDescent="0.3">
      <c r="A8" s="26" t="s">
        <v>5098</v>
      </c>
      <c r="B8" s="14">
        <v>37</v>
      </c>
      <c r="C8" s="15">
        <v>17</v>
      </c>
      <c r="D8" s="17">
        <v>90</v>
      </c>
      <c r="E8" s="24">
        <f t="shared" si="0"/>
        <v>18.888888888888889</v>
      </c>
      <c r="F8" s="25">
        <f t="shared" si="1"/>
        <v>2.6222537207654146</v>
      </c>
      <c r="G8" s="25">
        <f t="shared" si="2"/>
        <v>2.9310344827586206</v>
      </c>
    </row>
    <row r="9" spans="1:7" x14ac:dyDescent="0.3">
      <c r="A9" s="26" t="s">
        <v>5114</v>
      </c>
      <c r="B9" s="14">
        <v>28</v>
      </c>
      <c r="C9" s="15">
        <v>16</v>
      </c>
      <c r="D9" s="17">
        <v>202</v>
      </c>
      <c r="E9" s="24">
        <f t="shared" si="0"/>
        <v>7.9207920792079207</v>
      </c>
      <c r="F9" s="25">
        <f t="shared" si="1"/>
        <v>1.9844082211197731</v>
      </c>
      <c r="G9" s="25">
        <f t="shared" si="2"/>
        <v>2.7586206896551726</v>
      </c>
    </row>
    <row r="10" spans="1:7" x14ac:dyDescent="0.3">
      <c r="A10" s="26" t="s">
        <v>5025</v>
      </c>
      <c r="B10" s="14">
        <v>42</v>
      </c>
      <c r="C10" s="15">
        <v>15</v>
      </c>
      <c r="D10" s="17">
        <v>55</v>
      </c>
      <c r="E10" s="24">
        <f t="shared" si="0"/>
        <v>27.27272727272727</v>
      </c>
      <c r="F10" s="25">
        <f t="shared" si="1"/>
        <v>2.97661233167966</v>
      </c>
      <c r="G10" s="25">
        <f t="shared" si="2"/>
        <v>2.5862068965517242</v>
      </c>
    </row>
    <row r="11" spans="1:7" x14ac:dyDescent="0.3">
      <c r="A11" s="26" t="s">
        <v>5029</v>
      </c>
      <c r="B11" s="14">
        <v>30</v>
      </c>
      <c r="C11" s="15">
        <v>14</v>
      </c>
      <c r="D11" s="17">
        <v>36</v>
      </c>
      <c r="E11" s="24">
        <f t="shared" si="0"/>
        <v>38.888888888888893</v>
      </c>
      <c r="F11" s="25">
        <f t="shared" si="1"/>
        <v>2.1261516654854713</v>
      </c>
      <c r="G11" s="25">
        <f t="shared" si="2"/>
        <v>2.4137931034482758</v>
      </c>
    </row>
    <row r="12" spans="1:7" x14ac:dyDescent="0.3">
      <c r="A12" s="26" t="s">
        <v>5076</v>
      </c>
      <c r="B12" s="14">
        <v>52</v>
      </c>
      <c r="C12" s="15">
        <v>14</v>
      </c>
      <c r="D12" s="17">
        <v>56</v>
      </c>
      <c r="E12" s="24">
        <f t="shared" si="0"/>
        <v>25</v>
      </c>
      <c r="F12" s="25">
        <f t="shared" si="1"/>
        <v>3.6853295535081503</v>
      </c>
      <c r="G12" s="25">
        <f t="shared" si="2"/>
        <v>2.4137931034482758</v>
      </c>
    </row>
    <row r="13" spans="1:7" x14ac:dyDescent="0.3">
      <c r="A13" s="26" t="s">
        <v>5021</v>
      </c>
      <c r="B13" s="14">
        <v>30</v>
      </c>
      <c r="C13" s="15">
        <v>13</v>
      </c>
      <c r="D13" s="17">
        <v>26</v>
      </c>
      <c r="E13" s="24">
        <f t="shared" si="0"/>
        <v>50</v>
      </c>
      <c r="F13" s="25">
        <f t="shared" si="1"/>
        <v>2.1261516654854713</v>
      </c>
      <c r="G13" s="25">
        <f t="shared" si="2"/>
        <v>2.2413793103448274</v>
      </c>
    </row>
    <row r="14" spans="1:7" x14ac:dyDescent="0.3">
      <c r="A14" s="26" t="s">
        <v>5078</v>
      </c>
      <c r="B14" s="14">
        <v>46</v>
      </c>
      <c r="C14" s="15">
        <v>13</v>
      </c>
      <c r="D14" s="17">
        <v>47</v>
      </c>
      <c r="E14" s="24">
        <f t="shared" si="0"/>
        <v>27.659574468085108</v>
      </c>
      <c r="F14" s="25">
        <f t="shared" si="1"/>
        <v>3.2600992204110559</v>
      </c>
      <c r="G14" s="25">
        <f t="shared" si="2"/>
        <v>2.2413793103448274</v>
      </c>
    </row>
    <row r="15" spans="1:7" x14ac:dyDescent="0.3">
      <c r="A15" s="26" t="s">
        <v>5011</v>
      </c>
      <c r="B15" s="14">
        <v>23</v>
      </c>
      <c r="C15" s="15">
        <v>11</v>
      </c>
      <c r="D15" s="17">
        <v>41</v>
      </c>
      <c r="E15" s="24">
        <f t="shared" si="0"/>
        <v>26.829268292682929</v>
      </c>
      <c r="F15" s="25">
        <f t="shared" si="1"/>
        <v>1.630049610205528</v>
      </c>
      <c r="G15" s="25">
        <f t="shared" si="2"/>
        <v>1.896551724137931</v>
      </c>
    </row>
    <row r="16" spans="1:7" x14ac:dyDescent="0.3">
      <c r="A16" s="26" t="s">
        <v>5121</v>
      </c>
      <c r="B16" s="14">
        <v>38</v>
      </c>
      <c r="C16" s="15">
        <v>9</v>
      </c>
      <c r="D16" s="17">
        <v>15</v>
      </c>
      <c r="E16" s="24">
        <f t="shared" si="0"/>
        <v>60</v>
      </c>
      <c r="F16" s="25">
        <f t="shared" si="1"/>
        <v>2.6931254429482636</v>
      </c>
      <c r="G16" s="25">
        <f t="shared" si="2"/>
        <v>1.5517241379310345</v>
      </c>
    </row>
    <row r="17" spans="1:7" x14ac:dyDescent="0.3">
      <c r="A17" s="26" t="s">
        <v>5083</v>
      </c>
      <c r="B17" s="8">
        <v>30</v>
      </c>
      <c r="C17" s="9">
        <v>9</v>
      </c>
      <c r="D17" s="13">
        <v>26</v>
      </c>
      <c r="E17" s="24">
        <f t="shared" si="0"/>
        <v>34.615384615384613</v>
      </c>
      <c r="F17" s="25">
        <f t="shared" si="1"/>
        <v>2.1261516654854713</v>
      </c>
      <c r="G17" s="25">
        <f t="shared" si="2"/>
        <v>1.5517241379310345</v>
      </c>
    </row>
    <row r="18" spans="1:7" x14ac:dyDescent="0.3">
      <c r="A18" s="26" t="s">
        <v>5016</v>
      </c>
      <c r="B18" s="14">
        <v>20</v>
      </c>
      <c r="C18" s="15">
        <v>9</v>
      </c>
      <c r="D18" s="17">
        <v>26</v>
      </c>
      <c r="E18" s="24">
        <f t="shared" si="0"/>
        <v>34.615384615384613</v>
      </c>
      <c r="F18" s="25">
        <f t="shared" si="1"/>
        <v>1.4174344436569808</v>
      </c>
      <c r="G18" s="25">
        <f t="shared" si="2"/>
        <v>1.5517241379310345</v>
      </c>
    </row>
    <row r="19" spans="1:7" x14ac:dyDescent="0.3">
      <c r="A19" s="26" t="s">
        <v>5058</v>
      </c>
      <c r="B19" s="27">
        <v>17</v>
      </c>
      <c r="C19" s="28">
        <v>9</v>
      </c>
      <c r="D19" s="30">
        <v>36</v>
      </c>
      <c r="E19" s="24">
        <f t="shared" si="0"/>
        <v>25</v>
      </c>
      <c r="F19" s="25">
        <f t="shared" si="1"/>
        <v>1.2048192771084338</v>
      </c>
      <c r="G19" s="25">
        <f t="shared" si="2"/>
        <v>1.5517241379310345</v>
      </c>
    </row>
    <row r="20" spans="1:7" x14ac:dyDescent="0.3">
      <c r="A20" s="26" t="s">
        <v>5080</v>
      </c>
      <c r="B20" s="8">
        <v>24</v>
      </c>
      <c r="C20" s="9">
        <v>9</v>
      </c>
      <c r="D20" s="13">
        <v>41</v>
      </c>
      <c r="E20" s="24">
        <f t="shared" si="0"/>
        <v>21.951219512195124</v>
      </c>
      <c r="F20" s="25">
        <f t="shared" si="1"/>
        <v>1.7009213323883769</v>
      </c>
      <c r="G20" s="25">
        <f t="shared" si="2"/>
        <v>1.5517241379310345</v>
      </c>
    </row>
    <row r="21" spans="1:7" x14ac:dyDescent="0.3">
      <c r="A21" s="26" t="s">
        <v>5032</v>
      </c>
      <c r="B21" s="14">
        <v>24</v>
      </c>
      <c r="C21" s="15">
        <v>9</v>
      </c>
      <c r="D21" s="17">
        <v>47</v>
      </c>
      <c r="E21" s="24">
        <f t="shared" si="0"/>
        <v>19.148936170212767</v>
      </c>
      <c r="F21" s="25">
        <f t="shared" si="1"/>
        <v>1.7009213323883769</v>
      </c>
      <c r="G21" s="25">
        <f t="shared" si="2"/>
        <v>1.5517241379310345</v>
      </c>
    </row>
    <row r="22" spans="1:7" x14ac:dyDescent="0.3">
      <c r="A22" s="26" t="s">
        <v>5030</v>
      </c>
      <c r="B22" s="27">
        <v>34</v>
      </c>
      <c r="C22" s="28">
        <v>9</v>
      </c>
      <c r="D22" s="30">
        <v>49</v>
      </c>
      <c r="E22" s="24">
        <f t="shared" si="0"/>
        <v>18.367346938775512</v>
      </c>
      <c r="F22" s="25">
        <f t="shared" si="1"/>
        <v>2.4096385542168677</v>
      </c>
      <c r="G22" s="25">
        <f t="shared" si="2"/>
        <v>1.5517241379310345</v>
      </c>
    </row>
    <row r="23" spans="1:7" x14ac:dyDescent="0.3">
      <c r="A23" s="26" t="s">
        <v>5115</v>
      </c>
      <c r="B23" s="8">
        <v>12</v>
      </c>
      <c r="C23" s="9">
        <v>9</v>
      </c>
      <c r="D23" s="13">
        <v>96</v>
      </c>
      <c r="E23" s="24">
        <f t="shared" si="0"/>
        <v>9.375</v>
      </c>
      <c r="F23" s="25">
        <f t="shared" si="1"/>
        <v>0.85046066619418847</v>
      </c>
      <c r="G23" s="25">
        <f t="shared" si="2"/>
        <v>1.5517241379310345</v>
      </c>
    </row>
    <row r="24" spans="1:7" x14ac:dyDescent="0.3">
      <c r="A24" s="26" t="s">
        <v>5116</v>
      </c>
      <c r="B24" s="14">
        <v>15</v>
      </c>
      <c r="C24" s="15">
        <v>9</v>
      </c>
      <c r="D24" s="17">
        <v>112</v>
      </c>
      <c r="E24" s="24">
        <f t="shared" si="0"/>
        <v>8.0357142857142865</v>
      </c>
      <c r="F24" s="25">
        <f t="shared" si="1"/>
        <v>1.0630758327427356</v>
      </c>
      <c r="G24" s="25">
        <f t="shared" si="2"/>
        <v>1.5517241379310345</v>
      </c>
    </row>
    <row r="25" spans="1:7" x14ac:dyDescent="0.3">
      <c r="A25" s="26" t="s">
        <v>5082</v>
      </c>
      <c r="B25" s="27">
        <v>18</v>
      </c>
      <c r="C25" s="28">
        <v>8</v>
      </c>
      <c r="D25" s="30">
        <v>18</v>
      </c>
      <c r="E25" s="24">
        <f t="shared" si="0"/>
        <v>44.444444444444443</v>
      </c>
      <c r="F25" s="25">
        <f t="shared" si="1"/>
        <v>1.2756909992912826</v>
      </c>
      <c r="G25" s="25">
        <f t="shared" si="2"/>
        <v>1.3793103448275863</v>
      </c>
    </row>
    <row r="26" spans="1:7" x14ac:dyDescent="0.3">
      <c r="A26" s="26" t="s">
        <v>5056</v>
      </c>
      <c r="B26" s="8">
        <v>23</v>
      </c>
      <c r="C26" s="9">
        <v>8</v>
      </c>
      <c r="D26" s="13">
        <v>25</v>
      </c>
      <c r="E26" s="24">
        <f t="shared" si="0"/>
        <v>32</v>
      </c>
      <c r="F26" s="25">
        <f t="shared" si="1"/>
        <v>1.630049610205528</v>
      </c>
      <c r="G26" s="25">
        <f t="shared" si="2"/>
        <v>1.3793103448275863</v>
      </c>
    </row>
    <row r="27" spans="1:7" x14ac:dyDescent="0.3">
      <c r="A27" s="26" t="s">
        <v>5026</v>
      </c>
      <c r="B27" s="14">
        <v>17</v>
      </c>
      <c r="C27" s="15">
        <v>8</v>
      </c>
      <c r="D27" s="17">
        <v>29</v>
      </c>
      <c r="E27" s="24">
        <f t="shared" si="0"/>
        <v>27.586206896551722</v>
      </c>
      <c r="F27" s="25">
        <f t="shared" si="1"/>
        <v>1.2048192771084338</v>
      </c>
      <c r="G27" s="25">
        <f t="shared" si="2"/>
        <v>1.3793103448275863</v>
      </c>
    </row>
    <row r="28" spans="1:7" x14ac:dyDescent="0.3">
      <c r="A28" s="26" t="s">
        <v>5095</v>
      </c>
      <c r="B28" s="27">
        <v>15</v>
      </c>
      <c r="C28" s="28">
        <v>8</v>
      </c>
      <c r="D28" s="30">
        <v>36</v>
      </c>
      <c r="E28" s="24">
        <f t="shared" si="0"/>
        <v>22.222222222222221</v>
      </c>
      <c r="F28" s="25">
        <f t="shared" si="1"/>
        <v>1.0630758327427356</v>
      </c>
      <c r="G28" s="25">
        <f t="shared" si="2"/>
        <v>1.3793103448275863</v>
      </c>
    </row>
    <row r="29" spans="1:7" x14ac:dyDescent="0.3">
      <c r="A29" s="26" t="s">
        <v>5036</v>
      </c>
      <c r="B29" s="8">
        <v>21</v>
      </c>
      <c r="C29" s="9">
        <v>7</v>
      </c>
      <c r="D29" s="13">
        <v>19</v>
      </c>
      <c r="E29" s="24">
        <f t="shared" si="0"/>
        <v>36.84210526315789</v>
      </c>
      <c r="F29" s="25">
        <f t="shared" si="1"/>
        <v>1.48830616583983</v>
      </c>
      <c r="G29" s="25">
        <f t="shared" si="2"/>
        <v>1.2068965517241379</v>
      </c>
    </row>
    <row r="30" spans="1:7" x14ac:dyDescent="0.3">
      <c r="A30" s="26" t="s">
        <v>5089</v>
      </c>
      <c r="B30" s="14">
        <v>11</v>
      </c>
      <c r="C30" s="15">
        <v>7</v>
      </c>
      <c r="D30" s="17">
        <v>21</v>
      </c>
      <c r="E30" s="24">
        <f t="shared" si="0"/>
        <v>33.333333333333329</v>
      </c>
      <c r="F30" s="25">
        <f t="shared" si="1"/>
        <v>0.77958894401133949</v>
      </c>
      <c r="G30" s="25">
        <f t="shared" si="2"/>
        <v>1.2068965517241379</v>
      </c>
    </row>
    <row r="31" spans="1:7" x14ac:dyDescent="0.3">
      <c r="A31" s="26" t="s">
        <v>5046</v>
      </c>
      <c r="B31" s="27">
        <v>10</v>
      </c>
      <c r="C31" s="28">
        <v>7</v>
      </c>
      <c r="D31" s="30">
        <v>30</v>
      </c>
      <c r="E31" s="24">
        <f t="shared" si="0"/>
        <v>23.333333333333332</v>
      </c>
      <c r="F31" s="25">
        <f t="shared" si="1"/>
        <v>0.7087172218284904</v>
      </c>
      <c r="G31" s="25">
        <f t="shared" si="2"/>
        <v>1.2068965517241379</v>
      </c>
    </row>
    <row r="32" spans="1:7" x14ac:dyDescent="0.3">
      <c r="A32" s="26" t="s">
        <v>5022</v>
      </c>
      <c r="B32" s="8">
        <v>11</v>
      </c>
      <c r="C32" s="9">
        <v>7</v>
      </c>
      <c r="D32" s="13">
        <v>32</v>
      </c>
      <c r="E32" s="24">
        <f t="shared" si="0"/>
        <v>21.875</v>
      </c>
      <c r="F32" s="25">
        <f t="shared" si="1"/>
        <v>0.77958894401133949</v>
      </c>
      <c r="G32" s="25">
        <f t="shared" si="2"/>
        <v>1.2068965517241379</v>
      </c>
    </row>
    <row r="33" spans="1:7" x14ac:dyDescent="0.3">
      <c r="A33" s="26" t="s">
        <v>5031</v>
      </c>
      <c r="B33" s="14">
        <v>15</v>
      </c>
      <c r="C33" s="15">
        <v>6</v>
      </c>
      <c r="D33" s="17">
        <v>9</v>
      </c>
      <c r="E33" s="24">
        <f t="shared" si="0"/>
        <v>66.666666666666657</v>
      </c>
      <c r="F33" s="25">
        <f t="shared" si="1"/>
        <v>1.0630758327427356</v>
      </c>
      <c r="G33" s="25">
        <f t="shared" si="2"/>
        <v>1.0344827586206897</v>
      </c>
    </row>
    <row r="34" spans="1:7" x14ac:dyDescent="0.3">
      <c r="A34" s="26" t="s">
        <v>5014</v>
      </c>
      <c r="B34" s="27">
        <v>12</v>
      </c>
      <c r="C34" s="28">
        <v>6</v>
      </c>
      <c r="D34" s="30">
        <v>10</v>
      </c>
      <c r="E34" s="24">
        <f t="shared" si="0"/>
        <v>60</v>
      </c>
      <c r="F34" s="25">
        <f t="shared" si="1"/>
        <v>0.85046066619418847</v>
      </c>
      <c r="G34" s="25">
        <f t="shared" si="2"/>
        <v>1.0344827586206897</v>
      </c>
    </row>
    <row r="35" spans="1:7" x14ac:dyDescent="0.3">
      <c r="A35" s="26" t="s">
        <v>5099</v>
      </c>
      <c r="B35" s="8">
        <v>13</v>
      </c>
      <c r="C35" s="9">
        <v>6</v>
      </c>
      <c r="D35" s="13">
        <v>13</v>
      </c>
      <c r="E35" s="24">
        <f t="shared" si="0"/>
        <v>46.153846153846153</v>
      </c>
      <c r="F35" s="25">
        <f t="shared" si="1"/>
        <v>0.92133238837703757</v>
      </c>
      <c r="G35" s="25">
        <f t="shared" si="2"/>
        <v>1.0344827586206897</v>
      </c>
    </row>
    <row r="36" spans="1:7" x14ac:dyDescent="0.3">
      <c r="A36" s="26" t="s">
        <v>5035</v>
      </c>
      <c r="B36" s="14">
        <v>12</v>
      </c>
      <c r="C36" s="15">
        <v>6</v>
      </c>
      <c r="D36" s="17">
        <v>15</v>
      </c>
      <c r="E36" s="24">
        <f t="shared" si="0"/>
        <v>40</v>
      </c>
      <c r="F36" s="25">
        <f t="shared" si="1"/>
        <v>0.85046066619418847</v>
      </c>
      <c r="G36" s="25">
        <f t="shared" si="2"/>
        <v>1.0344827586206897</v>
      </c>
    </row>
    <row r="37" spans="1:7" x14ac:dyDescent="0.3">
      <c r="A37" s="26" t="s">
        <v>5034</v>
      </c>
      <c r="B37" s="27">
        <v>16</v>
      </c>
      <c r="C37" s="28">
        <v>6</v>
      </c>
      <c r="D37" s="30">
        <v>20</v>
      </c>
      <c r="E37" s="24">
        <f t="shared" si="0"/>
        <v>30</v>
      </c>
      <c r="F37" s="25">
        <f t="shared" si="1"/>
        <v>1.1339475549255846</v>
      </c>
      <c r="G37" s="25">
        <f t="shared" si="2"/>
        <v>1.0344827586206897</v>
      </c>
    </row>
    <row r="38" spans="1:7" x14ac:dyDescent="0.3">
      <c r="A38" s="26" t="s">
        <v>5045</v>
      </c>
      <c r="B38" s="8">
        <v>20</v>
      </c>
      <c r="C38" s="9">
        <v>6</v>
      </c>
      <c r="D38" s="13">
        <v>27</v>
      </c>
      <c r="E38" s="24">
        <f t="shared" si="0"/>
        <v>22.222222222222221</v>
      </c>
      <c r="F38" s="25">
        <f t="shared" si="1"/>
        <v>1.4174344436569808</v>
      </c>
      <c r="G38" s="25">
        <f t="shared" si="2"/>
        <v>1.0344827586206897</v>
      </c>
    </row>
    <row r="39" spans="1:7" x14ac:dyDescent="0.3">
      <c r="A39" s="26" t="s">
        <v>5096</v>
      </c>
      <c r="B39" s="8">
        <v>12</v>
      </c>
      <c r="C39" s="9">
        <v>6</v>
      </c>
      <c r="D39" s="13">
        <v>51</v>
      </c>
      <c r="E39" s="24">
        <f t="shared" si="0"/>
        <v>11.76470588235294</v>
      </c>
      <c r="F39" s="25">
        <f t="shared" si="1"/>
        <v>0.85046066619418847</v>
      </c>
      <c r="G39" s="25">
        <f t="shared" si="2"/>
        <v>1.0344827586206897</v>
      </c>
    </row>
    <row r="40" spans="1:7" x14ac:dyDescent="0.3">
      <c r="A40" s="26" t="s">
        <v>5125</v>
      </c>
      <c r="B40" s="14">
        <v>8</v>
      </c>
      <c r="C40" s="15">
        <v>6</v>
      </c>
      <c r="D40" s="17">
        <v>92</v>
      </c>
      <c r="E40" s="24">
        <f t="shared" si="0"/>
        <v>6.5217391304347823</v>
      </c>
      <c r="F40" s="25">
        <f t="shared" si="1"/>
        <v>0.56697377746279232</v>
      </c>
      <c r="G40" s="25">
        <f t="shared" si="2"/>
        <v>1.0344827586206897</v>
      </c>
    </row>
    <row r="41" spans="1:7" x14ac:dyDescent="0.3">
      <c r="A41" s="26" t="s">
        <v>5113</v>
      </c>
      <c r="B41" s="27">
        <v>8</v>
      </c>
      <c r="C41" s="28">
        <v>6</v>
      </c>
      <c r="D41" s="30">
        <v>193</v>
      </c>
      <c r="E41" s="24">
        <f t="shared" si="0"/>
        <v>3.1088082901554404</v>
      </c>
      <c r="F41" s="25">
        <f t="shared" si="1"/>
        <v>0.56697377746279232</v>
      </c>
      <c r="G41" s="25">
        <f t="shared" si="2"/>
        <v>1.0344827586206897</v>
      </c>
    </row>
    <row r="42" spans="1:7" x14ac:dyDescent="0.3">
      <c r="A42" s="26" t="s">
        <v>5126</v>
      </c>
      <c r="B42" s="27">
        <v>5</v>
      </c>
      <c r="C42" s="28">
        <v>5</v>
      </c>
      <c r="D42" s="30">
        <v>13</v>
      </c>
      <c r="E42" s="24">
        <f t="shared" si="0"/>
        <v>38.461538461538467</v>
      </c>
      <c r="F42" s="25">
        <f t="shared" si="1"/>
        <v>0.3543586109142452</v>
      </c>
      <c r="G42" s="25">
        <f t="shared" si="2"/>
        <v>0.86206896551724133</v>
      </c>
    </row>
    <row r="43" spans="1:7" x14ac:dyDescent="0.3">
      <c r="A43" s="26" t="s">
        <v>5124</v>
      </c>
      <c r="B43" s="8">
        <v>7</v>
      </c>
      <c r="C43" s="9">
        <v>5</v>
      </c>
      <c r="D43" s="13">
        <v>18</v>
      </c>
      <c r="E43" s="24">
        <f t="shared" si="0"/>
        <v>27.777777777777779</v>
      </c>
      <c r="F43" s="25">
        <f t="shared" si="1"/>
        <v>0.49610205527994328</v>
      </c>
      <c r="G43" s="25">
        <f t="shared" si="2"/>
        <v>0.86206896551724133</v>
      </c>
    </row>
    <row r="44" spans="1:7" x14ac:dyDescent="0.3">
      <c r="A44" s="26" t="s">
        <v>5018</v>
      </c>
      <c r="B44" s="8">
        <v>8</v>
      </c>
      <c r="C44" s="9">
        <v>5</v>
      </c>
      <c r="D44" s="13">
        <v>19</v>
      </c>
      <c r="E44" s="24">
        <f t="shared" si="0"/>
        <v>26.315789473684209</v>
      </c>
      <c r="F44" s="25">
        <f t="shared" si="1"/>
        <v>0.56697377746279232</v>
      </c>
      <c r="G44" s="25">
        <f t="shared" si="2"/>
        <v>0.86206896551724133</v>
      </c>
    </row>
    <row r="45" spans="1:7" x14ac:dyDescent="0.3">
      <c r="A45" s="26" t="s">
        <v>5088</v>
      </c>
      <c r="B45" s="14">
        <v>15</v>
      </c>
      <c r="C45" s="15">
        <v>5</v>
      </c>
      <c r="D45" s="17">
        <v>23</v>
      </c>
      <c r="E45" s="24">
        <f t="shared" si="0"/>
        <v>21.739130434782609</v>
      </c>
      <c r="F45" s="25">
        <f t="shared" si="1"/>
        <v>1.0630758327427356</v>
      </c>
      <c r="G45" s="25">
        <f t="shared" si="2"/>
        <v>0.86206896551724133</v>
      </c>
    </row>
    <row r="46" spans="1:7" x14ac:dyDescent="0.3">
      <c r="A46" s="26" t="s">
        <v>5043</v>
      </c>
      <c r="B46" s="29">
        <v>9</v>
      </c>
      <c r="C46" s="5">
        <v>5</v>
      </c>
      <c r="D46" s="31">
        <v>35</v>
      </c>
      <c r="E46" s="24">
        <f t="shared" si="0"/>
        <v>14.285714285714285</v>
      </c>
      <c r="F46" s="25">
        <f t="shared" si="1"/>
        <v>0.6378454996456413</v>
      </c>
      <c r="G46" s="25">
        <f t="shared" si="2"/>
        <v>0.86206896551724133</v>
      </c>
    </row>
    <row r="47" spans="1:7" x14ac:dyDescent="0.3">
      <c r="A47" s="26" t="s">
        <v>5059</v>
      </c>
      <c r="B47" s="14">
        <v>5</v>
      </c>
      <c r="C47" s="15">
        <v>4</v>
      </c>
      <c r="D47" s="17">
        <v>8</v>
      </c>
      <c r="E47" s="24">
        <f t="shared" si="0"/>
        <v>50</v>
      </c>
      <c r="F47" s="25">
        <f t="shared" si="1"/>
        <v>0.3543586109142452</v>
      </c>
      <c r="G47" s="25">
        <f t="shared" si="2"/>
        <v>0.68965517241379315</v>
      </c>
    </row>
    <row r="48" spans="1:7" x14ac:dyDescent="0.3">
      <c r="A48" s="26" t="s">
        <v>5081</v>
      </c>
      <c r="B48" s="27">
        <v>13</v>
      </c>
      <c r="C48" s="28">
        <v>4</v>
      </c>
      <c r="D48" s="30">
        <v>14</v>
      </c>
      <c r="E48" s="24">
        <f t="shared" si="0"/>
        <v>28.571428571428569</v>
      </c>
      <c r="F48" s="25">
        <f t="shared" si="1"/>
        <v>0.92133238837703757</v>
      </c>
      <c r="G48" s="25">
        <f t="shared" si="2"/>
        <v>0.68965517241379315</v>
      </c>
    </row>
    <row r="49" spans="1:7" x14ac:dyDescent="0.3">
      <c r="A49" s="26" t="s">
        <v>5123</v>
      </c>
      <c r="B49" s="29">
        <v>4</v>
      </c>
      <c r="C49" s="5">
        <v>4</v>
      </c>
      <c r="D49" s="31">
        <v>15</v>
      </c>
      <c r="E49" s="24">
        <f t="shared" si="0"/>
        <v>26.666666666666668</v>
      </c>
      <c r="F49" s="25">
        <f t="shared" si="1"/>
        <v>0.28348688873139616</v>
      </c>
      <c r="G49" s="25">
        <f t="shared" si="2"/>
        <v>0.68965517241379315</v>
      </c>
    </row>
    <row r="50" spans="1:7" x14ac:dyDescent="0.3">
      <c r="A50" s="26" t="s">
        <v>5033</v>
      </c>
      <c r="B50" s="8">
        <v>9</v>
      </c>
      <c r="C50" s="9">
        <v>4</v>
      </c>
      <c r="D50" s="13">
        <v>16</v>
      </c>
      <c r="E50" s="24">
        <f t="shared" si="0"/>
        <v>25</v>
      </c>
      <c r="F50" s="25">
        <f t="shared" si="1"/>
        <v>0.6378454996456413</v>
      </c>
      <c r="G50" s="25">
        <f t="shared" si="2"/>
        <v>0.68965517241379315</v>
      </c>
    </row>
    <row r="51" spans="1:7" x14ac:dyDescent="0.3">
      <c r="A51" s="26" t="s">
        <v>5131</v>
      </c>
      <c r="B51" s="14">
        <v>4</v>
      </c>
      <c r="C51" s="15">
        <v>4</v>
      </c>
      <c r="D51" s="17">
        <v>19</v>
      </c>
      <c r="E51" s="24">
        <f t="shared" si="0"/>
        <v>21.052631578947366</v>
      </c>
      <c r="F51" s="25">
        <f t="shared" si="1"/>
        <v>0.28348688873139616</v>
      </c>
      <c r="G51" s="25">
        <f t="shared" si="2"/>
        <v>0.68965517241379315</v>
      </c>
    </row>
    <row r="52" spans="1:7" x14ac:dyDescent="0.3">
      <c r="A52" s="26" t="s">
        <v>5087</v>
      </c>
      <c r="B52" s="29">
        <v>4</v>
      </c>
      <c r="C52" s="5">
        <v>4</v>
      </c>
      <c r="D52" s="31">
        <v>22</v>
      </c>
      <c r="E52" s="24">
        <f t="shared" si="0"/>
        <v>18.181818181818183</v>
      </c>
      <c r="F52" s="25">
        <f t="shared" si="1"/>
        <v>0.28348688873139616</v>
      </c>
      <c r="G52" s="25">
        <f t="shared" si="2"/>
        <v>0.68965517241379315</v>
      </c>
    </row>
    <row r="53" spans="1:7" x14ac:dyDescent="0.3">
      <c r="A53" s="26" t="s">
        <v>5049</v>
      </c>
      <c r="B53" s="8">
        <v>9</v>
      </c>
      <c r="C53" s="9">
        <v>4</v>
      </c>
      <c r="D53" s="13">
        <v>26</v>
      </c>
      <c r="E53" s="24">
        <f t="shared" si="0"/>
        <v>15.384615384615385</v>
      </c>
      <c r="F53" s="25">
        <f t="shared" si="1"/>
        <v>0.6378454996456413</v>
      </c>
      <c r="G53" s="25">
        <f t="shared" si="2"/>
        <v>0.68965517241379315</v>
      </c>
    </row>
    <row r="54" spans="1:7" x14ac:dyDescent="0.3">
      <c r="A54" s="26" t="s">
        <v>5092</v>
      </c>
      <c r="B54" s="14">
        <v>6</v>
      </c>
      <c r="C54" s="15">
        <v>4</v>
      </c>
      <c r="D54" s="17">
        <v>43</v>
      </c>
      <c r="E54" s="24">
        <f t="shared" si="0"/>
        <v>9.3023255813953494</v>
      </c>
      <c r="F54" s="25">
        <f t="shared" si="1"/>
        <v>0.42523033309709424</v>
      </c>
      <c r="G54" s="25">
        <f t="shared" si="2"/>
        <v>0.68965517241379315</v>
      </c>
    </row>
    <row r="55" spans="1:7" x14ac:dyDescent="0.3">
      <c r="A55" s="26" t="s">
        <v>5037</v>
      </c>
      <c r="B55" s="27">
        <v>4</v>
      </c>
      <c r="C55" s="28">
        <v>4</v>
      </c>
      <c r="D55" s="30">
        <v>44</v>
      </c>
      <c r="E55" s="24">
        <f t="shared" si="0"/>
        <v>9.0909090909090917</v>
      </c>
      <c r="F55" s="25">
        <f t="shared" si="1"/>
        <v>0.28348688873139616</v>
      </c>
      <c r="G55" s="25">
        <f t="shared" si="2"/>
        <v>0.68965517241379315</v>
      </c>
    </row>
    <row r="56" spans="1:7" x14ac:dyDescent="0.3">
      <c r="A56" s="26" t="s">
        <v>5117</v>
      </c>
      <c r="B56" s="27">
        <v>5</v>
      </c>
      <c r="C56" s="28">
        <v>4</v>
      </c>
      <c r="D56" s="30">
        <v>45</v>
      </c>
      <c r="E56" s="24">
        <f t="shared" si="0"/>
        <v>8.8888888888888893</v>
      </c>
      <c r="F56" s="25">
        <f t="shared" si="1"/>
        <v>0.3543586109142452</v>
      </c>
      <c r="G56" s="25">
        <f t="shared" si="2"/>
        <v>0.68965517241379315</v>
      </c>
    </row>
    <row r="57" spans="1:7" x14ac:dyDescent="0.3">
      <c r="A57" s="26" t="s">
        <v>5122</v>
      </c>
      <c r="B57" s="27">
        <v>28</v>
      </c>
      <c r="C57" s="28">
        <v>3</v>
      </c>
      <c r="D57" s="30">
        <v>4</v>
      </c>
      <c r="E57" s="24">
        <f t="shared" si="0"/>
        <v>75</v>
      </c>
      <c r="F57" s="25">
        <f t="shared" si="1"/>
        <v>1.9844082211197731</v>
      </c>
      <c r="G57" s="25">
        <f t="shared" si="2"/>
        <v>0.51724137931034486</v>
      </c>
    </row>
    <row r="58" spans="1:7" x14ac:dyDescent="0.3">
      <c r="A58" s="26" t="s">
        <v>5060</v>
      </c>
      <c r="B58" s="8">
        <v>4</v>
      </c>
      <c r="C58" s="9">
        <v>3</v>
      </c>
      <c r="D58" s="13">
        <v>5</v>
      </c>
      <c r="E58" s="24">
        <f t="shared" si="0"/>
        <v>60</v>
      </c>
      <c r="F58" s="25">
        <f t="shared" si="1"/>
        <v>0.28348688873139616</v>
      </c>
      <c r="G58" s="25">
        <f t="shared" si="2"/>
        <v>0.51724137931034486</v>
      </c>
    </row>
    <row r="59" spans="1:7" x14ac:dyDescent="0.3">
      <c r="A59" s="26" t="s">
        <v>5065</v>
      </c>
      <c r="B59" s="8">
        <v>4</v>
      </c>
      <c r="C59" s="9">
        <v>3</v>
      </c>
      <c r="D59" s="13">
        <v>7</v>
      </c>
      <c r="E59" s="24">
        <f t="shared" si="0"/>
        <v>42.857142857142854</v>
      </c>
      <c r="F59" s="25">
        <f t="shared" si="1"/>
        <v>0.28348688873139616</v>
      </c>
      <c r="G59" s="25">
        <f t="shared" si="2"/>
        <v>0.51724137931034486</v>
      </c>
    </row>
    <row r="60" spans="1:7" x14ac:dyDescent="0.3">
      <c r="A60" s="26" t="s">
        <v>5086</v>
      </c>
      <c r="B60" s="14">
        <v>5</v>
      </c>
      <c r="C60" s="15">
        <v>3</v>
      </c>
      <c r="D60" s="17">
        <v>9</v>
      </c>
      <c r="E60" s="24">
        <f t="shared" si="0"/>
        <v>33.333333333333329</v>
      </c>
      <c r="F60" s="25">
        <f t="shared" si="1"/>
        <v>0.3543586109142452</v>
      </c>
      <c r="G60" s="25">
        <f t="shared" si="2"/>
        <v>0.51724137931034486</v>
      </c>
    </row>
    <row r="61" spans="1:7" x14ac:dyDescent="0.3">
      <c r="A61" s="26" t="s">
        <v>5084</v>
      </c>
      <c r="B61" s="27">
        <v>7</v>
      </c>
      <c r="C61" s="28">
        <v>3</v>
      </c>
      <c r="D61" s="30">
        <v>13</v>
      </c>
      <c r="E61" s="24">
        <f t="shared" si="0"/>
        <v>23.076923076923077</v>
      </c>
      <c r="F61" s="25">
        <f t="shared" si="1"/>
        <v>0.49610205527994328</v>
      </c>
      <c r="G61" s="25">
        <f t="shared" si="2"/>
        <v>0.51724137931034486</v>
      </c>
    </row>
    <row r="62" spans="1:7" x14ac:dyDescent="0.3">
      <c r="A62" s="26" t="s">
        <v>5093</v>
      </c>
      <c r="B62" s="27">
        <v>4</v>
      </c>
      <c r="C62" s="28">
        <v>3</v>
      </c>
      <c r="D62" s="30">
        <v>16</v>
      </c>
      <c r="E62" s="24">
        <f t="shared" si="0"/>
        <v>18.75</v>
      </c>
      <c r="F62" s="25">
        <f t="shared" si="1"/>
        <v>0.28348688873139616</v>
      </c>
      <c r="G62" s="25">
        <f t="shared" si="2"/>
        <v>0.51724137931034486</v>
      </c>
    </row>
    <row r="63" spans="1:7" x14ac:dyDescent="0.3">
      <c r="A63" s="26" t="s">
        <v>5062</v>
      </c>
      <c r="B63" s="8">
        <v>4</v>
      </c>
      <c r="C63" s="9">
        <v>3</v>
      </c>
      <c r="D63" s="13">
        <v>22</v>
      </c>
      <c r="E63" s="24">
        <f t="shared" si="0"/>
        <v>13.636363636363635</v>
      </c>
      <c r="F63" s="25">
        <f t="shared" si="1"/>
        <v>0.28348688873139616</v>
      </c>
      <c r="G63" s="25">
        <f t="shared" si="2"/>
        <v>0.51724137931034486</v>
      </c>
    </row>
    <row r="64" spans="1:7" x14ac:dyDescent="0.3">
      <c r="A64" s="26" t="s">
        <v>5129</v>
      </c>
      <c r="B64" s="8">
        <v>3</v>
      </c>
      <c r="C64" s="9">
        <v>3</v>
      </c>
      <c r="D64" s="13">
        <v>23</v>
      </c>
      <c r="E64" s="24">
        <f t="shared" si="0"/>
        <v>13.043478260869565</v>
      </c>
      <c r="F64" s="25">
        <f t="shared" si="1"/>
        <v>0.21261516654854712</v>
      </c>
      <c r="G64" s="25">
        <f t="shared" si="2"/>
        <v>0.51724137931034486</v>
      </c>
    </row>
    <row r="65" spans="1:7" x14ac:dyDescent="0.3">
      <c r="A65" s="26" t="s">
        <v>5091</v>
      </c>
      <c r="B65" s="14">
        <v>3</v>
      </c>
      <c r="C65" s="15">
        <v>3</v>
      </c>
      <c r="D65" s="17">
        <v>25</v>
      </c>
      <c r="E65" s="24">
        <f t="shared" si="0"/>
        <v>12</v>
      </c>
      <c r="F65" s="25">
        <f t="shared" si="1"/>
        <v>0.21261516654854712</v>
      </c>
      <c r="G65" s="25">
        <f t="shared" si="2"/>
        <v>0.51724137931034486</v>
      </c>
    </row>
    <row r="66" spans="1:7" x14ac:dyDescent="0.3">
      <c r="A66" s="26" t="s">
        <v>5061</v>
      </c>
      <c r="B66" s="27">
        <v>3</v>
      </c>
      <c r="C66" s="28">
        <v>2</v>
      </c>
      <c r="D66" s="30">
        <v>2</v>
      </c>
      <c r="E66" s="24">
        <f t="shared" ref="E66:E110" si="3">(C66/D66)*100</f>
        <v>100</v>
      </c>
      <c r="F66" s="25">
        <f t="shared" si="1"/>
        <v>0.21261516654854712</v>
      </c>
      <c r="G66" s="25">
        <f t="shared" si="2"/>
        <v>0.34482758620689657</v>
      </c>
    </row>
    <row r="67" spans="1:7" x14ac:dyDescent="0.3">
      <c r="A67" s="26" t="s">
        <v>5094</v>
      </c>
      <c r="B67" s="27">
        <v>6</v>
      </c>
      <c r="C67" s="28">
        <v>2</v>
      </c>
      <c r="D67" s="30">
        <v>7</v>
      </c>
      <c r="E67" s="24">
        <f t="shared" si="3"/>
        <v>28.571428571428569</v>
      </c>
      <c r="F67" s="25">
        <f t="shared" ref="F67:F110" si="4">(B67/SUM(B$2:B$110)*100)</f>
        <v>0.42523033309709424</v>
      </c>
      <c r="G67" s="25">
        <f t="shared" ref="G67:G110" si="5">(C67/SUM(C$2:C$110)*100)</f>
        <v>0.34482758620689657</v>
      </c>
    </row>
    <row r="68" spans="1:7" x14ac:dyDescent="0.3">
      <c r="A68" s="26" t="s">
        <v>5127</v>
      </c>
      <c r="B68" s="8">
        <v>2</v>
      </c>
      <c r="C68" s="9">
        <v>2</v>
      </c>
      <c r="D68" s="13">
        <v>7</v>
      </c>
      <c r="E68" s="24">
        <f t="shared" si="3"/>
        <v>28.571428571428569</v>
      </c>
      <c r="F68" s="25">
        <f t="shared" si="4"/>
        <v>0.14174344436569808</v>
      </c>
      <c r="G68" s="25">
        <f t="shared" si="5"/>
        <v>0.34482758620689657</v>
      </c>
    </row>
    <row r="69" spans="1:7" x14ac:dyDescent="0.3">
      <c r="A69" s="26" t="s">
        <v>5097</v>
      </c>
      <c r="B69" s="8">
        <v>6</v>
      </c>
      <c r="C69" s="9">
        <v>2</v>
      </c>
      <c r="D69" s="13">
        <v>8</v>
      </c>
      <c r="E69" s="24">
        <f t="shared" si="3"/>
        <v>25</v>
      </c>
      <c r="F69" s="25">
        <f t="shared" si="4"/>
        <v>0.42523033309709424</v>
      </c>
      <c r="G69" s="25">
        <f t="shared" si="5"/>
        <v>0.34482758620689657</v>
      </c>
    </row>
    <row r="70" spans="1:7" x14ac:dyDescent="0.3">
      <c r="A70" s="26" t="s">
        <v>5023</v>
      </c>
      <c r="B70" s="14">
        <v>3</v>
      </c>
      <c r="C70" s="15">
        <v>2</v>
      </c>
      <c r="D70" s="17">
        <v>10</v>
      </c>
      <c r="E70" s="24">
        <f t="shared" si="3"/>
        <v>20</v>
      </c>
      <c r="F70" s="25">
        <f t="shared" si="4"/>
        <v>0.21261516654854712</v>
      </c>
      <c r="G70" s="25">
        <f t="shared" si="5"/>
        <v>0.34482758620689657</v>
      </c>
    </row>
    <row r="71" spans="1:7" x14ac:dyDescent="0.3">
      <c r="A71" s="26" t="s">
        <v>5057</v>
      </c>
      <c r="B71" s="27">
        <v>3</v>
      </c>
      <c r="C71" s="28">
        <v>2</v>
      </c>
      <c r="D71" s="30">
        <v>16</v>
      </c>
      <c r="E71" s="24">
        <f t="shared" si="3"/>
        <v>12.5</v>
      </c>
      <c r="F71" s="25">
        <f t="shared" si="4"/>
        <v>0.21261516654854712</v>
      </c>
      <c r="G71" s="25">
        <f t="shared" si="5"/>
        <v>0.34482758620689657</v>
      </c>
    </row>
    <row r="72" spans="1:7" x14ac:dyDescent="0.3">
      <c r="A72" s="26" t="s">
        <v>5128</v>
      </c>
      <c r="B72" s="27">
        <v>2</v>
      </c>
      <c r="C72" s="28">
        <v>2</v>
      </c>
      <c r="D72" s="30">
        <v>17</v>
      </c>
      <c r="E72" s="24">
        <f t="shared" si="3"/>
        <v>11.76470588235294</v>
      </c>
      <c r="F72" s="25">
        <f t="shared" si="4"/>
        <v>0.14174344436569808</v>
      </c>
      <c r="G72" s="25">
        <f t="shared" si="5"/>
        <v>0.34482758620689657</v>
      </c>
    </row>
    <row r="73" spans="1:7" x14ac:dyDescent="0.3">
      <c r="A73" s="26" t="s">
        <v>5066</v>
      </c>
      <c r="B73" s="8">
        <v>2</v>
      </c>
      <c r="C73" s="9">
        <v>2</v>
      </c>
      <c r="D73" s="13">
        <v>28</v>
      </c>
      <c r="E73" s="24">
        <f t="shared" si="3"/>
        <v>7.1428571428571423</v>
      </c>
      <c r="F73" s="25">
        <f t="shared" si="4"/>
        <v>0.14174344436569808</v>
      </c>
      <c r="G73" s="25">
        <f t="shared" si="5"/>
        <v>0.34482758620689657</v>
      </c>
    </row>
    <row r="74" spans="1:7" x14ac:dyDescent="0.3">
      <c r="A74" s="26" t="s">
        <v>5118</v>
      </c>
      <c r="B74" s="8">
        <v>4</v>
      </c>
      <c r="C74" s="9">
        <v>2</v>
      </c>
      <c r="D74" s="13">
        <v>37</v>
      </c>
      <c r="E74" s="24">
        <f t="shared" si="3"/>
        <v>5.4054054054054053</v>
      </c>
      <c r="F74" s="25">
        <f t="shared" si="4"/>
        <v>0.28348688873139616</v>
      </c>
      <c r="G74" s="25">
        <f t="shared" si="5"/>
        <v>0.34482758620689657</v>
      </c>
    </row>
    <row r="75" spans="1:7" x14ac:dyDescent="0.3">
      <c r="A75" s="26" t="s">
        <v>5069</v>
      </c>
      <c r="B75" s="14">
        <v>1</v>
      </c>
      <c r="C75" s="15">
        <v>1</v>
      </c>
      <c r="D75" s="17">
        <v>3</v>
      </c>
      <c r="E75" s="24">
        <f t="shared" si="3"/>
        <v>33.333333333333329</v>
      </c>
      <c r="F75" s="25">
        <f t="shared" si="4"/>
        <v>7.087172218284904E-2</v>
      </c>
      <c r="G75" s="25">
        <f t="shared" si="5"/>
        <v>0.17241379310344829</v>
      </c>
    </row>
    <row r="76" spans="1:7" x14ac:dyDescent="0.3">
      <c r="A76" s="26" t="s">
        <v>5019</v>
      </c>
      <c r="B76" s="27">
        <v>2</v>
      </c>
      <c r="C76" s="28">
        <v>1</v>
      </c>
      <c r="D76" s="30">
        <v>5</v>
      </c>
      <c r="E76" s="24">
        <f t="shared" si="3"/>
        <v>20</v>
      </c>
      <c r="F76" s="25">
        <f t="shared" si="4"/>
        <v>0.14174344436569808</v>
      </c>
      <c r="G76" s="25">
        <f t="shared" si="5"/>
        <v>0.17241379310344829</v>
      </c>
    </row>
    <row r="77" spans="1:7" x14ac:dyDescent="0.3">
      <c r="A77" s="26" t="s">
        <v>5047</v>
      </c>
      <c r="B77" s="29">
        <v>2</v>
      </c>
      <c r="C77" s="5">
        <v>1</v>
      </c>
      <c r="D77" s="31">
        <v>5</v>
      </c>
      <c r="E77" s="24">
        <f t="shared" si="3"/>
        <v>20</v>
      </c>
      <c r="F77" s="25">
        <f t="shared" si="4"/>
        <v>0.14174344436569808</v>
      </c>
      <c r="G77" s="25">
        <f t="shared" si="5"/>
        <v>0.17241379310344829</v>
      </c>
    </row>
    <row r="78" spans="1:7" x14ac:dyDescent="0.3">
      <c r="A78" s="26" t="s">
        <v>5119</v>
      </c>
      <c r="B78" s="8">
        <v>1</v>
      </c>
      <c r="C78" s="9">
        <v>1</v>
      </c>
      <c r="D78" s="13">
        <v>5</v>
      </c>
      <c r="E78" s="24">
        <f t="shared" si="3"/>
        <v>20</v>
      </c>
      <c r="F78" s="25">
        <f t="shared" si="4"/>
        <v>7.087172218284904E-2</v>
      </c>
      <c r="G78" s="25">
        <f t="shared" si="5"/>
        <v>0.17241379310344829</v>
      </c>
    </row>
    <row r="79" spans="1:7" x14ac:dyDescent="0.3">
      <c r="A79" s="26" t="s">
        <v>5017</v>
      </c>
      <c r="B79" s="14">
        <v>2</v>
      </c>
      <c r="C79" s="15">
        <v>1</v>
      </c>
      <c r="D79" s="17">
        <v>7</v>
      </c>
      <c r="E79" s="24">
        <f t="shared" si="3"/>
        <v>14.285714285714285</v>
      </c>
      <c r="F79" s="25">
        <f t="shared" si="4"/>
        <v>0.14174344436569808</v>
      </c>
      <c r="G79" s="25">
        <f t="shared" si="5"/>
        <v>0.17241379310344829</v>
      </c>
    </row>
    <row r="80" spans="1:7" x14ac:dyDescent="0.3">
      <c r="A80" s="26" t="s">
        <v>5050</v>
      </c>
      <c r="B80" s="29">
        <v>5</v>
      </c>
      <c r="C80" s="5">
        <v>1</v>
      </c>
      <c r="D80" s="31">
        <v>9</v>
      </c>
      <c r="E80" s="24">
        <f t="shared" si="3"/>
        <v>11.111111111111111</v>
      </c>
      <c r="F80" s="25">
        <f t="shared" si="4"/>
        <v>0.3543586109142452</v>
      </c>
      <c r="G80" s="25">
        <f t="shared" si="5"/>
        <v>0.17241379310344829</v>
      </c>
    </row>
    <row r="81" spans="1:7" x14ac:dyDescent="0.3">
      <c r="A81" s="26" t="s">
        <v>5051</v>
      </c>
      <c r="B81" s="14">
        <v>1</v>
      </c>
      <c r="C81" s="15">
        <v>1</v>
      </c>
      <c r="D81" s="17">
        <v>10</v>
      </c>
      <c r="E81" s="24">
        <f t="shared" si="3"/>
        <v>10</v>
      </c>
      <c r="F81" s="25">
        <f t="shared" si="4"/>
        <v>7.087172218284904E-2</v>
      </c>
      <c r="G81" s="25">
        <f t="shared" si="5"/>
        <v>0.17241379310344829</v>
      </c>
    </row>
    <row r="82" spans="1:7" x14ac:dyDescent="0.3">
      <c r="A82" s="26" t="s">
        <v>5052</v>
      </c>
      <c r="B82" s="27">
        <v>8</v>
      </c>
      <c r="C82" s="28">
        <v>1</v>
      </c>
      <c r="D82" s="30">
        <v>11</v>
      </c>
      <c r="E82" s="24">
        <f t="shared" si="3"/>
        <v>9.0909090909090917</v>
      </c>
      <c r="F82" s="25">
        <f t="shared" si="4"/>
        <v>0.56697377746279232</v>
      </c>
      <c r="G82" s="25">
        <f t="shared" si="5"/>
        <v>0.17241379310344829</v>
      </c>
    </row>
    <row r="83" spans="1:7" x14ac:dyDescent="0.3">
      <c r="A83" s="26" t="s">
        <v>5064</v>
      </c>
      <c r="B83" s="27">
        <v>1</v>
      </c>
      <c r="C83" s="28">
        <v>1</v>
      </c>
      <c r="D83" s="30">
        <v>14</v>
      </c>
      <c r="E83" s="24">
        <f t="shared" si="3"/>
        <v>7.1428571428571423</v>
      </c>
      <c r="F83" s="25">
        <f t="shared" si="4"/>
        <v>7.087172218284904E-2</v>
      </c>
      <c r="G83" s="25">
        <f t="shared" si="5"/>
        <v>0.17241379310344829</v>
      </c>
    </row>
    <row r="84" spans="1:7" x14ac:dyDescent="0.3">
      <c r="A84" s="26" t="s">
        <v>5024</v>
      </c>
      <c r="B84" s="8">
        <v>1</v>
      </c>
      <c r="C84" s="9">
        <v>1</v>
      </c>
      <c r="D84" s="13">
        <v>18</v>
      </c>
      <c r="E84" s="24">
        <f t="shared" si="3"/>
        <v>5.5555555555555554</v>
      </c>
      <c r="F84" s="25">
        <f t="shared" si="4"/>
        <v>7.087172218284904E-2</v>
      </c>
      <c r="G84" s="25">
        <f t="shared" si="5"/>
        <v>0.17241379310344829</v>
      </c>
    </row>
    <row r="85" spans="1:7" x14ac:dyDescent="0.3">
      <c r="A85" s="26" t="s">
        <v>5063</v>
      </c>
      <c r="B85" s="8">
        <v>4</v>
      </c>
      <c r="C85" s="9">
        <v>1</v>
      </c>
      <c r="D85" s="13">
        <v>20</v>
      </c>
      <c r="E85" s="24">
        <f t="shared" si="3"/>
        <v>5</v>
      </c>
      <c r="F85" s="25">
        <f t="shared" si="4"/>
        <v>0.28348688873139616</v>
      </c>
      <c r="G85" s="25">
        <f t="shared" si="5"/>
        <v>0.17241379310344829</v>
      </c>
    </row>
    <row r="86" spans="1:7" x14ac:dyDescent="0.3">
      <c r="A86" s="26" t="s">
        <v>5048</v>
      </c>
      <c r="B86" s="8">
        <v>1</v>
      </c>
      <c r="C86" s="9">
        <v>1</v>
      </c>
      <c r="D86" s="13">
        <v>23</v>
      </c>
      <c r="E86" s="24">
        <f t="shared" si="3"/>
        <v>4.3478260869565215</v>
      </c>
      <c r="F86" s="25">
        <f t="shared" si="4"/>
        <v>7.087172218284904E-2</v>
      </c>
      <c r="G86" s="25">
        <f t="shared" si="5"/>
        <v>0.17241379310344829</v>
      </c>
    </row>
    <row r="87" spans="1:7" x14ac:dyDescent="0.3">
      <c r="A87" s="26" t="s">
        <v>5039</v>
      </c>
      <c r="B87" s="8">
        <v>1</v>
      </c>
      <c r="C87" s="9">
        <v>1</v>
      </c>
      <c r="D87" s="13">
        <v>24</v>
      </c>
      <c r="E87" s="24">
        <f t="shared" si="3"/>
        <v>4.1666666666666661</v>
      </c>
      <c r="F87" s="25">
        <f t="shared" si="4"/>
        <v>7.087172218284904E-2</v>
      </c>
      <c r="G87" s="25">
        <f t="shared" si="5"/>
        <v>0.17241379310344829</v>
      </c>
    </row>
    <row r="88" spans="1:7" x14ac:dyDescent="0.3">
      <c r="A88" s="26" t="s">
        <v>5041</v>
      </c>
      <c r="B88" s="8">
        <v>2</v>
      </c>
      <c r="C88" s="9">
        <v>1</v>
      </c>
      <c r="D88" s="13">
        <v>26</v>
      </c>
      <c r="E88" s="24">
        <f t="shared" si="3"/>
        <v>3.8461538461538463</v>
      </c>
      <c r="F88" s="25">
        <f t="shared" si="4"/>
        <v>0.14174344436569808</v>
      </c>
      <c r="G88" s="25">
        <f t="shared" si="5"/>
        <v>0.17241379310344829</v>
      </c>
    </row>
    <row r="89" spans="1:7" x14ac:dyDescent="0.3">
      <c r="A89" s="26" t="s">
        <v>5040</v>
      </c>
      <c r="B89" s="8">
        <v>2</v>
      </c>
      <c r="C89" s="9">
        <v>1</v>
      </c>
      <c r="D89" s="13">
        <v>27</v>
      </c>
      <c r="E89" s="24">
        <f t="shared" si="3"/>
        <v>3.7037037037037033</v>
      </c>
      <c r="F89" s="25">
        <f t="shared" si="4"/>
        <v>0.14174344436569808</v>
      </c>
      <c r="G89" s="25">
        <f t="shared" si="5"/>
        <v>0.17241379310344829</v>
      </c>
    </row>
    <row r="90" spans="1:7" x14ac:dyDescent="0.3">
      <c r="A90" s="26" t="s">
        <v>5020</v>
      </c>
      <c r="B90" s="8">
        <v>0</v>
      </c>
      <c r="C90" s="9">
        <v>0</v>
      </c>
      <c r="D90" s="13">
        <v>6</v>
      </c>
      <c r="E90" s="24">
        <f t="shared" si="3"/>
        <v>0</v>
      </c>
      <c r="F90" s="25">
        <f t="shared" si="4"/>
        <v>0</v>
      </c>
      <c r="G90" s="25">
        <f t="shared" si="5"/>
        <v>0</v>
      </c>
    </row>
    <row r="91" spans="1:7" x14ac:dyDescent="0.3">
      <c r="A91" s="26" t="s">
        <v>5038</v>
      </c>
      <c r="B91" s="14">
        <v>0</v>
      </c>
      <c r="C91" s="15">
        <v>0</v>
      </c>
      <c r="D91" s="17">
        <v>2</v>
      </c>
      <c r="E91" s="24">
        <f t="shared" si="3"/>
        <v>0</v>
      </c>
      <c r="F91" s="25">
        <f t="shared" si="4"/>
        <v>0</v>
      </c>
      <c r="G91" s="25">
        <f t="shared" si="5"/>
        <v>0</v>
      </c>
    </row>
    <row r="92" spans="1:7" x14ac:dyDescent="0.3">
      <c r="A92" s="26" t="s">
        <v>5042</v>
      </c>
      <c r="B92" s="27">
        <v>0</v>
      </c>
      <c r="C92" s="28">
        <v>0</v>
      </c>
      <c r="D92" s="30">
        <v>6</v>
      </c>
      <c r="E92" s="24">
        <f t="shared" si="3"/>
        <v>0</v>
      </c>
      <c r="F92" s="25">
        <f t="shared" si="4"/>
        <v>0</v>
      </c>
      <c r="G92" s="25">
        <f t="shared" si="5"/>
        <v>0</v>
      </c>
    </row>
    <row r="93" spans="1:7" x14ac:dyDescent="0.3">
      <c r="A93" s="26" t="s">
        <v>5044</v>
      </c>
      <c r="B93" s="27">
        <v>0</v>
      </c>
      <c r="C93" s="28">
        <v>0</v>
      </c>
      <c r="D93" s="30">
        <v>8</v>
      </c>
      <c r="E93" s="24">
        <f t="shared" si="3"/>
        <v>0</v>
      </c>
      <c r="F93" s="25">
        <f t="shared" si="4"/>
        <v>0</v>
      </c>
      <c r="G93" s="25">
        <f t="shared" si="5"/>
        <v>0</v>
      </c>
    </row>
    <row r="94" spans="1:7" x14ac:dyDescent="0.3">
      <c r="A94" s="26" t="s">
        <v>5053</v>
      </c>
      <c r="B94" s="27">
        <v>0</v>
      </c>
      <c r="C94" s="28">
        <v>0</v>
      </c>
      <c r="D94" s="30">
        <v>5</v>
      </c>
      <c r="E94" s="24">
        <f t="shared" si="3"/>
        <v>0</v>
      </c>
      <c r="F94" s="25">
        <f t="shared" si="4"/>
        <v>0</v>
      </c>
      <c r="G94" s="25">
        <f t="shared" si="5"/>
        <v>0</v>
      </c>
    </row>
    <row r="95" spans="1:7" x14ac:dyDescent="0.3">
      <c r="A95" s="26" t="s">
        <v>5054</v>
      </c>
      <c r="B95" s="27">
        <v>0</v>
      </c>
      <c r="C95" s="28">
        <v>0</v>
      </c>
      <c r="D95" s="30">
        <v>2</v>
      </c>
      <c r="E95" s="24">
        <f t="shared" si="3"/>
        <v>0</v>
      </c>
      <c r="F95" s="25">
        <f t="shared" si="4"/>
        <v>0</v>
      </c>
      <c r="G95" s="25">
        <f t="shared" si="5"/>
        <v>0</v>
      </c>
    </row>
    <row r="96" spans="1:7" x14ac:dyDescent="0.3">
      <c r="A96" s="26" t="s">
        <v>5055</v>
      </c>
      <c r="B96" s="27">
        <v>0</v>
      </c>
      <c r="C96" s="28">
        <v>0</v>
      </c>
      <c r="D96" s="30">
        <v>4</v>
      </c>
      <c r="E96" s="24">
        <f t="shared" si="3"/>
        <v>0</v>
      </c>
      <c r="F96" s="25">
        <f t="shared" si="4"/>
        <v>0</v>
      </c>
      <c r="G96" s="25">
        <f t="shared" si="5"/>
        <v>0</v>
      </c>
    </row>
    <row r="97" spans="1:7" x14ac:dyDescent="0.3">
      <c r="A97" s="26" t="s">
        <v>5067</v>
      </c>
      <c r="B97" s="27">
        <v>0</v>
      </c>
      <c r="C97" s="28">
        <v>0</v>
      </c>
      <c r="D97" s="30">
        <v>3</v>
      </c>
      <c r="E97" s="24">
        <f t="shared" si="3"/>
        <v>0</v>
      </c>
      <c r="F97" s="25">
        <f t="shared" si="4"/>
        <v>0</v>
      </c>
      <c r="G97" s="25">
        <f t="shared" si="5"/>
        <v>0</v>
      </c>
    </row>
    <row r="98" spans="1:7" x14ac:dyDescent="0.3">
      <c r="A98" s="26" t="s">
        <v>5068</v>
      </c>
      <c r="B98" s="27">
        <v>0</v>
      </c>
      <c r="C98" s="28">
        <v>0</v>
      </c>
      <c r="D98" s="30">
        <v>4</v>
      </c>
      <c r="E98" s="24">
        <f t="shared" si="3"/>
        <v>0</v>
      </c>
      <c r="F98" s="25">
        <f t="shared" si="4"/>
        <v>0</v>
      </c>
      <c r="G98" s="25">
        <f t="shared" si="5"/>
        <v>0</v>
      </c>
    </row>
    <row r="99" spans="1:7" x14ac:dyDescent="0.3">
      <c r="A99" s="26" t="s">
        <v>5070</v>
      </c>
      <c r="B99" s="8">
        <v>0</v>
      </c>
      <c r="C99" s="9">
        <v>0</v>
      </c>
      <c r="D99" s="13">
        <v>2</v>
      </c>
      <c r="E99" s="24">
        <f t="shared" si="3"/>
        <v>0</v>
      </c>
      <c r="F99" s="25">
        <f t="shared" si="4"/>
        <v>0</v>
      </c>
      <c r="G99" s="25">
        <f t="shared" si="5"/>
        <v>0</v>
      </c>
    </row>
    <row r="100" spans="1:7" x14ac:dyDescent="0.3">
      <c r="A100" s="26" t="s">
        <v>5071</v>
      </c>
      <c r="B100" s="8">
        <v>0</v>
      </c>
      <c r="C100" s="9">
        <v>0</v>
      </c>
      <c r="D100" s="13">
        <v>5</v>
      </c>
      <c r="E100" s="24">
        <f t="shared" si="3"/>
        <v>0</v>
      </c>
      <c r="F100" s="25">
        <f t="shared" si="4"/>
        <v>0</v>
      </c>
      <c r="G100" s="25">
        <f t="shared" si="5"/>
        <v>0</v>
      </c>
    </row>
    <row r="101" spans="1:7" x14ac:dyDescent="0.3">
      <c r="A101" s="26" t="s">
        <v>5072</v>
      </c>
      <c r="B101" s="8">
        <v>0</v>
      </c>
      <c r="C101" s="9">
        <v>0</v>
      </c>
      <c r="D101" s="13">
        <v>3</v>
      </c>
      <c r="E101" s="24">
        <f t="shared" si="3"/>
        <v>0</v>
      </c>
      <c r="F101" s="25">
        <f t="shared" si="4"/>
        <v>0</v>
      </c>
      <c r="G101" s="25">
        <f t="shared" si="5"/>
        <v>0</v>
      </c>
    </row>
    <row r="102" spans="1:7" x14ac:dyDescent="0.3">
      <c r="A102" s="26" t="s">
        <v>5073</v>
      </c>
      <c r="B102" s="8">
        <v>0</v>
      </c>
      <c r="C102" s="9">
        <v>0</v>
      </c>
      <c r="D102" s="13">
        <v>8</v>
      </c>
      <c r="E102" s="24">
        <f t="shared" si="3"/>
        <v>0</v>
      </c>
      <c r="F102" s="25">
        <f t="shared" si="4"/>
        <v>0</v>
      </c>
      <c r="G102" s="25">
        <f t="shared" si="5"/>
        <v>0</v>
      </c>
    </row>
    <row r="103" spans="1:7" x14ac:dyDescent="0.3">
      <c r="A103" s="26" t="s">
        <v>5074</v>
      </c>
      <c r="B103" s="8">
        <v>0</v>
      </c>
      <c r="C103" s="9">
        <v>0</v>
      </c>
      <c r="D103" s="13">
        <v>2</v>
      </c>
      <c r="E103" s="24">
        <f t="shared" si="3"/>
        <v>0</v>
      </c>
      <c r="F103" s="25">
        <f t="shared" si="4"/>
        <v>0</v>
      </c>
      <c r="G103" s="25">
        <f t="shared" si="5"/>
        <v>0</v>
      </c>
    </row>
    <row r="104" spans="1:7" x14ac:dyDescent="0.3">
      <c r="A104" s="26" t="s">
        <v>5075</v>
      </c>
      <c r="B104" s="14">
        <v>0</v>
      </c>
      <c r="C104" s="15">
        <v>0</v>
      </c>
      <c r="D104" s="17">
        <v>16</v>
      </c>
      <c r="E104" s="24">
        <f t="shared" si="3"/>
        <v>0</v>
      </c>
      <c r="F104" s="25">
        <f t="shared" si="4"/>
        <v>0</v>
      </c>
      <c r="G104" s="25">
        <f t="shared" si="5"/>
        <v>0</v>
      </c>
    </row>
    <row r="105" spans="1:7" x14ac:dyDescent="0.3">
      <c r="A105" s="26" t="s">
        <v>5077</v>
      </c>
      <c r="B105" s="27">
        <v>0</v>
      </c>
      <c r="C105" s="28">
        <v>0</v>
      </c>
      <c r="D105" s="30">
        <v>2</v>
      </c>
      <c r="E105" s="24">
        <f t="shared" si="3"/>
        <v>0</v>
      </c>
      <c r="F105" s="25">
        <f t="shared" si="4"/>
        <v>0</v>
      </c>
      <c r="G105" s="25">
        <f t="shared" si="5"/>
        <v>0</v>
      </c>
    </row>
    <row r="106" spans="1:7" x14ac:dyDescent="0.3">
      <c r="A106" s="26" t="s">
        <v>5079</v>
      </c>
      <c r="B106" s="27">
        <v>0</v>
      </c>
      <c r="C106" s="28">
        <v>0</v>
      </c>
      <c r="D106" s="30">
        <v>12</v>
      </c>
      <c r="E106" s="24">
        <f t="shared" si="3"/>
        <v>0</v>
      </c>
      <c r="F106" s="25">
        <f t="shared" si="4"/>
        <v>0</v>
      </c>
      <c r="G106" s="25">
        <f t="shared" si="5"/>
        <v>0</v>
      </c>
    </row>
    <row r="107" spans="1:7" x14ac:dyDescent="0.3">
      <c r="A107" s="26" t="s">
        <v>5085</v>
      </c>
      <c r="B107" s="27">
        <v>0</v>
      </c>
      <c r="C107" s="28">
        <v>0</v>
      </c>
      <c r="D107" s="30">
        <v>11</v>
      </c>
      <c r="E107" s="24">
        <f t="shared" si="3"/>
        <v>0</v>
      </c>
      <c r="F107" s="25">
        <f t="shared" si="4"/>
        <v>0</v>
      </c>
      <c r="G107" s="25">
        <f t="shared" si="5"/>
        <v>0</v>
      </c>
    </row>
    <row r="108" spans="1:7" x14ac:dyDescent="0.3">
      <c r="A108" s="26" t="s">
        <v>5090</v>
      </c>
      <c r="B108" s="27">
        <v>0</v>
      </c>
      <c r="C108" s="28">
        <v>0</v>
      </c>
      <c r="D108" s="30">
        <v>2</v>
      </c>
      <c r="E108" s="24">
        <f t="shared" si="3"/>
        <v>0</v>
      </c>
      <c r="F108" s="25">
        <f t="shared" si="4"/>
        <v>0</v>
      </c>
      <c r="G108" s="25">
        <f t="shared" si="5"/>
        <v>0</v>
      </c>
    </row>
    <row r="109" spans="1:7" x14ac:dyDescent="0.3">
      <c r="A109" s="26" t="s">
        <v>5100</v>
      </c>
      <c r="B109" s="27">
        <v>0</v>
      </c>
      <c r="C109" s="28">
        <v>0</v>
      </c>
      <c r="D109" s="30">
        <v>7</v>
      </c>
      <c r="E109" s="24">
        <f t="shared" si="3"/>
        <v>0</v>
      </c>
      <c r="F109" s="25">
        <f t="shared" si="4"/>
        <v>0</v>
      </c>
      <c r="G109" s="25">
        <f t="shared" si="5"/>
        <v>0</v>
      </c>
    </row>
    <row r="110" spans="1:7" x14ac:dyDescent="0.3">
      <c r="A110" s="26" t="s">
        <v>5130</v>
      </c>
      <c r="B110" s="27">
        <v>0</v>
      </c>
      <c r="C110" s="28">
        <v>0</v>
      </c>
      <c r="D110" s="30">
        <v>2</v>
      </c>
      <c r="E110" s="24">
        <f t="shared" si="3"/>
        <v>0</v>
      </c>
      <c r="F110" s="25">
        <f t="shared" si="4"/>
        <v>0</v>
      </c>
      <c r="G110" s="25">
        <f t="shared" si="5"/>
        <v>0</v>
      </c>
    </row>
  </sheetData>
  <sheetProtection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6AC66-D868-405D-BBCD-F4FECD2D5C09}">
  <dimension ref="A1:G122"/>
  <sheetViews>
    <sheetView zoomScaleNormal="100" workbookViewId="0">
      <selection activeCell="C10" sqref="C10"/>
    </sheetView>
  </sheetViews>
  <sheetFormatPr defaultRowHeight="14.4" x14ac:dyDescent="0.3"/>
  <cols>
    <col min="1" max="1" width="49" bestFit="1" customWidth="1"/>
    <col min="2" max="2" width="27.77734375" style="37" customWidth="1"/>
    <col min="3" max="3" width="29.109375" style="37" customWidth="1"/>
    <col min="4" max="4" width="30.21875" style="37" customWidth="1"/>
    <col min="5" max="5" width="30.44140625" style="37" customWidth="1"/>
    <col min="6" max="6" width="9.5546875" bestFit="1" customWidth="1"/>
    <col min="7" max="7" width="17.44140625" bestFit="1" customWidth="1"/>
  </cols>
  <sheetData>
    <row r="1" spans="1:7" ht="30" customHeight="1" x14ac:dyDescent="0.3">
      <c r="A1" s="2" t="s">
        <v>5132</v>
      </c>
      <c r="B1" s="35" t="s">
        <v>5137</v>
      </c>
      <c r="C1" s="35" t="s">
        <v>5138</v>
      </c>
      <c r="D1" s="35" t="s">
        <v>5135</v>
      </c>
      <c r="E1" s="35" t="s">
        <v>5136</v>
      </c>
      <c r="F1" s="2" t="s">
        <v>5133</v>
      </c>
      <c r="G1" s="2" t="s">
        <v>5134</v>
      </c>
    </row>
    <row r="2" spans="1:7" x14ac:dyDescent="0.3">
      <c r="A2" s="5" t="s">
        <v>5011</v>
      </c>
      <c r="B2" s="36">
        <f>2</f>
        <v>2</v>
      </c>
      <c r="C2" s="36">
        <f>3-2</f>
        <v>1</v>
      </c>
      <c r="D2" s="36">
        <f>11-2</f>
        <v>9</v>
      </c>
      <c r="E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1004</v>
      </c>
      <c r="F2" s="5">
        <v>0</v>
      </c>
      <c r="G2" s="5">
        <v>3.7999999999999999E-2</v>
      </c>
    </row>
    <row r="3" spans="1:7" x14ac:dyDescent="0.3">
      <c r="A3" s="5" t="s">
        <v>5012</v>
      </c>
      <c r="B3" s="36">
        <f>3</f>
        <v>3</v>
      </c>
      <c r="C3" s="36">
        <f>10-3</f>
        <v>7</v>
      </c>
      <c r="D3" s="36">
        <f>21-3</f>
        <v>18</v>
      </c>
      <c r="E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988</v>
      </c>
      <c r="F3" s="5">
        <v>1E-3</v>
      </c>
      <c r="G3" s="5">
        <v>0.05</v>
      </c>
    </row>
    <row r="4" spans="1:7" x14ac:dyDescent="0.3">
      <c r="A4" s="5" t="s">
        <v>5013</v>
      </c>
      <c r="B4" s="36">
        <f>2</f>
        <v>2</v>
      </c>
      <c r="C4" s="36">
        <f>6-2</f>
        <v>4</v>
      </c>
      <c r="D4" s="36">
        <f>19-2</f>
        <v>17</v>
      </c>
      <c r="E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993</v>
      </c>
      <c r="F4" s="5">
        <v>5.0000000000000001E-3</v>
      </c>
      <c r="G4" s="5">
        <v>0.17899999999999999</v>
      </c>
    </row>
    <row r="5" spans="1:7" x14ac:dyDescent="0.3">
      <c r="A5" s="5" t="s">
        <v>5014</v>
      </c>
      <c r="B5" s="36">
        <f>1</f>
        <v>1</v>
      </c>
      <c r="C5" s="36">
        <f>1-1</f>
        <v>0</v>
      </c>
      <c r="D5" s="36">
        <f>6-1</f>
        <v>5</v>
      </c>
      <c r="E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1010</v>
      </c>
      <c r="F5" s="5">
        <v>6.0000000000000001E-3</v>
      </c>
      <c r="G5" s="5">
        <v>0.17899999999999999</v>
      </c>
    </row>
    <row r="6" spans="1:7" x14ac:dyDescent="0.3">
      <c r="A6" s="5" t="s">
        <v>5015</v>
      </c>
      <c r="B6" s="36">
        <f>2</f>
        <v>2</v>
      </c>
      <c r="C6" s="36">
        <f>10-2</f>
        <v>8</v>
      </c>
      <c r="D6" s="36">
        <f>18-2</f>
        <v>16</v>
      </c>
      <c r="E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990</v>
      </c>
      <c r="F6" s="5">
        <v>1.2E-2</v>
      </c>
      <c r="G6" s="5">
        <v>0.29699999999999999</v>
      </c>
    </row>
    <row r="7" spans="1:7" x14ac:dyDescent="0.3">
      <c r="A7" s="5" t="s">
        <v>5016</v>
      </c>
      <c r="B7" s="36">
        <f>0</f>
        <v>0</v>
      </c>
      <c r="C7" s="36">
        <f>11</f>
        <v>11</v>
      </c>
      <c r="D7" s="36">
        <f>9</f>
        <v>9</v>
      </c>
      <c r="E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7" s="5">
        <v>1</v>
      </c>
      <c r="G7" s="5">
        <v>1</v>
      </c>
    </row>
    <row r="8" spans="1:7" x14ac:dyDescent="0.3">
      <c r="A8" s="5" t="s">
        <v>5017</v>
      </c>
      <c r="B8" s="36">
        <f>0</f>
        <v>0</v>
      </c>
      <c r="C8" s="36">
        <f>6</f>
        <v>6</v>
      </c>
      <c r="D8" s="36">
        <f>1</f>
        <v>1</v>
      </c>
      <c r="E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8" s="5">
        <v>1</v>
      </c>
      <c r="G8" s="5">
        <v>1</v>
      </c>
    </row>
    <row r="9" spans="1:7" x14ac:dyDescent="0.3">
      <c r="A9" s="5" t="s">
        <v>5018</v>
      </c>
      <c r="B9" s="36">
        <f>0</f>
        <v>0</v>
      </c>
      <c r="C9" s="36">
        <f>11</f>
        <v>11</v>
      </c>
      <c r="D9" s="36">
        <f>5</f>
        <v>5</v>
      </c>
      <c r="E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9" s="5">
        <v>1</v>
      </c>
      <c r="G9" s="5">
        <v>1</v>
      </c>
    </row>
    <row r="10" spans="1:7" x14ac:dyDescent="0.3">
      <c r="A10" s="5" t="s">
        <v>5019</v>
      </c>
      <c r="B10" s="36">
        <f>0</f>
        <v>0</v>
      </c>
      <c r="C10" s="36">
        <f>6</f>
        <v>6</v>
      </c>
      <c r="D10" s="36">
        <f>1</f>
        <v>1</v>
      </c>
      <c r="E1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10" s="5">
        <v>1</v>
      </c>
      <c r="G10" s="5">
        <v>1</v>
      </c>
    </row>
    <row r="11" spans="1:7" x14ac:dyDescent="0.3">
      <c r="A11" s="5" t="s">
        <v>5020</v>
      </c>
      <c r="B11" s="36">
        <f>0</f>
        <v>0</v>
      </c>
      <c r="C11" s="36">
        <f>11</f>
        <v>11</v>
      </c>
      <c r="D11" s="36">
        <f>0</f>
        <v>0</v>
      </c>
      <c r="E1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1" s="5">
        <v>1</v>
      </c>
      <c r="G11" s="5">
        <v>1</v>
      </c>
    </row>
    <row r="12" spans="1:7" x14ac:dyDescent="0.3">
      <c r="A12" s="5" t="s">
        <v>5021</v>
      </c>
      <c r="B12" s="36">
        <f>0</f>
        <v>0</v>
      </c>
      <c r="C12" s="36">
        <f>11</f>
        <v>11</v>
      </c>
      <c r="D12" s="36">
        <f>13</f>
        <v>13</v>
      </c>
      <c r="E1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992</v>
      </c>
      <c r="F12" s="5">
        <v>1</v>
      </c>
      <c r="G12" s="5">
        <v>1</v>
      </c>
    </row>
    <row r="13" spans="1:7" x14ac:dyDescent="0.3">
      <c r="A13" s="5" t="s">
        <v>5022</v>
      </c>
      <c r="B13" s="36">
        <f>0</f>
        <v>0</v>
      </c>
      <c r="C13" s="36">
        <f>9</f>
        <v>9</v>
      </c>
      <c r="D13" s="36">
        <f>7</f>
        <v>7</v>
      </c>
      <c r="E1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13" s="5">
        <v>1</v>
      </c>
      <c r="G13" s="5">
        <v>1</v>
      </c>
    </row>
    <row r="14" spans="1:7" x14ac:dyDescent="0.3">
      <c r="A14" s="5" t="s">
        <v>5023</v>
      </c>
      <c r="B14" s="36">
        <f>0</f>
        <v>0</v>
      </c>
      <c r="C14" s="36">
        <f>11</f>
        <v>11</v>
      </c>
      <c r="D14" s="36">
        <f>2</f>
        <v>2</v>
      </c>
      <c r="E1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14" s="5">
        <v>1</v>
      </c>
      <c r="G14" s="5">
        <v>1</v>
      </c>
    </row>
    <row r="15" spans="1:7" x14ac:dyDescent="0.3">
      <c r="A15" s="5" t="s">
        <v>5024</v>
      </c>
      <c r="B15" s="36">
        <f>0</f>
        <v>0</v>
      </c>
      <c r="C15" s="36">
        <f>6</f>
        <v>6</v>
      </c>
      <c r="D15" s="36">
        <f>1</f>
        <v>1</v>
      </c>
      <c r="E1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15" s="5">
        <v>1</v>
      </c>
      <c r="G15" s="5">
        <v>1</v>
      </c>
    </row>
    <row r="16" spans="1:7" x14ac:dyDescent="0.3">
      <c r="A16" s="5" t="s">
        <v>5025</v>
      </c>
      <c r="B16" s="36">
        <f>1</f>
        <v>1</v>
      </c>
      <c r="C16" s="36">
        <f>8-1</f>
        <v>7</v>
      </c>
      <c r="D16" s="36">
        <f>15-1</f>
        <v>14</v>
      </c>
      <c r="E1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994</v>
      </c>
      <c r="F16" s="5">
        <v>0.113</v>
      </c>
      <c r="G16" s="5">
        <v>1</v>
      </c>
    </row>
    <row r="17" spans="1:7" x14ac:dyDescent="0.3">
      <c r="A17" s="5" t="s">
        <v>5026</v>
      </c>
      <c r="B17" s="36">
        <f>0</f>
        <v>0</v>
      </c>
      <c r="C17" s="36">
        <f>10</f>
        <v>10</v>
      </c>
      <c r="D17" s="36">
        <f>8</f>
        <v>8</v>
      </c>
      <c r="E1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998</v>
      </c>
      <c r="F17" s="5">
        <v>1</v>
      </c>
      <c r="G17" s="5">
        <v>1</v>
      </c>
    </row>
    <row r="18" spans="1:7" x14ac:dyDescent="0.3">
      <c r="A18" s="5" t="s">
        <v>5027</v>
      </c>
      <c r="B18" s="36">
        <f>0</f>
        <v>0</v>
      </c>
      <c r="C18" s="36">
        <f>11</f>
        <v>11</v>
      </c>
      <c r="D18" s="36">
        <f>29</f>
        <v>29</v>
      </c>
      <c r="E1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976</v>
      </c>
      <c r="F18" s="5">
        <v>1</v>
      </c>
      <c r="G18" s="5">
        <v>1</v>
      </c>
    </row>
    <row r="19" spans="1:7" x14ac:dyDescent="0.3">
      <c r="A19" s="5" t="s">
        <v>5028</v>
      </c>
      <c r="B19" s="36">
        <f>0</f>
        <v>0</v>
      </c>
      <c r="C19" s="36">
        <f>11</f>
        <v>11</v>
      </c>
      <c r="D19" s="36">
        <f>18</f>
        <v>18</v>
      </c>
      <c r="E1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987</v>
      </c>
      <c r="F19" s="5">
        <v>1</v>
      </c>
      <c r="G19" s="5">
        <v>1</v>
      </c>
    </row>
    <row r="20" spans="1:7" x14ac:dyDescent="0.3">
      <c r="A20" s="5" t="s">
        <v>5029</v>
      </c>
      <c r="B20" s="36">
        <f>0</f>
        <v>0</v>
      </c>
      <c r="C20" s="36">
        <f>11</f>
        <v>11</v>
      </c>
      <c r="D20" s="36">
        <f>14</f>
        <v>14</v>
      </c>
      <c r="E2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991</v>
      </c>
      <c r="F20" s="5">
        <v>1</v>
      </c>
      <c r="G20" s="5">
        <v>1</v>
      </c>
    </row>
    <row r="21" spans="1:7" x14ac:dyDescent="0.3">
      <c r="A21" s="5" t="s">
        <v>5030</v>
      </c>
      <c r="B21" s="36">
        <f>1</f>
        <v>1</v>
      </c>
      <c r="C21" s="36">
        <f>11-1</f>
        <v>10</v>
      </c>
      <c r="D21" s="36">
        <f>9-1</f>
        <v>8</v>
      </c>
      <c r="E2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997</v>
      </c>
      <c r="F21" s="5">
        <v>9.4E-2</v>
      </c>
      <c r="G21" s="5">
        <v>1</v>
      </c>
    </row>
    <row r="22" spans="1:7" x14ac:dyDescent="0.3">
      <c r="A22" s="5" t="s">
        <v>5031</v>
      </c>
      <c r="B22" s="36">
        <f>0</f>
        <v>0</v>
      </c>
      <c r="C22" s="36">
        <f>11</f>
        <v>11</v>
      </c>
      <c r="D22" s="36">
        <f>6</f>
        <v>6</v>
      </c>
      <c r="E2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22" s="5">
        <v>1</v>
      </c>
      <c r="G22" s="5">
        <v>1</v>
      </c>
    </row>
    <row r="23" spans="1:7" x14ac:dyDescent="0.3">
      <c r="A23" s="5" t="s">
        <v>5032</v>
      </c>
      <c r="B23" s="36">
        <f>0</f>
        <v>0</v>
      </c>
      <c r="C23" s="36">
        <f>11</f>
        <v>11</v>
      </c>
      <c r="D23" s="36">
        <f>9</f>
        <v>9</v>
      </c>
      <c r="E2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23" s="5">
        <v>1</v>
      </c>
      <c r="G23" s="5">
        <v>1</v>
      </c>
    </row>
    <row r="24" spans="1:7" x14ac:dyDescent="0.3">
      <c r="A24" s="5" t="s">
        <v>5033</v>
      </c>
      <c r="B24" s="36">
        <f>0</f>
        <v>0</v>
      </c>
      <c r="C24" s="36">
        <f>11</f>
        <v>11</v>
      </c>
      <c r="D24" s="36">
        <f>4</f>
        <v>4</v>
      </c>
      <c r="E2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24" s="5">
        <v>1</v>
      </c>
      <c r="G24" s="5">
        <v>1</v>
      </c>
    </row>
    <row r="25" spans="1:7" x14ac:dyDescent="0.3">
      <c r="A25" s="5" t="s">
        <v>5034</v>
      </c>
      <c r="B25" s="36">
        <f>0</f>
        <v>0</v>
      </c>
      <c r="C25" s="36">
        <f>11</f>
        <v>11</v>
      </c>
      <c r="D25" s="36">
        <f>6</f>
        <v>6</v>
      </c>
      <c r="E2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25" s="5">
        <v>1</v>
      </c>
      <c r="G25" s="5">
        <v>1</v>
      </c>
    </row>
    <row r="26" spans="1:7" x14ac:dyDescent="0.3">
      <c r="A26" s="5" t="s">
        <v>5035</v>
      </c>
      <c r="B26" s="36">
        <f>0</f>
        <v>0</v>
      </c>
      <c r="C26" s="36">
        <f>11</f>
        <v>11</v>
      </c>
      <c r="D26" s="36">
        <f>6</f>
        <v>6</v>
      </c>
      <c r="E2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26" s="5">
        <v>1</v>
      </c>
      <c r="G26" s="5">
        <v>1</v>
      </c>
    </row>
    <row r="27" spans="1:7" x14ac:dyDescent="0.3">
      <c r="A27" s="5" t="s">
        <v>5036</v>
      </c>
      <c r="B27" s="36">
        <f>0</f>
        <v>0</v>
      </c>
      <c r="C27" s="36">
        <f>9</f>
        <v>9</v>
      </c>
      <c r="D27" s="36">
        <f>7</f>
        <v>7</v>
      </c>
      <c r="E2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27" s="5">
        <v>1</v>
      </c>
      <c r="G27" s="5">
        <v>1</v>
      </c>
    </row>
    <row r="28" spans="1:7" x14ac:dyDescent="0.3">
      <c r="A28" s="5" t="s">
        <v>5037</v>
      </c>
      <c r="B28" s="36">
        <f>0</f>
        <v>0</v>
      </c>
      <c r="C28" s="36">
        <f>11</f>
        <v>11</v>
      </c>
      <c r="D28" s="36">
        <f>4</f>
        <v>4</v>
      </c>
      <c r="E2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28" s="5">
        <v>1</v>
      </c>
      <c r="G28" s="5">
        <v>1</v>
      </c>
    </row>
    <row r="29" spans="1:7" x14ac:dyDescent="0.3">
      <c r="A29" s="5" t="s">
        <v>5038</v>
      </c>
      <c r="B29" s="36">
        <f>0</f>
        <v>0</v>
      </c>
      <c r="C29" s="36">
        <f>11</f>
        <v>11</v>
      </c>
      <c r="D29" s="36">
        <f>0</f>
        <v>0</v>
      </c>
      <c r="E2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29" s="5">
        <v>1</v>
      </c>
      <c r="G29" s="5">
        <v>1</v>
      </c>
    </row>
    <row r="30" spans="1:7" x14ac:dyDescent="0.3">
      <c r="A30" s="5" t="s">
        <v>5039</v>
      </c>
      <c r="B30" s="36">
        <f>0</f>
        <v>0</v>
      </c>
      <c r="C30" s="36">
        <f>6</f>
        <v>6</v>
      </c>
      <c r="D30" s="36">
        <f>1</f>
        <v>1</v>
      </c>
      <c r="E3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30" s="5">
        <v>1</v>
      </c>
      <c r="G30" s="5">
        <v>1</v>
      </c>
    </row>
    <row r="31" spans="1:7" x14ac:dyDescent="0.3">
      <c r="A31" s="5" t="s">
        <v>5040</v>
      </c>
      <c r="B31" s="36">
        <f>0</f>
        <v>0</v>
      </c>
      <c r="C31" s="36">
        <f>6</f>
        <v>6</v>
      </c>
      <c r="D31" s="36">
        <f>1</f>
        <v>1</v>
      </c>
      <c r="E3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31" s="5">
        <v>1</v>
      </c>
      <c r="G31" s="5">
        <v>1</v>
      </c>
    </row>
    <row r="32" spans="1:7" x14ac:dyDescent="0.3">
      <c r="A32" s="5" t="s">
        <v>5041</v>
      </c>
      <c r="B32" s="36">
        <f>0</f>
        <v>0</v>
      </c>
      <c r="C32" s="36">
        <f>6</f>
        <v>6</v>
      </c>
      <c r="D32" s="36">
        <f>1</f>
        <v>1</v>
      </c>
      <c r="E3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32" s="5">
        <v>1</v>
      </c>
      <c r="G32" s="5">
        <v>1</v>
      </c>
    </row>
    <row r="33" spans="1:7" x14ac:dyDescent="0.3">
      <c r="A33" s="5" t="s">
        <v>5042</v>
      </c>
      <c r="B33" s="36">
        <f>0</f>
        <v>0</v>
      </c>
      <c r="C33" s="36">
        <f>11</f>
        <v>11</v>
      </c>
      <c r="D33" s="36">
        <f>0</f>
        <v>0</v>
      </c>
      <c r="E3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33" s="5">
        <v>1</v>
      </c>
      <c r="G33" s="5">
        <v>1</v>
      </c>
    </row>
    <row r="34" spans="1:7" x14ac:dyDescent="0.3">
      <c r="A34" s="5" t="s">
        <v>5043</v>
      </c>
      <c r="B34" s="36">
        <f>0</f>
        <v>0</v>
      </c>
      <c r="C34" s="36">
        <f>11</f>
        <v>11</v>
      </c>
      <c r="D34" s="36">
        <f>5</f>
        <v>5</v>
      </c>
      <c r="E3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34" s="5">
        <v>1</v>
      </c>
      <c r="G34" s="5">
        <v>1</v>
      </c>
    </row>
    <row r="35" spans="1:7" x14ac:dyDescent="0.3">
      <c r="A35" s="5" t="s">
        <v>5044</v>
      </c>
      <c r="B35" s="36">
        <f>0</f>
        <v>0</v>
      </c>
      <c r="C35" s="36">
        <f>11</f>
        <v>11</v>
      </c>
      <c r="D35" s="36">
        <f>0</f>
        <v>0</v>
      </c>
      <c r="E3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35" s="5">
        <v>1</v>
      </c>
      <c r="G35" s="5">
        <v>1</v>
      </c>
    </row>
    <row r="36" spans="1:7" x14ac:dyDescent="0.3">
      <c r="A36" s="5" t="s">
        <v>5045</v>
      </c>
      <c r="B36" s="36">
        <f>0</f>
        <v>0</v>
      </c>
      <c r="C36" s="36">
        <f>11</f>
        <v>11</v>
      </c>
      <c r="D36" s="36">
        <f>6</f>
        <v>6</v>
      </c>
      <c r="E3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36" s="5">
        <v>1</v>
      </c>
      <c r="G36" s="5">
        <v>1</v>
      </c>
    </row>
    <row r="37" spans="1:7" x14ac:dyDescent="0.3">
      <c r="A37" s="5" t="s">
        <v>5046</v>
      </c>
      <c r="B37" s="36">
        <f>0</f>
        <v>0</v>
      </c>
      <c r="C37" s="36">
        <f>9</f>
        <v>9</v>
      </c>
      <c r="D37" s="36">
        <f>7</f>
        <v>7</v>
      </c>
      <c r="E3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37" s="5">
        <v>1</v>
      </c>
      <c r="G37" s="5">
        <v>1</v>
      </c>
    </row>
    <row r="38" spans="1:7" x14ac:dyDescent="0.3">
      <c r="A38" s="5" t="s">
        <v>5047</v>
      </c>
      <c r="B38" s="36">
        <f>0</f>
        <v>0</v>
      </c>
      <c r="C38" s="36">
        <f>6</f>
        <v>6</v>
      </c>
      <c r="D38" s="36">
        <f>1</f>
        <v>1</v>
      </c>
      <c r="E3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38" s="5">
        <v>1</v>
      </c>
      <c r="G38" s="5">
        <v>1</v>
      </c>
    </row>
    <row r="39" spans="1:7" x14ac:dyDescent="0.3">
      <c r="A39" s="5" t="s">
        <v>5048</v>
      </c>
      <c r="B39" s="36">
        <f>0</f>
        <v>0</v>
      </c>
      <c r="C39" s="36">
        <f>6</f>
        <v>6</v>
      </c>
      <c r="D39" s="36">
        <f>1</f>
        <v>1</v>
      </c>
      <c r="E3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39" s="5">
        <v>1</v>
      </c>
      <c r="G39" s="5">
        <v>1</v>
      </c>
    </row>
    <row r="40" spans="1:7" x14ac:dyDescent="0.3">
      <c r="A40" s="5" t="s">
        <v>5049</v>
      </c>
      <c r="B40" s="36">
        <f>0</f>
        <v>0</v>
      </c>
      <c r="C40" s="36">
        <f>11</f>
        <v>11</v>
      </c>
      <c r="D40" s="36">
        <f>4</f>
        <v>4</v>
      </c>
      <c r="E4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40" s="5">
        <v>1</v>
      </c>
      <c r="G40" s="5">
        <v>1</v>
      </c>
    </row>
    <row r="41" spans="1:7" x14ac:dyDescent="0.3">
      <c r="A41" s="5" t="s">
        <v>5050</v>
      </c>
      <c r="B41" s="36">
        <f>0</f>
        <v>0</v>
      </c>
      <c r="C41" s="36">
        <f>6</f>
        <v>6</v>
      </c>
      <c r="D41" s="36">
        <f>1</f>
        <v>1</v>
      </c>
      <c r="E4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41" s="5">
        <v>1</v>
      </c>
      <c r="G41" s="5">
        <v>1</v>
      </c>
    </row>
    <row r="42" spans="1:7" x14ac:dyDescent="0.3">
      <c r="A42" s="5" t="s">
        <v>5051</v>
      </c>
      <c r="B42" s="36">
        <f>0</f>
        <v>0</v>
      </c>
      <c r="C42" s="36">
        <f>6</f>
        <v>6</v>
      </c>
      <c r="D42" s="36">
        <f>1</f>
        <v>1</v>
      </c>
      <c r="E4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42" s="5">
        <v>1</v>
      </c>
      <c r="G42" s="5">
        <v>1</v>
      </c>
    </row>
    <row r="43" spans="1:7" x14ac:dyDescent="0.3">
      <c r="A43" s="5" t="s">
        <v>5052</v>
      </c>
      <c r="B43" s="36">
        <f>0</f>
        <v>0</v>
      </c>
      <c r="C43" s="36">
        <f>6</f>
        <v>6</v>
      </c>
      <c r="D43" s="36">
        <f>1</f>
        <v>1</v>
      </c>
      <c r="E4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43" s="5">
        <v>1</v>
      </c>
      <c r="G43" s="5">
        <v>1</v>
      </c>
    </row>
    <row r="44" spans="1:7" x14ac:dyDescent="0.3">
      <c r="A44" s="5" t="s">
        <v>5053</v>
      </c>
      <c r="B44" s="36">
        <f>0</f>
        <v>0</v>
      </c>
      <c r="C44" s="36">
        <f>11</f>
        <v>11</v>
      </c>
      <c r="D44" s="36">
        <f>0</f>
        <v>0</v>
      </c>
      <c r="E4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44" s="5">
        <v>1</v>
      </c>
      <c r="G44" s="5">
        <v>1</v>
      </c>
    </row>
    <row r="45" spans="1:7" x14ac:dyDescent="0.3">
      <c r="A45" s="5" t="s">
        <v>5054</v>
      </c>
      <c r="B45" s="36">
        <f>0</f>
        <v>0</v>
      </c>
      <c r="C45" s="36">
        <f>11</f>
        <v>11</v>
      </c>
      <c r="D45" s="36">
        <f>0</f>
        <v>0</v>
      </c>
      <c r="E4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45" s="5">
        <v>1</v>
      </c>
      <c r="G45" s="5">
        <v>1</v>
      </c>
    </row>
    <row r="46" spans="1:7" x14ac:dyDescent="0.3">
      <c r="A46" s="5" t="s">
        <v>5055</v>
      </c>
      <c r="B46" s="36">
        <f>0</f>
        <v>0</v>
      </c>
      <c r="C46" s="36">
        <f>11</f>
        <v>11</v>
      </c>
      <c r="D46" s="36">
        <f>0</f>
        <v>0</v>
      </c>
      <c r="E4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46" s="5">
        <v>1</v>
      </c>
      <c r="G46" s="5">
        <v>1</v>
      </c>
    </row>
    <row r="47" spans="1:7" x14ac:dyDescent="0.3">
      <c r="A47" s="5" t="s">
        <v>5056</v>
      </c>
      <c r="B47" s="36">
        <f>0</f>
        <v>0</v>
      </c>
      <c r="C47" s="36">
        <f>10</f>
        <v>10</v>
      </c>
      <c r="D47" s="36">
        <f>8</f>
        <v>8</v>
      </c>
      <c r="E4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998</v>
      </c>
      <c r="F47" s="5">
        <v>1</v>
      </c>
      <c r="G47" s="5">
        <v>1</v>
      </c>
    </row>
    <row r="48" spans="1:7" x14ac:dyDescent="0.3">
      <c r="A48" s="5" t="s">
        <v>5057</v>
      </c>
      <c r="B48" s="36">
        <f>0</f>
        <v>0</v>
      </c>
      <c r="C48" s="36">
        <f>11</f>
        <v>11</v>
      </c>
      <c r="D48" s="36">
        <f>2</f>
        <v>2</v>
      </c>
      <c r="E4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48" s="5">
        <v>1</v>
      </c>
      <c r="G48" s="5">
        <v>1</v>
      </c>
    </row>
    <row r="49" spans="1:7" x14ac:dyDescent="0.3">
      <c r="A49" s="5" t="s">
        <v>5058</v>
      </c>
      <c r="B49" s="36">
        <f>0</f>
        <v>0</v>
      </c>
      <c r="C49" s="36">
        <f>11</f>
        <v>11</v>
      </c>
      <c r="D49" s="36">
        <f>9</f>
        <v>9</v>
      </c>
      <c r="E4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49" s="5">
        <v>1</v>
      </c>
      <c r="G49" s="5">
        <v>1</v>
      </c>
    </row>
    <row r="50" spans="1:7" x14ac:dyDescent="0.3">
      <c r="A50" s="5" t="s">
        <v>5059</v>
      </c>
      <c r="B50" s="36">
        <f>0</f>
        <v>0</v>
      </c>
      <c r="C50" s="36">
        <f>11</f>
        <v>11</v>
      </c>
      <c r="D50" s="36">
        <f>4</f>
        <v>4</v>
      </c>
      <c r="E5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50" s="5">
        <v>1</v>
      </c>
      <c r="G50" s="5">
        <v>1</v>
      </c>
    </row>
    <row r="51" spans="1:7" x14ac:dyDescent="0.3">
      <c r="A51" s="5" t="s">
        <v>5060</v>
      </c>
      <c r="B51" s="36">
        <f>0</f>
        <v>0</v>
      </c>
      <c r="C51" s="36">
        <f>11</f>
        <v>11</v>
      </c>
      <c r="D51" s="36">
        <f>3</f>
        <v>3</v>
      </c>
      <c r="E5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51" s="5">
        <v>1</v>
      </c>
      <c r="G51" s="5">
        <v>1</v>
      </c>
    </row>
    <row r="52" spans="1:7" x14ac:dyDescent="0.3">
      <c r="A52" s="5" t="s">
        <v>5061</v>
      </c>
      <c r="B52" s="36">
        <f>0</f>
        <v>0</v>
      </c>
      <c r="C52" s="36">
        <f>11</f>
        <v>11</v>
      </c>
      <c r="D52" s="36">
        <f>2</f>
        <v>2</v>
      </c>
      <c r="E5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52" s="5">
        <v>1</v>
      </c>
      <c r="G52" s="5">
        <v>1</v>
      </c>
    </row>
    <row r="53" spans="1:7" x14ac:dyDescent="0.3">
      <c r="A53" s="5" t="s">
        <v>5062</v>
      </c>
      <c r="B53" s="36">
        <f>0</f>
        <v>0</v>
      </c>
      <c r="C53" s="36">
        <f>11</f>
        <v>11</v>
      </c>
      <c r="D53" s="36">
        <f>3</f>
        <v>3</v>
      </c>
      <c r="E5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53" s="5">
        <v>1</v>
      </c>
      <c r="G53" s="5">
        <v>1</v>
      </c>
    </row>
    <row r="54" spans="1:7" x14ac:dyDescent="0.3">
      <c r="A54" s="5" t="s">
        <v>5063</v>
      </c>
      <c r="B54" s="36">
        <f>0</f>
        <v>0</v>
      </c>
      <c r="C54" s="36">
        <f>6</f>
        <v>6</v>
      </c>
      <c r="D54" s="36">
        <f>1</f>
        <v>1</v>
      </c>
      <c r="E5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54" s="5">
        <v>1</v>
      </c>
      <c r="G54" s="5">
        <v>1</v>
      </c>
    </row>
    <row r="55" spans="1:7" x14ac:dyDescent="0.3">
      <c r="A55" s="5" t="s">
        <v>5064</v>
      </c>
      <c r="B55" s="36">
        <f>0</f>
        <v>0</v>
      </c>
      <c r="C55" s="36">
        <f>6</f>
        <v>6</v>
      </c>
      <c r="D55" s="36">
        <f>1</f>
        <v>1</v>
      </c>
      <c r="E5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55" s="5">
        <v>1</v>
      </c>
      <c r="G55" s="5">
        <v>1</v>
      </c>
    </row>
    <row r="56" spans="1:7" x14ac:dyDescent="0.3">
      <c r="A56" s="5" t="s">
        <v>5065</v>
      </c>
      <c r="B56" s="36">
        <f>0</f>
        <v>0</v>
      </c>
      <c r="C56" s="36">
        <f>11</f>
        <v>11</v>
      </c>
      <c r="D56" s="36">
        <f>3</f>
        <v>3</v>
      </c>
      <c r="E5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56" s="5">
        <v>1</v>
      </c>
      <c r="G56" s="5">
        <v>1</v>
      </c>
    </row>
    <row r="57" spans="1:7" x14ac:dyDescent="0.3">
      <c r="A57" s="5" t="s">
        <v>5066</v>
      </c>
      <c r="B57" s="36">
        <f>0</f>
        <v>0</v>
      </c>
      <c r="C57" s="36">
        <f>11</f>
        <v>11</v>
      </c>
      <c r="D57" s="36">
        <f>2</f>
        <v>2</v>
      </c>
      <c r="E5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57" s="5">
        <v>1</v>
      </c>
      <c r="G57" s="5">
        <v>1</v>
      </c>
    </row>
    <row r="58" spans="1:7" x14ac:dyDescent="0.3">
      <c r="A58" s="5" t="s">
        <v>5067</v>
      </c>
      <c r="B58" s="36">
        <f>0</f>
        <v>0</v>
      </c>
      <c r="C58" s="36">
        <f>11</f>
        <v>11</v>
      </c>
      <c r="D58" s="36">
        <f>0</f>
        <v>0</v>
      </c>
      <c r="E5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58" s="5">
        <v>1</v>
      </c>
      <c r="G58" s="5">
        <v>1</v>
      </c>
    </row>
    <row r="59" spans="1:7" x14ac:dyDescent="0.3">
      <c r="A59" s="5" t="s">
        <v>5068</v>
      </c>
      <c r="B59" s="36">
        <f>0</f>
        <v>0</v>
      </c>
      <c r="C59" s="36">
        <f>11</f>
        <v>11</v>
      </c>
      <c r="D59" s="36">
        <f>0</f>
        <v>0</v>
      </c>
      <c r="E5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59" s="5">
        <v>1</v>
      </c>
      <c r="G59" s="5">
        <v>1</v>
      </c>
    </row>
    <row r="60" spans="1:7" x14ac:dyDescent="0.3">
      <c r="A60" s="5" t="s">
        <v>5069</v>
      </c>
      <c r="B60" s="36">
        <f>0</f>
        <v>0</v>
      </c>
      <c r="C60" s="36">
        <f>6</f>
        <v>6</v>
      </c>
      <c r="D60" s="36">
        <f>1</f>
        <v>1</v>
      </c>
      <c r="E6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60" s="5">
        <v>1</v>
      </c>
      <c r="G60" s="5">
        <v>1</v>
      </c>
    </row>
    <row r="61" spans="1:7" x14ac:dyDescent="0.3">
      <c r="A61" s="5" t="s">
        <v>5070</v>
      </c>
      <c r="B61" s="36">
        <f>0</f>
        <v>0</v>
      </c>
      <c r="C61" s="36">
        <f>11</f>
        <v>11</v>
      </c>
      <c r="D61" s="36">
        <f>0</f>
        <v>0</v>
      </c>
      <c r="E6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1" s="5">
        <v>1</v>
      </c>
      <c r="G61" s="5">
        <v>1</v>
      </c>
    </row>
    <row r="62" spans="1:7" x14ac:dyDescent="0.3">
      <c r="A62" s="5" t="s">
        <v>5071</v>
      </c>
      <c r="B62" s="36">
        <f>0</f>
        <v>0</v>
      </c>
      <c r="C62" s="36">
        <f>11</f>
        <v>11</v>
      </c>
      <c r="D62" s="36">
        <f>0</f>
        <v>0</v>
      </c>
      <c r="E6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2" s="5">
        <v>1</v>
      </c>
      <c r="G62" s="5">
        <v>1</v>
      </c>
    </row>
    <row r="63" spans="1:7" x14ac:dyDescent="0.3">
      <c r="A63" s="5" t="s">
        <v>5072</v>
      </c>
      <c r="B63" s="36">
        <f>0</f>
        <v>0</v>
      </c>
      <c r="C63" s="36">
        <f>11</f>
        <v>11</v>
      </c>
      <c r="D63" s="36">
        <f>0</f>
        <v>0</v>
      </c>
      <c r="E6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3" s="5">
        <v>1</v>
      </c>
      <c r="G63" s="5">
        <v>1</v>
      </c>
    </row>
    <row r="64" spans="1:7" x14ac:dyDescent="0.3">
      <c r="A64" s="5" t="s">
        <v>5073</v>
      </c>
      <c r="B64" s="36">
        <f>0</f>
        <v>0</v>
      </c>
      <c r="C64" s="36">
        <f>11</f>
        <v>11</v>
      </c>
      <c r="D64" s="36">
        <f>0</f>
        <v>0</v>
      </c>
      <c r="E6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4" s="5">
        <v>1</v>
      </c>
      <c r="G64" s="5">
        <v>1</v>
      </c>
    </row>
    <row r="65" spans="1:7" x14ac:dyDescent="0.3">
      <c r="A65" s="5" t="s">
        <v>5074</v>
      </c>
      <c r="B65" s="36">
        <f>0</f>
        <v>0</v>
      </c>
      <c r="C65" s="36">
        <f>11</f>
        <v>11</v>
      </c>
      <c r="D65" s="36">
        <f>0</f>
        <v>0</v>
      </c>
      <c r="E6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5" s="5">
        <v>1</v>
      </c>
      <c r="G65" s="5">
        <v>1</v>
      </c>
    </row>
    <row r="66" spans="1:7" x14ac:dyDescent="0.3">
      <c r="A66" s="5" t="s">
        <v>5075</v>
      </c>
      <c r="B66" s="36">
        <f>0</f>
        <v>0</v>
      </c>
      <c r="C66" s="36">
        <f>11</f>
        <v>11</v>
      </c>
      <c r="D66" s="36">
        <f>0</f>
        <v>0</v>
      </c>
      <c r="E6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6" s="5">
        <v>1</v>
      </c>
      <c r="G66" s="5">
        <v>1</v>
      </c>
    </row>
    <row r="67" spans="1:7" x14ac:dyDescent="0.3">
      <c r="A67" s="5" t="s">
        <v>5076</v>
      </c>
      <c r="B67" s="36">
        <f>0</f>
        <v>0</v>
      </c>
      <c r="C67" s="36">
        <f>11</f>
        <v>11</v>
      </c>
      <c r="D67" s="36">
        <f>14</f>
        <v>14</v>
      </c>
      <c r="E6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991</v>
      </c>
      <c r="F67" s="5">
        <v>1</v>
      </c>
      <c r="G67" s="5">
        <v>1</v>
      </c>
    </row>
    <row r="68" spans="1:7" x14ac:dyDescent="0.3">
      <c r="A68" s="5" t="s">
        <v>5077</v>
      </c>
      <c r="B68" s="36">
        <f>0</f>
        <v>0</v>
      </c>
      <c r="C68" s="36">
        <f>11</f>
        <v>11</v>
      </c>
      <c r="D68" s="36">
        <f>0</f>
        <v>0</v>
      </c>
      <c r="E6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68" s="5">
        <v>1</v>
      </c>
      <c r="G68" s="5">
        <v>1</v>
      </c>
    </row>
    <row r="69" spans="1:7" x14ac:dyDescent="0.3">
      <c r="A69" s="5" t="s">
        <v>5078</v>
      </c>
      <c r="B69" s="36">
        <f>0</f>
        <v>0</v>
      </c>
      <c r="C69" s="36">
        <f>11</f>
        <v>11</v>
      </c>
      <c r="D69" s="36">
        <f>13</f>
        <v>13</v>
      </c>
      <c r="E6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992</v>
      </c>
      <c r="F69" s="5">
        <v>1</v>
      </c>
      <c r="G69" s="5">
        <v>1</v>
      </c>
    </row>
    <row r="70" spans="1:7" x14ac:dyDescent="0.3">
      <c r="A70" s="5" t="s">
        <v>5079</v>
      </c>
      <c r="B70" s="36">
        <f>0</f>
        <v>0</v>
      </c>
      <c r="C70" s="36">
        <f>11</f>
        <v>11</v>
      </c>
      <c r="D70" s="36">
        <f>0</f>
        <v>0</v>
      </c>
      <c r="E7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70" s="5">
        <v>1</v>
      </c>
      <c r="G70" s="5">
        <v>1</v>
      </c>
    </row>
    <row r="71" spans="1:7" x14ac:dyDescent="0.3">
      <c r="A71" s="5" t="s">
        <v>5080</v>
      </c>
      <c r="B71" s="36">
        <f>1</f>
        <v>1</v>
      </c>
      <c r="C71" s="36">
        <f>8-1</f>
        <v>7</v>
      </c>
      <c r="D71" s="36">
        <f>9-1</f>
        <v>8</v>
      </c>
      <c r="E7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71" s="5">
        <v>6.9000000000000006E-2</v>
      </c>
      <c r="G71" s="5">
        <v>1</v>
      </c>
    </row>
    <row r="72" spans="1:7" x14ac:dyDescent="0.3">
      <c r="A72" s="5" t="s">
        <v>5081</v>
      </c>
      <c r="B72" s="36">
        <f>0</f>
        <v>0</v>
      </c>
      <c r="C72" s="36">
        <f>11</f>
        <v>11</v>
      </c>
      <c r="D72" s="36">
        <f>4</f>
        <v>4</v>
      </c>
      <c r="E7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72" s="5">
        <v>1</v>
      </c>
      <c r="G72" s="5">
        <v>1</v>
      </c>
    </row>
    <row r="73" spans="1:7" x14ac:dyDescent="0.3">
      <c r="A73" s="5" t="s">
        <v>5082</v>
      </c>
      <c r="B73" s="36">
        <f>0</f>
        <v>0</v>
      </c>
      <c r="C73" s="36">
        <f>10</f>
        <v>10</v>
      </c>
      <c r="D73" s="36">
        <f>8</f>
        <v>8</v>
      </c>
      <c r="E7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998</v>
      </c>
      <c r="F73" s="5">
        <v>1</v>
      </c>
      <c r="G73" s="5">
        <v>1</v>
      </c>
    </row>
    <row r="74" spans="1:7" x14ac:dyDescent="0.3">
      <c r="A74" s="5" t="s">
        <v>5083</v>
      </c>
      <c r="B74" s="36">
        <f>1</f>
        <v>1</v>
      </c>
      <c r="C74" s="36">
        <f>11-1</f>
        <v>10</v>
      </c>
      <c r="D74" s="36">
        <f>9-1</f>
        <v>8</v>
      </c>
      <c r="E7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997</v>
      </c>
      <c r="F74" s="5">
        <v>9.4E-2</v>
      </c>
      <c r="G74" s="5">
        <v>1</v>
      </c>
    </row>
    <row r="75" spans="1:7" x14ac:dyDescent="0.3">
      <c r="A75" s="5" t="s">
        <v>5084</v>
      </c>
      <c r="B75" s="36">
        <f>0</f>
        <v>0</v>
      </c>
      <c r="C75" s="36">
        <f>11</f>
        <v>11</v>
      </c>
      <c r="D75" s="36">
        <f>3</f>
        <v>3</v>
      </c>
      <c r="E7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75" s="5">
        <v>1</v>
      </c>
      <c r="G75" s="5">
        <v>1</v>
      </c>
    </row>
    <row r="76" spans="1:7" x14ac:dyDescent="0.3">
      <c r="A76" s="5" t="s">
        <v>5085</v>
      </c>
      <c r="B76" s="36">
        <f>0</f>
        <v>0</v>
      </c>
      <c r="C76" s="36">
        <f>11</f>
        <v>11</v>
      </c>
      <c r="D76" s="36">
        <f>0</f>
        <v>0</v>
      </c>
      <c r="E7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76" s="5">
        <v>1</v>
      </c>
      <c r="G76" s="5">
        <v>1</v>
      </c>
    </row>
    <row r="77" spans="1:7" x14ac:dyDescent="0.3">
      <c r="A77" s="5" t="s">
        <v>5086</v>
      </c>
      <c r="B77" s="36">
        <f>0</f>
        <v>0</v>
      </c>
      <c r="C77" s="36">
        <f>11</f>
        <v>11</v>
      </c>
      <c r="D77" s="36">
        <f>3</f>
        <v>3</v>
      </c>
      <c r="E7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77" s="5">
        <v>1</v>
      </c>
      <c r="G77" s="5">
        <v>1</v>
      </c>
    </row>
    <row r="78" spans="1:7" x14ac:dyDescent="0.3">
      <c r="A78" s="5" t="s">
        <v>5087</v>
      </c>
      <c r="B78" s="36">
        <f>0</f>
        <v>0</v>
      </c>
      <c r="C78" s="36">
        <f>11</f>
        <v>11</v>
      </c>
      <c r="D78" s="36">
        <f>4</f>
        <v>4</v>
      </c>
      <c r="E7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78" s="5">
        <v>1</v>
      </c>
      <c r="G78" s="5">
        <v>1</v>
      </c>
    </row>
    <row r="79" spans="1:7" x14ac:dyDescent="0.3">
      <c r="A79" s="5" t="s">
        <v>5088</v>
      </c>
      <c r="B79" s="36">
        <f>0</f>
        <v>0</v>
      </c>
      <c r="C79" s="36">
        <f>11</f>
        <v>11</v>
      </c>
      <c r="D79" s="36">
        <f>5</f>
        <v>5</v>
      </c>
      <c r="E7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79" s="5">
        <v>1</v>
      </c>
      <c r="G79" s="5">
        <v>1</v>
      </c>
    </row>
    <row r="80" spans="1:7" x14ac:dyDescent="0.3">
      <c r="A80" s="5" t="s">
        <v>5089</v>
      </c>
      <c r="B80" s="36">
        <f>0</f>
        <v>0</v>
      </c>
      <c r="C80" s="36">
        <f>9</f>
        <v>9</v>
      </c>
      <c r="D80" s="36">
        <f>7</f>
        <v>7</v>
      </c>
      <c r="E8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80" s="5">
        <v>1</v>
      </c>
      <c r="G80" s="5">
        <v>1</v>
      </c>
    </row>
    <row r="81" spans="1:7" x14ac:dyDescent="0.3">
      <c r="A81" s="5" t="s">
        <v>5090</v>
      </c>
      <c r="B81" s="36">
        <f>0</f>
        <v>0</v>
      </c>
      <c r="C81" s="36">
        <f>11</f>
        <v>11</v>
      </c>
      <c r="D81" s="36">
        <f>0</f>
        <v>0</v>
      </c>
      <c r="E8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81" s="5">
        <v>1</v>
      </c>
      <c r="G81" s="5">
        <v>1</v>
      </c>
    </row>
    <row r="82" spans="1:7" x14ac:dyDescent="0.3">
      <c r="A82" s="5" t="s">
        <v>5091</v>
      </c>
      <c r="B82" s="36">
        <f>0</f>
        <v>0</v>
      </c>
      <c r="C82" s="36">
        <f>11</f>
        <v>11</v>
      </c>
      <c r="D82" s="36">
        <f>3</f>
        <v>3</v>
      </c>
      <c r="E8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82" s="5">
        <v>1</v>
      </c>
      <c r="G82" s="5">
        <v>1</v>
      </c>
    </row>
    <row r="83" spans="1:7" x14ac:dyDescent="0.3">
      <c r="A83" s="5" t="s">
        <v>5092</v>
      </c>
      <c r="B83" s="36">
        <f>0</f>
        <v>0</v>
      </c>
      <c r="C83" s="36">
        <f>11</f>
        <v>11</v>
      </c>
      <c r="D83" s="36">
        <f>4</f>
        <v>4</v>
      </c>
      <c r="E8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83" s="5">
        <v>1</v>
      </c>
      <c r="G83" s="5">
        <v>1</v>
      </c>
    </row>
    <row r="84" spans="1:7" x14ac:dyDescent="0.3">
      <c r="A84" s="5" t="s">
        <v>5093</v>
      </c>
      <c r="B84" s="36">
        <f>0</f>
        <v>0</v>
      </c>
      <c r="C84" s="36">
        <f>11</f>
        <v>11</v>
      </c>
      <c r="D84" s="36">
        <f>3</f>
        <v>3</v>
      </c>
      <c r="E8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84" s="5">
        <v>1</v>
      </c>
      <c r="G84" s="5">
        <v>1</v>
      </c>
    </row>
    <row r="85" spans="1:7" x14ac:dyDescent="0.3">
      <c r="A85" s="5" t="s">
        <v>5094</v>
      </c>
      <c r="B85" s="36">
        <f>0</f>
        <v>0</v>
      </c>
      <c r="C85" s="36">
        <f>11</f>
        <v>11</v>
      </c>
      <c r="D85" s="36">
        <f>2</f>
        <v>2</v>
      </c>
      <c r="E8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85" s="5">
        <v>1</v>
      </c>
      <c r="G85" s="5">
        <v>1</v>
      </c>
    </row>
    <row r="86" spans="1:7" x14ac:dyDescent="0.3">
      <c r="A86" s="5" t="s">
        <v>5095</v>
      </c>
      <c r="B86" s="36">
        <f>0</f>
        <v>0</v>
      </c>
      <c r="C86" s="36">
        <f>10</f>
        <v>10</v>
      </c>
      <c r="D86" s="36">
        <f>8</f>
        <v>8</v>
      </c>
      <c r="E8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998</v>
      </c>
      <c r="F86" s="5">
        <v>1</v>
      </c>
      <c r="G86" s="5">
        <v>1</v>
      </c>
    </row>
    <row r="87" spans="1:7" x14ac:dyDescent="0.3">
      <c r="A87" s="5" t="s">
        <v>5096</v>
      </c>
      <c r="B87" s="36">
        <f>0</f>
        <v>0</v>
      </c>
      <c r="C87" s="36">
        <f>11</f>
        <v>11</v>
      </c>
      <c r="D87" s="36">
        <f>6</f>
        <v>6</v>
      </c>
      <c r="E8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87" s="5">
        <v>1</v>
      </c>
      <c r="G87" s="5">
        <v>1</v>
      </c>
    </row>
    <row r="88" spans="1:7" x14ac:dyDescent="0.3">
      <c r="A88" s="5" t="s">
        <v>5097</v>
      </c>
      <c r="B88" s="36">
        <f>0</f>
        <v>0</v>
      </c>
      <c r="C88" s="36">
        <f>11</f>
        <v>11</v>
      </c>
      <c r="D88" s="36">
        <f>2</f>
        <v>2</v>
      </c>
      <c r="E8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88" s="5">
        <v>1</v>
      </c>
      <c r="G88" s="5">
        <v>1</v>
      </c>
    </row>
    <row r="89" spans="1:7" x14ac:dyDescent="0.3">
      <c r="A89" s="5" t="s">
        <v>5098</v>
      </c>
      <c r="B89" s="36">
        <f>0</f>
        <v>0</v>
      </c>
      <c r="C89" s="36">
        <f>6</f>
        <v>6</v>
      </c>
      <c r="D89" s="36">
        <f>17</f>
        <v>17</v>
      </c>
      <c r="E8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993</v>
      </c>
      <c r="F89" s="5">
        <v>1</v>
      </c>
      <c r="G89" s="5">
        <v>1</v>
      </c>
    </row>
    <row r="90" spans="1:7" x14ac:dyDescent="0.3">
      <c r="A90" s="5" t="s">
        <v>5099</v>
      </c>
      <c r="B90" s="36">
        <f>0</f>
        <v>0</v>
      </c>
      <c r="C90" s="36">
        <f>11</f>
        <v>11</v>
      </c>
      <c r="D90" s="36">
        <f>6</f>
        <v>6</v>
      </c>
      <c r="E9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90" s="5">
        <v>1</v>
      </c>
      <c r="G90" s="5">
        <v>1</v>
      </c>
    </row>
    <row r="91" spans="1:7" x14ac:dyDescent="0.3">
      <c r="A91" s="5" t="s">
        <v>5100</v>
      </c>
      <c r="B91" s="36">
        <f>0</f>
        <v>0</v>
      </c>
      <c r="C91" s="36">
        <f>11</f>
        <v>11</v>
      </c>
      <c r="D91" s="36">
        <f>0</f>
        <v>0</v>
      </c>
      <c r="E9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1" s="5">
        <v>1</v>
      </c>
      <c r="G91" s="5">
        <v>1</v>
      </c>
    </row>
    <row r="92" spans="1:7" x14ac:dyDescent="0.3">
      <c r="A92" s="5" t="s">
        <v>5101</v>
      </c>
      <c r="B92" s="36">
        <f>0</f>
        <v>0</v>
      </c>
      <c r="C92" s="36">
        <f>11</f>
        <v>11</v>
      </c>
      <c r="D92" s="36">
        <f>0</f>
        <v>0</v>
      </c>
      <c r="E9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2" s="5">
        <v>1</v>
      </c>
      <c r="G92" s="5">
        <v>1</v>
      </c>
    </row>
    <row r="93" spans="1:7" x14ac:dyDescent="0.3">
      <c r="A93" s="5" t="s">
        <v>5102</v>
      </c>
      <c r="B93" s="36">
        <f>0</f>
        <v>0</v>
      </c>
      <c r="C93" s="36">
        <f>11</f>
        <v>11</v>
      </c>
      <c r="D93" s="36">
        <f>0</f>
        <v>0</v>
      </c>
      <c r="E9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3" s="5">
        <v>1</v>
      </c>
      <c r="G93" s="5">
        <v>1</v>
      </c>
    </row>
    <row r="94" spans="1:7" x14ac:dyDescent="0.3">
      <c r="A94" s="5" t="s">
        <v>5103</v>
      </c>
      <c r="B94" s="36">
        <f>0</f>
        <v>0</v>
      </c>
      <c r="C94" s="36">
        <f>11</f>
        <v>11</v>
      </c>
      <c r="D94" s="36">
        <f>0</f>
        <v>0</v>
      </c>
      <c r="E9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4" s="5">
        <v>1</v>
      </c>
      <c r="G94" s="5">
        <v>1</v>
      </c>
    </row>
    <row r="95" spans="1:7" x14ac:dyDescent="0.3">
      <c r="A95" s="5" t="s">
        <v>5104</v>
      </c>
      <c r="B95" s="36">
        <f>0</f>
        <v>0</v>
      </c>
      <c r="C95" s="36">
        <f>11</f>
        <v>11</v>
      </c>
      <c r="D95" s="36">
        <f>0</f>
        <v>0</v>
      </c>
      <c r="E9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5" s="5">
        <v>1</v>
      </c>
      <c r="G95" s="5">
        <v>1</v>
      </c>
    </row>
    <row r="96" spans="1:7" x14ac:dyDescent="0.3">
      <c r="A96" s="5" t="s">
        <v>5105</v>
      </c>
      <c r="B96" s="36">
        <f>0</f>
        <v>0</v>
      </c>
      <c r="C96" s="36">
        <f>11</f>
        <v>11</v>
      </c>
      <c r="D96" s="36">
        <f>0</f>
        <v>0</v>
      </c>
      <c r="E9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6" s="5">
        <v>1</v>
      </c>
      <c r="G96" s="5">
        <v>1</v>
      </c>
    </row>
    <row r="97" spans="1:7" x14ac:dyDescent="0.3">
      <c r="A97" s="5" t="s">
        <v>5106</v>
      </c>
      <c r="B97" s="36">
        <f>0</f>
        <v>0</v>
      </c>
      <c r="C97" s="36">
        <f>11</f>
        <v>11</v>
      </c>
      <c r="D97" s="36">
        <f>0</f>
        <v>0</v>
      </c>
      <c r="E9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7" s="5">
        <v>1</v>
      </c>
      <c r="G97" s="5">
        <v>1</v>
      </c>
    </row>
    <row r="98" spans="1:7" x14ac:dyDescent="0.3">
      <c r="A98" s="5" t="s">
        <v>5107</v>
      </c>
      <c r="B98" s="36">
        <f>0</f>
        <v>0</v>
      </c>
      <c r="C98" s="36">
        <f>11</f>
        <v>11</v>
      </c>
      <c r="D98" s="36">
        <f>0</f>
        <v>0</v>
      </c>
      <c r="E9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8" s="5">
        <v>1</v>
      </c>
      <c r="G98" s="5">
        <v>1</v>
      </c>
    </row>
    <row r="99" spans="1:7" x14ac:dyDescent="0.3">
      <c r="A99" s="5" t="s">
        <v>5108</v>
      </c>
      <c r="B99" s="36">
        <f>0</f>
        <v>0</v>
      </c>
      <c r="C99" s="36">
        <f>11</f>
        <v>11</v>
      </c>
      <c r="D99" s="36">
        <f>0</f>
        <v>0</v>
      </c>
      <c r="E9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99" s="5">
        <v>1</v>
      </c>
      <c r="G99" s="5">
        <v>1</v>
      </c>
    </row>
    <row r="100" spans="1:7" x14ac:dyDescent="0.3">
      <c r="A100" s="5" t="s">
        <v>5109</v>
      </c>
      <c r="B100" s="36">
        <f>0</f>
        <v>0</v>
      </c>
      <c r="C100" s="36">
        <f>11</f>
        <v>11</v>
      </c>
      <c r="D100" s="36">
        <f>0</f>
        <v>0</v>
      </c>
      <c r="E10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00" s="5">
        <v>1</v>
      </c>
      <c r="G100" s="5">
        <v>1</v>
      </c>
    </row>
    <row r="101" spans="1:7" x14ac:dyDescent="0.3">
      <c r="A101" s="5" t="s">
        <v>5110</v>
      </c>
      <c r="B101" s="36">
        <f>0</f>
        <v>0</v>
      </c>
      <c r="C101" s="36">
        <f>11</f>
        <v>11</v>
      </c>
      <c r="D101" s="36">
        <f>0</f>
        <v>0</v>
      </c>
      <c r="E10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01" s="5">
        <v>1</v>
      </c>
      <c r="G101" s="5">
        <v>1</v>
      </c>
    </row>
    <row r="102" spans="1:7" x14ac:dyDescent="0.3">
      <c r="A102" s="5" t="s">
        <v>5111</v>
      </c>
      <c r="B102" s="36">
        <f>0</f>
        <v>0</v>
      </c>
      <c r="C102" s="36">
        <f>11</f>
        <v>11</v>
      </c>
      <c r="D102" s="36">
        <f>0</f>
        <v>0</v>
      </c>
      <c r="E10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02" s="5">
        <v>1</v>
      </c>
      <c r="G102" s="5">
        <v>1</v>
      </c>
    </row>
    <row r="103" spans="1:7" x14ac:dyDescent="0.3">
      <c r="A103" s="5" t="s">
        <v>5112</v>
      </c>
      <c r="B103" s="36">
        <f>0</f>
        <v>0</v>
      </c>
      <c r="C103" s="36">
        <f>11</f>
        <v>11</v>
      </c>
      <c r="D103" s="36">
        <f>0</f>
        <v>0</v>
      </c>
      <c r="E10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03" s="5">
        <v>1</v>
      </c>
      <c r="G103" s="5">
        <v>1</v>
      </c>
    </row>
    <row r="104" spans="1:7" x14ac:dyDescent="0.3">
      <c r="A104" s="5" t="s">
        <v>5113</v>
      </c>
      <c r="B104" s="36">
        <f>0</f>
        <v>0</v>
      </c>
      <c r="C104" s="36">
        <f>11</f>
        <v>11</v>
      </c>
      <c r="D104" s="36">
        <f>6</f>
        <v>6</v>
      </c>
      <c r="E10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104" s="5">
        <v>1</v>
      </c>
      <c r="G104" s="5">
        <v>1</v>
      </c>
    </row>
    <row r="105" spans="1:7" x14ac:dyDescent="0.3">
      <c r="A105" s="5" t="s">
        <v>5114</v>
      </c>
      <c r="B105" s="36">
        <f>0</f>
        <v>0</v>
      </c>
      <c r="C105" s="36">
        <f>10</f>
        <v>10</v>
      </c>
      <c r="D105" s="36">
        <f>16</f>
        <v>16</v>
      </c>
      <c r="E10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990</v>
      </c>
      <c r="F105" s="5">
        <v>1</v>
      </c>
      <c r="G105" s="5">
        <v>1</v>
      </c>
    </row>
    <row r="106" spans="1:7" x14ac:dyDescent="0.3">
      <c r="A106" s="5" t="s">
        <v>5115</v>
      </c>
      <c r="B106" s="36">
        <f>0</f>
        <v>0</v>
      </c>
      <c r="C106" s="36">
        <f>11</f>
        <v>11</v>
      </c>
      <c r="D106" s="36">
        <f>9</f>
        <v>9</v>
      </c>
      <c r="E10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106" s="5">
        <v>1</v>
      </c>
      <c r="G106" s="5">
        <v>1</v>
      </c>
    </row>
    <row r="107" spans="1:7" x14ac:dyDescent="0.3">
      <c r="A107" s="5" t="s">
        <v>5116</v>
      </c>
      <c r="B107" s="36">
        <f>0</f>
        <v>0</v>
      </c>
      <c r="C107" s="36">
        <f>11</f>
        <v>11</v>
      </c>
      <c r="D107" s="36">
        <f>9</f>
        <v>9</v>
      </c>
      <c r="E10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107" s="5">
        <v>1</v>
      </c>
      <c r="G107" s="5">
        <v>1</v>
      </c>
    </row>
    <row r="108" spans="1:7" x14ac:dyDescent="0.3">
      <c r="A108" s="5" t="s">
        <v>5117</v>
      </c>
      <c r="B108" s="36">
        <f>0</f>
        <v>0</v>
      </c>
      <c r="C108" s="36">
        <f>11</f>
        <v>11</v>
      </c>
      <c r="D108" s="36">
        <f>4</f>
        <v>4</v>
      </c>
      <c r="E10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108" s="5">
        <v>1</v>
      </c>
      <c r="G108" s="5">
        <v>1</v>
      </c>
    </row>
    <row r="109" spans="1:7" x14ac:dyDescent="0.3">
      <c r="A109" s="5" t="s">
        <v>5118</v>
      </c>
      <c r="B109" s="36">
        <f>0</f>
        <v>0</v>
      </c>
      <c r="C109" s="36">
        <f>11</f>
        <v>11</v>
      </c>
      <c r="D109" s="36">
        <f>2</f>
        <v>2</v>
      </c>
      <c r="E10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109" s="5">
        <v>1</v>
      </c>
      <c r="G109" s="5">
        <v>1</v>
      </c>
    </row>
    <row r="110" spans="1:7" x14ac:dyDescent="0.3">
      <c r="A110" s="5" t="s">
        <v>5119</v>
      </c>
      <c r="B110" s="36">
        <f>0</f>
        <v>0</v>
      </c>
      <c r="C110" s="36">
        <f>6</f>
        <v>6</v>
      </c>
      <c r="D110" s="36">
        <f>1</f>
        <v>1</v>
      </c>
      <c r="E11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1009</v>
      </c>
      <c r="F110" s="5">
        <v>1</v>
      </c>
      <c r="G110" s="5">
        <v>1</v>
      </c>
    </row>
    <row r="111" spans="1:7" x14ac:dyDescent="0.3">
      <c r="A111" s="5" t="s">
        <v>5120</v>
      </c>
      <c r="B111" s="36">
        <f>0</f>
        <v>0</v>
      </c>
      <c r="C111" s="36">
        <f>11</f>
        <v>11</v>
      </c>
      <c r="D111" s="36">
        <f>42</f>
        <v>42</v>
      </c>
      <c r="E11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963</v>
      </c>
      <c r="F111" s="5">
        <v>1</v>
      </c>
      <c r="G111" s="5">
        <v>1</v>
      </c>
    </row>
    <row r="112" spans="1:7" x14ac:dyDescent="0.3">
      <c r="A112" s="5" t="s">
        <v>5121</v>
      </c>
      <c r="B112" s="36">
        <f>0</f>
        <v>0</v>
      </c>
      <c r="C112" s="36">
        <f>11</f>
        <v>11</v>
      </c>
      <c r="D112" s="36">
        <f>9</f>
        <v>9</v>
      </c>
      <c r="E11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996</v>
      </c>
      <c r="F112" s="5">
        <v>1</v>
      </c>
      <c r="G112" s="5">
        <v>1</v>
      </c>
    </row>
    <row r="113" spans="1:7" x14ac:dyDescent="0.3">
      <c r="A113" s="5" t="s">
        <v>5122</v>
      </c>
      <c r="B113" s="36">
        <f>0</f>
        <v>0</v>
      </c>
      <c r="C113" s="36">
        <f>11</f>
        <v>11</v>
      </c>
      <c r="D113" s="36">
        <f>3</f>
        <v>3</v>
      </c>
      <c r="E113"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113" s="5">
        <v>1</v>
      </c>
      <c r="G113" s="5">
        <v>1</v>
      </c>
    </row>
    <row r="114" spans="1:7" x14ac:dyDescent="0.3">
      <c r="A114" s="5" t="s">
        <v>5123</v>
      </c>
      <c r="B114" s="36">
        <f>0</f>
        <v>0</v>
      </c>
      <c r="C114" s="36">
        <f>11</f>
        <v>11</v>
      </c>
      <c r="D114" s="36">
        <f>4</f>
        <v>4</v>
      </c>
      <c r="E114"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114" s="5">
        <v>1</v>
      </c>
      <c r="G114" s="5">
        <v>1</v>
      </c>
    </row>
    <row r="115" spans="1:7" x14ac:dyDescent="0.3">
      <c r="A115" s="5" t="s">
        <v>5124</v>
      </c>
      <c r="B115" s="36">
        <f>0</f>
        <v>0</v>
      </c>
      <c r="C115" s="36">
        <f>11</f>
        <v>11</v>
      </c>
      <c r="D115" s="36">
        <f>5</f>
        <v>5</v>
      </c>
      <c r="E115"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115" s="5">
        <v>1</v>
      </c>
      <c r="G115" s="5">
        <v>1</v>
      </c>
    </row>
    <row r="116" spans="1:7" x14ac:dyDescent="0.3">
      <c r="A116" s="5" t="s">
        <v>5125</v>
      </c>
      <c r="B116" s="36">
        <f>0</f>
        <v>0</v>
      </c>
      <c r="C116" s="36">
        <f>11</f>
        <v>11</v>
      </c>
      <c r="D116" s="36">
        <f>6</f>
        <v>6</v>
      </c>
      <c r="E116"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999</v>
      </c>
      <c r="F116" s="5">
        <v>1</v>
      </c>
      <c r="G116" s="5">
        <v>1</v>
      </c>
    </row>
    <row r="117" spans="1:7" x14ac:dyDescent="0.3">
      <c r="A117" s="5" t="s">
        <v>5126</v>
      </c>
      <c r="B117" s="36">
        <f>0</f>
        <v>0</v>
      </c>
      <c r="C117" s="36">
        <f>11</f>
        <v>11</v>
      </c>
      <c r="D117" s="36">
        <f>5</f>
        <v>5</v>
      </c>
      <c r="E117"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1000</v>
      </c>
      <c r="F117" s="5">
        <v>1</v>
      </c>
      <c r="G117" s="5">
        <v>1</v>
      </c>
    </row>
    <row r="118" spans="1:7" x14ac:dyDescent="0.3">
      <c r="A118" s="5" t="s">
        <v>5127</v>
      </c>
      <c r="B118" s="36">
        <f>0</f>
        <v>0</v>
      </c>
      <c r="C118" s="36">
        <f>11</f>
        <v>11</v>
      </c>
      <c r="D118" s="36">
        <f>2</f>
        <v>2</v>
      </c>
      <c r="E118"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118" s="5">
        <v>1</v>
      </c>
      <c r="G118" s="5">
        <v>1</v>
      </c>
    </row>
    <row r="119" spans="1:7" x14ac:dyDescent="0.3">
      <c r="A119" s="5" t="s">
        <v>5128</v>
      </c>
      <c r="B119" s="36">
        <f>0</f>
        <v>0</v>
      </c>
      <c r="C119" s="36">
        <f>11</f>
        <v>11</v>
      </c>
      <c r="D119" s="36">
        <f>2</f>
        <v>2</v>
      </c>
      <c r="E119"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1003</v>
      </c>
      <c r="F119" s="5">
        <v>1</v>
      </c>
      <c r="G119" s="5">
        <v>1</v>
      </c>
    </row>
    <row r="120" spans="1:7" x14ac:dyDescent="0.3">
      <c r="A120" s="5" t="s">
        <v>5129</v>
      </c>
      <c r="B120" s="36">
        <f>0</f>
        <v>0</v>
      </c>
      <c r="C120" s="36">
        <f>11</f>
        <v>11</v>
      </c>
      <c r="D120" s="36">
        <f>3</f>
        <v>3</v>
      </c>
      <c r="E120"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1002</v>
      </c>
      <c r="F120" s="5">
        <v>1</v>
      </c>
      <c r="G120" s="5">
        <v>1</v>
      </c>
    </row>
    <row r="121" spans="1:7" x14ac:dyDescent="0.3">
      <c r="A121" s="5" t="s">
        <v>5130</v>
      </c>
      <c r="B121" s="36">
        <f>0</f>
        <v>0</v>
      </c>
      <c r="C121" s="36">
        <f>11</f>
        <v>11</v>
      </c>
      <c r="D121" s="36">
        <f>0</f>
        <v>0</v>
      </c>
      <c r="E121"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1005</v>
      </c>
      <c r="F121" s="5">
        <v>1</v>
      </c>
      <c r="G121" s="5">
        <v>1</v>
      </c>
    </row>
    <row r="122" spans="1:7" x14ac:dyDescent="0.3">
      <c r="A122" s="5" t="s">
        <v>5131</v>
      </c>
      <c r="B122" s="36">
        <f>0</f>
        <v>0</v>
      </c>
      <c r="C122" s="36">
        <f>11</f>
        <v>11</v>
      </c>
      <c r="D122" s="36">
        <f>4</f>
        <v>4</v>
      </c>
      <c r="E122" s="36">
        <f>1016-ptwenrich_UP_FC_2_FDR_0_05_gp13_acetylome[[#This Row],[number of proteins in pathway and in cumulative ranked set]]-ptwenrich_UP_FC_2_FDR_0_05_gp13_acetylome[[#This Row],[number of proteins in pathway but not in cumulative ranked set]]-ptwenrich_UP_FC_2_FDR_0_05_gp13_acetylome[[#This Row],[number of proteins not in pathway but in cumulative ranked set]]</f>
        <v>1001</v>
      </c>
      <c r="F122" s="5">
        <v>1</v>
      </c>
      <c r="G122" s="5">
        <v>1</v>
      </c>
    </row>
  </sheetData>
  <sheetProtection sheet="1" objects="1" scenarios="1"/>
  <phoneticPr fontId="2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ReadMe</vt:lpstr>
      <vt:lpstr>Table S2 - full acetylome</vt:lpstr>
      <vt:lpstr>Table S2 - significant sites</vt:lpstr>
      <vt:lpstr>Table S2 - pathway coverage</vt:lpstr>
      <vt:lpstr>Table S2 - pathway enrichment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Franz-Wachtel, Mirita</dc:creator>
  <cp:keywords/>
  <dc:description/>
  <cp:lastModifiedBy>Hannelore Longin</cp:lastModifiedBy>
  <cp:revision/>
  <dcterms:created xsi:type="dcterms:W3CDTF">2014-08-28T09:01:53Z</dcterms:created>
  <dcterms:modified xsi:type="dcterms:W3CDTF">2026-07-03T14:09:29Z</dcterms:modified>
  <cp:category/>
  <cp:contentStatus/>
</cp:coreProperties>
</file>